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45589</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45589</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39575-2024</t>
        </is>
      </c>
      <c r="B6" s="1" t="n">
        <v>45552</v>
      </c>
      <c r="C6" s="1" t="n">
        <v>45589</v>
      </c>
      <c r="D6" t="inlineStr">
        <is>
          <t>VÄSTRA GÖTALANDS LÄN</t>
        </is>
      </c>
      <c r="E6" t="inlineStr">
        <is>
          <t>ALE</t>
        </is>
      </c>
      <c r="G6" t="n">
        <v>10.3</v>
      </c>
      <c r="H6" t="n">
        <v>6</v>
      </c>
      <c r="I6" t="n">
        <v>9</v>
      </c>
      <c r="J6" t="n">
        <v>3</v>
      </c>
      <c r="K6" t="n">
        <v>2</v>
      </c>
      <c r="L6" t="n">
        <v>1</v>
      </c>
      <c r="M6" t="n">
        <v>0</v>
      </c>
      <c r="N6" t="n">
        <v>0</v>
      </c>
      <c r="O6" t="n">
        <v>6</v>
      </c>
      <c r="P6" t="n">
        <v>3</v>
      </c>
      <c r="Q6" t="n">
        <v>19</v>
      </c>
      <c r="R6" s="2" t="inlineStr">
        <is>
          <t>Ask
Brödtaggsvamp
Flikbålmossa
Motaggsvamp
Spillkråka
Talltita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9045-2024</t>
        </is>
      </c>
      <c r="B7" s="1" t="n">
        <v>45357</v>
      </c>
      <c r="C7" s="1" t="n">
        <v>45589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39577-2024</t>
        </is>
      </c>
      <c r="B8" s="1" t="n">
        <v>45552</v>
      </c>
      <c r="C8" s="1" t="n">
        <v>45589</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45589</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39593-2024</t>
        </is>
      </c>
      <c r="B10" s="1" t="n">
        <v>45552</v>
      </c>
      <c r="C10" s="1" t="n">
        <v>45589</v>
      </c>
      <c r="D10" t="inlineStr">
        <is>
          <t>VÄSTRA GÖTALANDS LÄN</t>
        </is>
      </c>
      <c r="E10" t="inlineStr">
        <is>
          <t>ALE</t>
        </is>
      </c>
      <c r="G10" t="n">
        <v>0.7</v>
      </c>
      <c r="H10" t="n">
        <v>3</v>
      </c>
      <c r="I10" t="n">
        <v>7</v>
      </c>
      <c r="J10" t="n">
        <v>1</v>
      </c>
      <c r="K10" t="n">
        <v>0</v>
      </c>
      <c r="L10" t="n">
        <v>0</v>
      </c>
      <c r="M10" t="n">
        <v>0</v>
      </c>
      <c r="N10" t="n">
        <v>0</v>
      </c>
      <c r="O10" t="n">
        <v>1</v>
      </c>
      <c r="P10" t="n">
        <v>0</v>
      </c>
      <c r="Q10" t="n">
        <v>10</v>
      </c>
      <c r="R10" s="2" t="inlineStr">
        <is>
          <t>Spillkråka
Blåmossa
Bronshjon
Kornknutmossa
Smal svampklubba
Stor revmossa
Vedticka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36325-2023</t>
        </is>
      </c>
      <c r="B11" s="1" t="n">
        <v>45152</v>
      </c>
      <c r="C11" s="1" t="n">
        <v>45589</v>
      </c>
      <c r="D11" t="inlineStr">
        <is>
          <t>VÄSTRA GÖTALANDS LÄN</t>
        </is>
      </c>
      <c r="E11" t="inlineStr">
        <is>
          <t>ALE</t>
        </is>
      </c>
      <c r="G11" t="n">
        <v>9.4</v>
      </c>
      <c r="H11" t="n">
        <v>2</v>
      </c>
      <c r="I11" t="n">
        <v>7</v>
      </c>
      <c r="J11" t="n">
        <v>1</v>
      </c>
      <c r="K11" t="n">
        <v>0</v>
      </c>
      <c r="L11" t="n">
        <v>0</v>
      </c>
      <c r="M11" t="n">
        <v>0</v>
      </c>
      <c r="N11" t="n">
        <v>0</v>
      </c>
      <c r="O11" t="n">
        <v>1</v>
      </c>
      <c r="P11" t="n">
        <v>0</v>
      </c>
      <c r="Q11" t="n">
        <v>9</v>
      </c>
      <c r="R11" s="2" t="inlineStr">
        <is>
          <t>Spillkråka
Blomkålssvamp
Blåmossa
Klippfrullania
Kornknutmossa
Sotriska
Stor revmossa
Västlig hakmossa
Vanlig groda</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19007-2023</t>
        </is>
      </c>
      <c r="B12" s="1" t="n">
        <v>45045</v>
      </c>
      <c r="C12" s="1" t="n">
        <v>45589</v>
      </c>
      <c r="D12" t="inlineStr">
        <is>
          <t>VÄSTRA GÖTALANDS LÄN</t>
        </is>
      </c>
      <c r="E12" t="inlineStr">
        <is>
          <t>ALE</t>
        </is>
      </c>
      <c r="G12" t="n">
        <v>2.4</v>
      </c>
      <c r="H12" t="n">
        <v>6</v>
      </c>
      <c r="I12" t="n">
        <v>2</v>
      </c>
      <c r="J12" t="n">
        <v>5</v>
      </c>
      <c r="K12" t="n">
        <v>0</v>
      </c>
      <c r="L12" t="n">
        <v>0</v>
      </c>
      <c r="M12" t="n">
        <v>0</v>
      </c>
      <c r="N12" t="n">
        <v>0</v>
      </c>
      <c r="O12" t="n">
        <v>5</v>
      </c>
      <c r="P12" t="n">
        <v>0</v>
      </c>
      <c r="Q12" t="n">
        <v>8</v>
      </c>
      <c r="R12" s="2" t="inlineStr">
        <is>
          <t>Entita
Havsörn
Mindre hackspett
Spillkråka
Talltita
Blomkålssvamp
Västlig hakmossa
Skogsduva</t>
        </is>
      </c>
      <c r="S12">
        <f>HYPERLINK("https://klasma.github.io/Logging_1440/artfynd/A 19007-2023 artfynd.xlsx", "A 19007-2023")</f>
        <v/>
      </c>
      <c r="T12">
        <f>HYPERLINK("https://klasma.github.io/Logging_1440/kartor/A 19007-2023 karta.png", "A 19007-2023")</f>
        <v/>
      </c>
      <c r="V12">
        <f>HYPERLINK("https://klasma.github.io/Logging_1440/klagomål/A 19007-2023 FSC-klagomål.docx", "A 19007-2023")</f>
        <v/>
      </c>
      <c r="W12">
        <f>HYPERLINK("https://klasma.github.io/Logging_1440/klagomålsmail/A 19007-2023 FSC-klagomål mail.docx", "A 19007-2023")</f>
        <v/>
      </c>
      <c r="X12">
        <f>HYPERLINK("https://klasma.github.io/Logging_1440/tillsyn/A 19007-2023 tillsynsbegäran.docx", "A 19007-2023")</f>
        <v/>
      </c>
      <c r="Y12">
        <f>HYPERLINK("https://klasma.github.io/Logging_1440/tillsynsmail/A 19007-2023 tillsynsbegäran mail.docx", "A 19007-2023")</f>
        <v/>
      </c>
      <c r="Z12">
        <f>HYPERLINK("https://klasma.github.io/Logging_1440/fåglar/A 19007-2023 prioriterade fågelarter.docx", "A 19007-2023")</f>
        <v/>
      </c>
    </row>
    <row r="13" ht="15" customHeight="1">
      <c r="A13" t="inlineStr">
        <is>
          <t>A 32849-2023</t>
        </is>
      </c>
      <c r="B13" s="1" t="n">
        <v>45124</v>
      </c>
      <c r="C13" s="1" t="n">
        <v>45589</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39592-2024</t>
        </is>
      </c>
      <c r="B14" s="1" t="n">
        <v>45552</v>
      </c>
      <c r="C14" s="1" t="n">
        <v>45589</v>
      </c>
      <c r="D14" t="inlineStr">
        <is>
          <t>VÄSTRA GÖTALANDS LÄN</t>
        </is>
      </c>
      <c r="E14" t="inlineStr">
        <is>
          <t>ALE</t>
        </is>
      </c>
      <c r="G14" t="n">
        <v>1.2</v>
      </c>
      <c r="H14" t="n">
        <v>3</v>
      </c>
      <c r="I14" t="n">
        <v>4</v>
      </c>
      <c r="J14" t="n">
        <v>1</v>
      </c>
      <c r="K14" t="n">
        <v>1</v>
      </c>
      <c r="L14" t="n">
        <v>0</v>
      </c>
      <c r="M14" t="n">
        <v>0</v>
      </c>
      <c r="N14" t="n">
        <v>0</v>
      </c>
      <c r="O14" t="n">
        <v>2</v>
      </c>
      <c r="P14" t="n">
        <v>1</v>
      </c>
      <c r="Q14" t="n">
        <v>8</v>
      </c>
      <c r="R14" s="2" t="inlineStr">
        <is>
          <t>Flikbålmossa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17566-2024</t>
        </is>
      </c>
      <c r="B15" s="1" t="n">
        <v>45415</v>
      </c>
      <c r="C15" s="1" t="n">
        <v>45589</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25436-2019</t>
        </is>
      </c>
      <c r="B16" s="1" t="n">
        <v>43606</v>
      </c>
      <c r="C16" s="1" t="n">
        <v>45589</v>
      </c>
      <c r="D16" t="inlineStr">
        <is>
          <t>VÄSTRA GÖTALANDS LÄN</t>
        </is>
      </c>
      <c r="E16" t="inlineStr">
        <is>
          <t>ALE</t>
        </is>
      </c>
      <c r="G16" t="n">
        <v>1.1</v>
      </c>
      <c r="H16" t="n">
        <v>2</v>
      </c>
      <c r="I16" t="n">
        <v>4</v>
      </c>
      <c r="J16" t="n">
        <v>2</v>
      </c>
      <c r="K16" t="n">
        <v>0</v>
      </c>
      <c r="L16" t="n">
        <v>0</v>
      </c>
      <c r="M16" t="n">
        <v>0</v>
      </c>
      <c r="N16" t="n">
        <v>0</v>
      </c>
      <c r="O16" t="n">
        <v>2</v>
      </c>
      <c r="P16" t="n">
        <v>0</v>
      </c>
      <c r="Q16" t="n">
        <v>6</v>
      </c>
      <c r="R16" s="2" t="inlineStr">
        <is>
          <t>Spillkråka
Talltita
Blåmossa
Havstulpanlav
Kattfotslav
Klippfrullania</t>
        </is>
      </c>
      <c r="S16">
        <f>HYPERLINK("https://klasma.github.io/Logging_1440/artfynd/A 25436-2019 artfynd.xlsx", "A 25436-2019")</f>
        <v/>
      </c>
      <c r="T16">
        <f>HYPERLINK("https://klasma.github.io/Logging_1440/kartor/A 25436-2019 karta.png", "A 25436-2019")</f>
        <v/>
      </c>
      <c r="V16">
        <f>HYPERLINK("https://klasma.github.io/Logging_1440/klagomål/A 25436-2019 FSC-klagomål.docx", "A 25436-2019")</f>
        <v/>
      </c>
      <c r="W16">
        <f>HYPERLINK("https://klasma.github.io/Logging_1440/klagomålsmail/A 25436-2019 FSC-klagomål mail.docx", "A 25436-2019")</f>
        <v/>
      </c>
      <c r="X16">
        <f>HYPERLINK("https://klasma.github.io/Logging_1440/tillsyn/A 25436-2019 tillsynsbegäran.docx", "A 25436-2019")</f>
        <v/>
      </c>
      <c r="Y16">
        <f>HYPERLINK("https://klasma.github.io/Logging_1440/tillsynsmail/A 25436-2019 tillsynsbegäran mail.docx", "A 25436-2019")</f>
        <v/>
      </c>
      <c r="Z16">
        <f>HYPERLINK("https://klasma.github.io/Logging_1440/fåglar/A 25436-2019 prioriterade fågelarter.docx", "A 25436-2019")</f>
        <v/>
      </c>
    </row>
    <row r="17" ht="15" customHeight="1">
      <c r="A17" t="inlineStr">
        <is>
          <t>A 40983-2023</t>
        </is>
      </c>
      <c r="B17" s="1" t="n">
        <v>45173</v>
      </c>
      <c r="C17" s="1" t="n">
        <v>45589</v>
      </c>
      <c r="D17" t="inlineStr">
        <is>
          <t>VÄSTRA GÖTALANDS LÄN</t>
        </is>
      </c>
      <c r="E17" t="inlineStr">
        <is>
          <t>ALE</t>
        </is>
      </c>
      <c r="F17" t="inlineStr">
        <is>
          <t>Kyrkan</t>
        </is>
      </c>
      <c r="G17" t="n">
        <v>12.6</v>
      </c>
      <c r="H17" t="n">
        <v>2</v>
      </c>
      <c r="I17" t="n">
        <v>3</v>
      </c>
      <c r="J17" t="n">
        <v>3</v>
      </c>
      <c r="K17" t="n">
        <v>0</v>
      </c>
      <c r="L17" t="n">
        <v>0</v>
      </c>
      <c r="M17" t="n">
        <v>0</v>
      </c>
      <c r="N17" t="n">
        <v>0</v>
      </c>
      <c r="O17" t="n">
        <v>3</v>
      </c>
      <c r="P17" t="n">
        <v>0</v>
      </c>
      <c r="Q17" t="n">
        <v>6</v>
      </c>
      <c r="R17" s="2" t="inlineStr">
        <is>
          <t>Kortskaftad ärgspik
Spillkråka
Talltita
Klippfrullania
Rostfläck
Rävticka</t>
        </is>
      </c>
      <c r="S17">
        <f>HYPERLINK("https://klasma.github.io/Logging_1440/artfynd/A 40983-2023 artfynd.xlsx", "A 40983-2023")</f>
        <v/>
      </c>
      <c r="T17">
        <f>HYPERLINK("https://klasma.github.io/Logging_1440/kartor/A 40983-2023 karta.png", "A 40983-2023")</f>
        <v/>
      </c>
      <c r="V17">
        <f>HYPERLINK("https://klasma.github.io/Logging_1440/klagomål/A 40983-2023 FSC-klagomål.docx", "A 40983-2023")</f>
        <v/>
      </c>
      <c r="W17">
        <f>HYPERLINK("https://klasma.github.io/Logging_1440/klagomålsmail/A 40983-2023 FSC-klagomål mail.docx", "A 40983-2023")</f>
        <v/>
      </c>
      <c r="X17">
        <f>HYPERLINK("https://klasma.github.io/Logging_1440/tillsyn/A 40983-2023 tillsynsbegäran.docx", "A 40983-2023")</f>
        <v/>
      </c>
      <c r="Y17">
        <f>HYPERLINK("https://klasma.github.io/Logging_1440/tillsynsmail/A 40983-2023 tillsynsbegäran mail.docx", "A 40983-2023")</f>
        <v/>
      </c>
      <c r="Z17">
        <f>HYPERLINK("https://klasma.github.io/Logging_1440/fåglar/A 40983-2023 prioriterade fågelarter.docx", "A 40983-2023")</f>
        <v/>
      </c>
    </row>
    <row r="18" ht="15" customHeight="1">
      <c r="A18" t="inlineStr">
        <is>
          <t>A 41294-2024</t>
        </is>
      </c>
      <c r="B18" s="1" t="n">
        <v>45559</v>
      </c>
      <c r="C18" s="1" t="n">
        <v>45589</v>
      </c>
      <c r="D18" t="inlineStr">
        <is>
          <t>VÄSTRA GÖTALANDS LÄN</t>
        </is>
      </c>
      <c r="E18" t="inlineStr">
        <is>
          <t>ALE</t>
        </is>
      </c>
      <c r="G18" t="n">
        <v>3</v>
      </c>
      <c r="H18" t="n">
        <v>3</v>
      </c>
      <c r="I18" t="n">
        <v>3</v>
      </c>
      <c r="J18" t="n">
        <v>1</v>
      </c>
      <c r="K18" t="n">
        <v>0</v>
      </c>
      <c r="L18" t="n">
        <v>0</v>
      </c>
      <c r="M18" t="n">
        <v>0</v>
      </c>
      <c r="N18" t="n">
        <v>0</v>
      </c>
      <c r="O18" t="n">
        <v>1</v>
      </c>
      <c r="P18" t="n">
        <v>0</v>
      </c>
      <c r="Q18" t="n">
        <v>6</v>
      </c>
      <c r="R18" s="2" t="inlineStr">
        <is>
          <t>Spillkråka
Kornknutmossa
Smal svampklubba
Stor revmossa
Kungsfågel
Revlummer</t>
        </is>
      </c>
      <c r="S18">
        <f>HYPERLINK("https://klasma.github.io/Logging_1440/artfynd/A 41294-2024 artfynd.xlsx", "A 41294-2024")</f>
        <v/>
      </c>
      <c r="T18">
        <f>HYPERLINK("https://klasma.github.io/Logging_1440/kartor/A 41294-2024 karta.png", "A 41294-2024")</f>
        <v/>
      </c>
      <c r="V18">
        <f>HYPERLINK("https://klasma.github.io/Logging_1440/klagomål/A 41294-2024 FSC-klagomål.docx", "A 41294-2024")</f>
        <v/>
      </c>
      <c r="W18">
        <f>HYPERLINK("https://klasma.github.io/Logging_1440/klagomålsmail/A 41294-2024 FSC-klagomål mail.docx", "A 41294-2024")</f>
        <v/>
      </c>
      <c r="X18">
        <f>HYPERLINK("https://klasma.github.io/Logging_1440/tillsyn/A 41294-2024 tillsynsbegäran.docx", "A 41294-2024")</f>
        <v/>
      </c>
      <c r="Y18">
        <f>HYPERLINK("https://klasma.github.io/Logging_1440/tillsynsmail/A 41294-2024 tillsynsbegäran mail.docx", "A 41294-2024")</f>
        <v/>
      </c>
      <c r="Z18">
        <f>HYPERLINK("https://klasma.github.io/Logging_1440/fåglar/A 41294-2024 prioriterade fågelarter.docx", "A 41294-2024")</f>
        <v/>
      </c>
    </row>
    <row r="19" ht="15" customHeight="1">
      <c r="A19" t="inlineStr">
        <is>
          <t>A 563-2024</t>
        </is>
      </c>
      <c r="B19" s="1" t="n">
        <v>45299</v>
      </c>
      <c r="C19" s="1" t="n">
        <v>45589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45589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45589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45589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45589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45589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45589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45589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45589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45589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45589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45589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45589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45589</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2024-10-24T13:55:45Z</dcterms:created>
  <dcterms:modified xmlns:dcterms="http://purl.org/dc/terms/" xmlns:xsi="http://www.w3.org/2001/XMLSchema-instance" xsi:type="dcterms:W3CDTF">2024-10-24T13:55:45Z</dcterms:modified>
</cp:coreProperties>
</file>