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45998</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45998</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45998</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45998</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45998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45998</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45998</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35905-2025</t>
        </is>
      </c>
      <c r="B12" s="1" t="n">
        <v>45862</v>
      </c>
      <c r="C12" s="1" t="n">
        <v>45998</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43732-2025</t>
        </is>
      </c>
      <c r="B13" s="1" t="n">
        <v>45912.43576388889</v>
      </c>
      <c r="C13" s="1" t="n">
        <v>45998</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51991-2025</t>
        </is>
      </c>
      <c r="B14" s="1" t="n">
        <v>45952.58069444444</v>
      </c>
      <c r="C14" s="1" t="n">
        <v>45998</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45998</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45998</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45998</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45998</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45998</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45998</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45998</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45998</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45998</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45998</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45998</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45998</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45998</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45998</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16534-2025</t>
        </is>
      </c>
      <c r="B29" s="1" t="n">
        <v>45751.65315972222</v>
      </c>
      <c r="C29" s="1" t="n">
        <v>45998</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45998</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45998</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40931-2025</t>
        </is>
      </c>
      <c r="B32" s="1" t="n">
        <v>45897.64783564815</v>
      </c>
      <c r="C32" s="1" t="n">
        <v>45998</v>
      </c>
      <c r="D32" t="inlineStr">
        <is>
          <t>VÄSTRA GÖTALANDS LÄN</t>
        </is>
      </c>
      <c r="E32" t="inlineStr">
        <is>
          <t>ALE</t>
        </is>
      </c>
      <c r="G32" t="n">
        <v>4.3</v>
      </c>
      <c r="H32" t="n">
        <v>1</v>
      </c>
      <c r="I32" t="n">
        <v>1</v>
      </c>
      <c r="J32" t="n">
        <v>1</v>
      </c>
      <c r="K32" t="n">
        <v>0</v>
      </c>
      <c r="L32" t="n">
        <v>0</v>
      </c>
      <c r="M32" t="n">
        <v>0</v>
      </c>
      <c r="N32" t="n">
        <v>0</v>
      </c>
      <c r="O32" t="n">
        <v>1</v>
      </c>
      <c r="P32" t="n">
        <v>0</v>
      </c>
      <c r="Q32" t="n">
        <v>2</v>
      </c>
      <c r="R32" s="2" t="inlineStr">
        <is>
          <t>Spillkråka
Blåmossa</t>
        </is>
      </c>
      <c r="S32">
        <f>HYPERLINK("https://klasma.github.io/Logging_1440/artfynd/A 40931-2025 artfynd.xlsx", "A 40931-2025")</f>
        <v/>
      </c>
      <c r="T32">
        <f>HYPERLINK("https://klasma.github.io/Logging_1440/kartor/A 40931-2025 karta.png", "A 40931-2025")</f>
        <v/>
      </c>
      <c r="V32">
        <f>HYPERLINK("https://klasma.github.io/Logging_1440/klagomål/A 40931-2025 FSC-klagomål.docx", "A 40931-2025")</f>
        <v/>
      </c>
      <c r="W32">
        <f>HYPERLINK("https://klasma.github.io/Logging_1440/klagomålsmail/A 40931-2025 FSC-klagomål mail.docx", "A 40931-2025")</f>
        <v/>
      </c>
      <c r="X32">
        <f>HYPERLINK("https://klasma.github.io/Logging_1440/tillsyn/A 40931-2025 tillsynsbegäran.docx", "A 40931-2025")</f>
        <v/>
      </c>
      <c r="Y32">
        <f>HYPERLINK("https://klasma.github.io/Logging_1440/tillsynsmail/A 40931-2025 tillsynsbegäran mail.docx", "A 40931-2025")</f>
        <v/>
      </c>
      <c r="Z32">
        <f>HYPERLINK("https://klasma.github.io/Logging_1440/fåglar/A 40931-2025 prioriterade fågelarter.docx", "A 40931-2025")</f>
        <v/>
      </c>
    </row>
    <row r="33" ht="15" customHeight="1">
      <c r="A33" t="inlineStr">
        <is>
          <t>A 2270-2025</t>
        </is>
      </c>
      <c r="B33" s="1" t="n">
        <v>45673.54403935185</v>
      </c>
      <c r="C33" s="1" t="n">
        <v>45998</v>
      </c>
      <c r="D33" t="inlineStr">
        <is>
          <t>VÄSTRA GÖTALANDS LÄN</t>
        </is>
      </c>
      <c r="E33" t="inlineStr">
        <is>
          <t>ALE</t>
        </is>
      </c>
      <c r="G33" t="n">
        <v>4.1</v>
      </c>
      <c r="H33" t="n">
        <v>2</v>
      </c>
      <c r="I33" t="n">
        <v>0</v>
      </c>
      <c r="J33" t="n">
        <v>1</v>
      </c>
      <c r="K33" t="n">
        <v>0</v>
      </c>
      <c r="L33" t="n">
        <v>0</v>
      </c>
      <c r="M33" t="n">
        <v>0</v>
      </c>
      <c r="N33" t="n">
        <v>0</v>
      </c>
      <c r="O33" t="n">
        <v>1</v>
      </c>
      <c r="P33" t="n">
        <v>0</v>
      </c>
      <c r="Q33" t="n">
        <v>2</v>
      </c>
      <c r="R33" s="2" t="inlineStr">
        <is>
          <t>Spillkråka
Revlummer</t>
        </is>
      </c>
      <c r="S33">
        <f>HYPERLINK("https://klasma.github.io/Logging_1440/artfynd/A 2270-2025 artfynd.xlsx", "A 2270-2025")</f>
        <v/>
      </c>
      <c r="T33">
        <f>HYPERLINK("https://klasma.github.io/Logging_1440/kartor/A 2270-2025 karta.png", "A 2270-2025")</f>
        <v/>
      </c>
      <c r="V33">
        <f>HYPERLINK("https://klasma.github.io/Logging_1440/klagomål/A 2270-2025 FSC-klagomål.docx", "A 2270-2025")</f>
        <v/>
      </c>
      <c r="W33">
        <f>HYPERLINK("https://klasma.github.io/Logging_1440/klagomålsmail/A 2270-2025 FSC-klagomål mail.docx", "A 2270-2025")</f>
        <v/>
      </c>
      <c r="X33">
        <f>HYPERLINK("https://klasma.github.io/Logging_1440/tillsyn/A 2270-2025 tillsynsbegäran.docx", "A 2270-2025")</f>
        <v/>
      </c>
      <c r="Y33">
        <f>HYPERLINK("https://klasma.github.io/Logging_1440/tillsynsmail/A 2270-2025 tillsynsbegäran mail.docx", "A 2270-2025")</f>
        <v/>
      </c>
      <c r="Z33">
        <f>HYPERLINK("https://klasma.github.io/Logging_1440/fåglar/A 2270-2025 prioriterade fågelarter.docx", "A 2270-2025")</f>
        <v/>
      </c>
    </row>
    <row r="34" ht="15" customHeight="1">
      <c r="A34" t="inlineStr">
        <is>
          <t>A 1503-2024</t>
        </is>
      </c>
      <c r="B34" s="1" t="n">
        <v>45306.35041666667</v>
      </c>
      <c r="C34" s="1" t="n">
        <v>45998</v>
      </c>
      <c r="D34" t="inlineStr">
        <is>
          <t>VÄSTRA GÖTALANDS LÄN</t>
        </is>
      </c>
      <c r="E34" t="inlineStr">
        <is>
          <t>ALE</t>
        </is>
      </c>
      <c r="G34" t="n">
        <v>6.6</v>
      </c>
      <c r="H34" t="n">
        <v>2</v>
      </c>
      <c r="I34" t="n">
        <v>0</v>
      </c>
      <c r="J34" t="n">
        <v>1</v>
      </c>
      <c r="K34" t="n">
        <v>0</v>
      </c>
      <c r="L34" t="n">
        <v>0</v>
      </c>
      <c r="M34" t="n">
        <v>0</v>
      </c>
      <c r="N34" t="n">
        <v>0</v>
      </c>
      <c r="O34" t="n">
        <v>1</v>
      </c>
      <c r="P34" t="n">
        <v>0</v>
      </c>
      <c r="Q34" t="n">
        <v>2</v>
      </c>
      <c r="R34" s="2" t="inlineStr">
        <is>
          <t>Spillkråka
Revlummer</t>
        </is>
      </c>
      <c r="S34">
        <f>HYPERLINK("https://klasma.github.io/Logging_1440/artfynd/A 1503-2024 artfynd.xlsx", "A 1503-2024")</f>
        <v/>
      </c>
      <c r="T34">
        <f>HYPERLINK("https://klasma.github.io/Logging_1440/kartor/A 1503-2024 karta.png", "A 1503-2024")</f>
        <v/>
      </c>
      <c r="V34">
        <f>HYPERLINK("https://klasma.github.io/Logging_1440/klagomål/A 1503-2024 FSC-klagomål.docx", "A 1503-2024")</f>
        <v/>
      </c>
      <c r="W34">
        <f>HYPERLINK("https://klasma.github.io/Logging_1440/klagomålsmail/A 1503-2024 FSC-klagomål mail.docx", "A 1503-2024")</f>
        <v/>
      </c>
      <c r="X34">
        <f>HYPERLINK("https://klasma.github.io/Logging_1440/tillsyn/A 1503-2024 tillsynsbegäran.docx", "A 1503-2024")</f>
        <v/>
      </c>
      <c r="Y34">
        <f>HYPERLINK("https://klasma.github.io/Logging_1440/tillsynsmail/A 1503-2024 tillsynsbegäran mail.docx", "A 1503-2024")</f>
        <v/>
      </c>
      <c r="Z34">
        <f>HYPERLINK("https://klasma.github.io/Logging_1440/fåglar/A 1503-2024 prioriterade fågelarter.docx", "A 1503-2024")</f>
        <v/>
      </c>
    </row>
    <row r="35" ht="15" customHeight="1">
      <c r="A35" t="inlineStr">
        <is>
          <t>A 13380-2025</t>
        </is>
      </c>
      <c r="B35" s="1" t="n">
        <v>45735.6765162037</v>
      </c>
      <c r="C35" s="1" t="n">
        <v>45998</v>
      </c>
      <c r="D35" t="inlineStr">
        <is>
          <t>VÄSTRA GÖTALANDS LÄN</t>
        </is>
      </c>
      <c r="E35" t="inlineStr">
        <is>
          <t>ALE</t>
        </is>
      </c>
      <c r="G35" t="n">
        <v>1.8</v>
      </c>
      <c r="H35" t="n">
        <v>2</v>
      </c>
      <c r="I35" t="n">
        <v>0</v>
      </c>
      <c r="J35" t="n">
        <v>2</v>
      </c>
      <c r="K35" t="n">
        <v>0</v>
      </c>
      <c r="L35" t="n">
        <v>0</v>
      </c>
      <c r="M35" t="n">
        <v>0</v>
      </c>
      <c r="N35" t="n">
        <v>0</v>
      </c>
      <c r="O35" t="n">
        <v>2</v>
      </c>
      <c r="P35" t="n">
        <v>0</v>
      </c>
      <c r="Q35" t="n">
        <v>2</v>
      </c>
      <c r="R35" s="2" t="inlineStr">
        <is>
          <t>Entita
Spillkråka</t>
        </is>
      </c>
      <c r="S35">
        <f>HYPERLINK("https://klasma.github.io/Logging_1440/artfynd/A 13380-2025 artfynd.xlsx", "A 13380-2025")</f>
        <v/>
      </c>
      <c r="T35">
        <f>HYPERLINK("https://klasma.github.io/Logging_1440/kartor/A 13380-2025 karta.png", "A 13380-2025")</f>
        <v/>
      </c>
      <c r="V35">
        <f>HYPERLINK("https://klasma.github.io/Logging_1440/klagomål/A 13380-2025 FSC-klagomål.docx", "A 13380-2025")</f>
        <v/>
      </c>
      <c r="W35">
        <f>HYPERLINK("https://klasma.github.io/Logging_1440/klagomålsmail/A 13380-2025 FSC-klagomål mail.docx", "A 13380-2025")</f>
        <v/>
      </c>
      <c r="X35">
        <f>HYPERLINK("https://klasma.github.io/Logging_1440/tillsyn/A 13380-2025 tillsynsbegäran.docx", "A 13380-2025")</f>
        <v/>
      </c>
      <c r="Y35">
        <f>HYPERLINK("https://klasma.github.io/Logging_1440/tillsynsmail/A 13380-2025 tillsynsbegäran mail.docx", "A 13380-2025")</f>
        <v/>
      </c>
      <c r="Z35">
        <f>HYPERLINK("https://klasma.github.io/Logging_1440/fåglar/A 13380-2025 prioriterade fågelarter.docx", "A 13380-2025")</f>
        <v/>
      </c>
    </row>
    <row r="36" ht="15" customHeight="1">
      <c r="A36" t="inlineStr">
        <is>
          <t>A 26493-2024</t>
        </is>
      </c>
      <c r="B36" s="1" t="n">
        <v>45469</v>
      </c>
      <c r="C36" s="1" t="n">
        <v>45998</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45998</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12084-2025</t>
        </is>
      </c>
      <c r="B38" s="1" t="n">
        <v>45728.95387731482</v>
      </c>
      <c r="C38" s="1" t="n">
        <v>45998</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45998</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45998</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45998</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45998</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45998</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45998</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45998</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45998</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45998</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45998</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45998</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45998</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45998</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3179-2022</t>
        </is>
      </c>
      <c r="B52" s="1" t="n">
        <v>44582.61788194445</v>
      </c>
      <c r="C52" s="1" t="n">
        <v>45998</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45998</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45998</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45998</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45998</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45998</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66893-2021</t>
        </is>
      </c>
      <c r="B58" s="1" t="n">
        <v>44522.49439814815</v>
      </c>
      <c r="C58" s="1" t="n">
        <v>45998</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45998</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45998</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45986-2021</t>
        </is>
      </c>
      <c r="B61" s="1" t="n">
        <v>44441</v>
      </c>
      <c r="C61" s="1" t="n">
        <v>45998</v>
      </c>
      <c r="D61" t="inlineStr">
        <is>
          <t>VÄSTRA GÖTALANDS LÄN</t>
        </is>
      </c>
      <c r="E61" t="inlineStr">
        <is>
          <t>ALE</t>
        </is>
      </c>
      <c r="G61" t="n">
        <v>1.4</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45998</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45998</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45998</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48257-2022</t>
        </is>
      </c>
      <c r="B65" s="1" t="n">
        <v>44858.47591435185</v>
      </c>
      <c r="C65" s="1" t="n">
        <v>45998</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18999-2021</t>
        </is>
      </c>
      <c r="B66" s="1" t="n">
        <v>44308</v>
      </c>
      <c r="C66" s="1" t="n">
        <v>45998</v>
      </c>
      <c r="D66" t="inlineStr">
        <is>
          <t>VÄSTRA GÖTALANDS LÄN</t>
        </is>
      </c>
      <c r="E66" t="inlineStr">
        <is>
          <t>ALE</t>
        </is>
      </c>
      <c r="G66" t="n">
        <v>3.7</v>
      </c>
      <c r="H66" t="n">
        <v>0</v>
      </c>
      <c r="I66" t="n">
        <v>0</v>
      </c>
      <c r="J66" t="n">
        <v>0</v>
      </c>
      <c r="K66" t="n">
        <v>0</v>
      </c>
      <c r="L66" t="n">
        <v>0</v>
      </c>
      <c r="M66" t="n">
        <v>0</v>
      </c>
      <c r="N66" t="n">
        <v>0</v>
      </c>
      <c r="O66" t="n">
        <v>0</v>
      </c>
      <c r="P66" t="n">
        <v>0</v>
      </c>
      <c r="Q66" t="n">
        <v>0</v>
      </c>
      <c r="R66" s="2" t="inlineStr"/>
    </row>
    <row r="67" ht="15" customHeight="1">
      <c r="A67" t="inlineStr">
        <is>
          <t>A 53144-2021</t>
        </is>
      </c>
      <c r="B67" s="1" t="n">
        <v>44468</v>
      </c>
      <c r="C67" s="1" t="n">
        <v>45998</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45998</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26157-2023</t>
        </is>
      </c>
      <c r="B69" s="1" t="n">
        <v>45091.50479166667</v>
      </c>
      <c r="C69" s="1" t="n">
        <v>45998</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1687-2024</t>
        </is>
      </c>
      <c r="B70" s="1" t="n">
        <v>45306</v>
      </c>
      <c r="C70" s="1" t="n">
        <v>45998</v>
      </c>
      <c r="D70" t="inlineStr">
        <is>
          <t>VÄSTRA GÖTALANDS LÄN</t>
        </is>
      </c>
      <c r="E70" t="inlineStr">
        <is>
          <t>ALE</t>
        </is>
      </c>
      <c r="G70" t="n">
        <v>3.4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45998</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50451-2024</t>
        </is>
      </c>
      <c r="B72" s="1" t="n">
        <v>45601.44248842593</v>
      </c>
      <c r="C72" s="1" t="n">
        <v>45998</v>
      </c>
      <c r="D72" t="inlineStr">
        <is>
          <t>VÄSTRA GÖTALANDS LÄN</t>
        </is>
      </c>
      <c r="E72" t="inlineStr">
        <is>
          <t>ALE</t>
        </is>
      </c>
      <c r="G72" t="n">
        <v>2.9</v>
      </c>
      <c r="H72" t="n">
        <v>0</v>
      </c>
      <c r="I72" t="n">
        <v>0</v>
      </c>
      <c r="J72" t="n">
        <v>0</v>
      </c>
      <c r="K72" t="n">
        <v>0</v>
      </c>
      <c r="L72" t="n">
        <v>0</v>
      </c>
      <c r="M72" t="n">
        <v>0</v>
      </c>
      <c r="N72" t="n">
        <v>0</v>
      </c>
      <c r="O72" t="n">
        <v>0</v>
      </c>
      <c r="P72" t="n">
        <v>0</v>
      </c>
      <c r="Q72" t="n">
        <v>0</v>
      </c>
      <c r="R72" s="2" t="inlineStr"/>
    </row>
    <row r="73" ht="15" customHeight="1">
      <c r="A73" t="inlineStr">
        <is>
          <t>A 49680-2024</t>
        </is>
      </c>
      <c r="B73" s="1" t="n">
        <v>45596.66880787037</v>
      </c>
      <c r="C73" s="1" t="n">
        <v>45998</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45998</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20285-2022</t>
        </is>
      </c>
      <c r="B75" s="1" t="n">
        <v>44698.76347222222</v>
      </c>
      <c r="C75" s="1" t="n">
        <v>45998</v>
      </c>
      <c r="D75" t="inlineStr">
        <is>
          <t>VÄSTRA GÖTALANDS LÄN</t>
        </is>
      </c>
      <c r="E75" t="inlineStr">
        <is>
          <t>ALE</t>
        </is>
      </c>
      <c r="G75" t="n">
        <v>1.8</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45998</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45998</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45998</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45998</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45998</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6947-2024</t>
        </is>
      </c>
      <c r="B81" s="1" t="n">
        <v>45343</v>
      </c>
      <c r="C81" s="1" t="n">
        <v>45998</v>
      </c>
      <c r="D81" t="inlineStr">
        <is>
          <t>VÄSTRA GÖTALANDS LÄN</t>
        </is>
      </c>
      <c r="E81" t="inlineStr">
        <is>
          <t>ALE</t>
        </is>
      </c>
      <c r="G81" t="n">
        <v>3.7</v>
      </c>
      <c r="H81" t="n">
        <v>0</v>
      </c>
      <c r="I81" t="n">
        <v>0</v>
      </c>
      <c r="J81" t="n">
        <v>0</v>
      </c>
      <c r="K81" t="n">
        <v>0</v>
      </c>
      <c r="L81" t="n">
        <v>0</v>
      </c>
      <c r="M81" t="n">
        <v>0</v>
      </c>
      <c r="N81" t="n">
        <v>0</v>
      </c>
      <c r="O81" t="n">
        <v>0</v>
      </c>
      <c r="P81" t="n">
        <v>0</v>
      </c>
      <c r="Q81" t="n">
        <v>0</v>
      </c>
      <c r="R81" s="2" t="inlineStr"/>
    </row>
    <row r="82" ht="15" customHeight="1">
      <c r="A82" t="inlineStr">
        <is>
          <t>A 7807-2023</t>
        </is>
      </c>
      <c r="B82" s="1" t="n">
        <v>44973</v>
      </c>
      <c r="C82" s="1" t="n">
        <v>45998</v>
      </c>
      <c r="D82" t="inlineStr">
        <is>
          <t>VÄSTRA GÖTALANDS LÄN</t>
        </is>
      </c>
      <c r="E82" t="inlineStr">
        <is>
          <t>ALE</t>
        </is>
      </c>
      <c r="G82" t="n">
        <v>10.5</v>
      </c>
      <c r="H82" t="n">
        <v>0</v>
      </c>
      <c r="I82" t="n">
        <v>0</v>
      </c>
      <c r="J82" t="n">
        <v>0</v>
      </c>
      <c r="K82" t="n">
        <v>0</v>
      </c>
      <c r="L82" t="n">
        <v>0</v>
      </c>
      <c r="M82" t="n">
        <v>0</v>
      </c>
      <c r="N82" t="n">
        <v>0</v>
      </c>
      <c r="O82" t="n">
        <v>0</v>
      </c>
      <c r="P82" t="n">
        <v>0</v>
      </c>
      <c r="Q82" t="n">
        <v>0</v>
      </c>
      <c r="R82" s="2" t="inlineStr"/>
    </row>
    <row r="83" ht="15" customHeight="1">
      <c r="A83" t="inlineStr">
        <is>
          <t>A 55488-2022</t>
        </is>
      </c>
      <c r="B83" s="1" t="n">
        <v>44887</v>
      </c>
      <c r="C83" s="1" t="n">
        <v>45998</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42446-2023</t>
        </is>
      </c>
      <c r="B84" s="1" t="n">
        <v>45180</v>
      </c>
      <c r="C84" s="1" t="n">
        <v>45998</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67160-2021</t>
        </is>
      </c>
      <c r="B85" s="1" t="n">
        <v>44523</v>
      </c>
      <c r="C85" s="1" t="n">
        <v>45998</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16344-2023</t>
        </is>
      </c>
      <c r="B86" s="1" t="n">
        <v>45028</v>
      </c>
      <c r="C86" s="1" t="n">
        <v>45998</v>
      </c>
      <c r="D86" t="inlineStr">
        <is>
          <t>VÄSTRA GÖTALANDS LÄN</t>
        </is>
      </c>
      <c r="E86" t="inlineStr">
        <is>
          <t>ALE</t>
        </is>
      </c>
      <c r="G86" t="n">
        <v>6.6</v>
      </c>
      <c r="H86" t="n">
        <v>0</v>
      </c>
      <c r="I86" t="n">
        <v>0</v>
      </c>
      <c r="J86" t="n">
        <v>0</v>
      </c>
      <c r="K86" t="n">
        <v>0</v>
      </c>
      <c r="L86" t="n">
        <v>0</v>
      </c>
      <c r="M86" t="n">
        <v>0</v>
      </c>
      <c r="N86" t="n">
        <v>0</v>
      </c>
      <c r="O86" t="n">
        <v>0</v>
      </c>
      <c r="P86" t="n">
        <v>0</v>
      </c>
      <c r="Q86" t="n">
        <v>0</v>
      </c>
      <c r="R86" s="2" t="inlineStr"/>
    </row>
    <row r="87" ht="15" customHeight="1">
      <c r="A87" t="inlineStr">
        <is>
          <t>A 32762-2023</t>
        </is>
      </c>
      <c r="B87" s="1" t="n">
        <v>45123.46649305556</v>
      </c>
      <c r="C87" s="1" t="n">
        <v>45998</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41598-2022</t>
        </is>
      </c>
      <c r="B88" s="1" t="n">
        <v>44827.4609837963</v>
      </c>
      <c r="C88" s="1" t="n">
        <v>45998</v>
      </c>
      <c r="D88" t="inlineStr">
        <is>
          <t>VÄSTRA GÖTALANDS LÄN</t>
        </is>
      </c>
      <c r="E88" t="inlineStr">
        <is>
          <t>ALE</t>
        </is>
      </c>
      <c r="G88" t="n">
        <v>2</v>
      </c>
      <c r="H88" t="n">
        <v>0</v>
      </c>
      <c r="I88" t="n">
        <v>0</v>
      </c>
      <c r="J88" t="n">
        <v>0</v>
      </c>
      <c r="K88" t="n">
        <v>0</v>
      </c>
      <c r="L88" t="n">
        <v>0</v>
      </c>
      <c r="M88" t="n">
        <v>0</v>
      </c>
      <c r="N88" t="n">
        <v>0</v>
      </c>
      <c r="O88" t="n">
        <v>0</v>
      </c>
      <c r="P88" t="n">
        <v>0</v>
      </c>
      <c r="Q88" t="n">
        <v>0</v>
      </c>
      <c r="R88" s="2" t="inlineStr"/>
    </row>
    <row r="89" ht="15" customHeight="1">
      <c r="A89" t="inlineStr">
        <is>
          <t>A 34153-2024</t>
        </is>
      </c>
      <c r="B89" s="1" t="n">
        <v>45524.38400462963</v>
      </c>
      <c r="C89" s="1" t="n">
        <v>45998</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14458-2024</t>
        </is>
      </c>
      <c r="B90" s="1" t="n">
        <v>45394</v>
      </c>
      <c r="C90" s="1" t="n">
        <v>45998</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41309-2024</t>
        </is>
      </c>
      <c r="B91" s="1" t="n">
        <v>45559</v>
      </c>
      <c r="C91" s="1" t="n">
        <v>45998</v>
      </c>
      <c r="D91" t="inlineStr">
        <is>
          <t>VÄSTRA GÖTALANDS LÄN</t>
        </is>
      </c>
      <c r="E91" t="inlineStr">
        <is>
          <t>ALE</t>
        </is>
      </c>
      <c r="G91" t="n">
        <v>8.4</v>
      </c>
      <c r="H91" t="n">
        <v>0</v>
      </c>
      <c r="I91" t="n">
        <v>0</v>
      </c>
      <c r="J91" t="n">
        <v>0</v>
      </c>
      <c r="K91" t="n">
        <v>0</v>
      </c>
      <c r="L91" t="n">
        <v>0</v>
      </c>
      <c r="M91" t="n">
        <v>0</v>
      </c>
      <c r="N91" t="n">
        <v>0</v>
      </c>
      <c r="O91" t="n">
        <v>0</v>
      </c>
      <c r="P91" t="n">
        <v>0</v>
      </c>
      <c r="Q91" t="n">
        <v>0</v>
      </c>
      <c r="R91" s="2" t="inlineStr"/>
    </row>
    <row r="92" ht="15" customHeight="1">
      <c r="A92" t="inlineStr">
        <is>
          <t>A 15499-2022</t>
        </is>
      </c>
      <c r="B92" s="1" t="n">
        <v>44662</v>
      </c>
      <c r="C92" s="1" t="n">
        <v>45998</v>
      </c>
      <c r="D92" t="inlineStr">
        <is>
          <t>VÄSTRA GÖTALANDS LÄN</t>
        </is>
      </c>
      <c r="E92" t="inlineStr">
        <is>
          <t>ALE</t>
        </is>
      </c>
      <c r="G92" t="n">
        <v>4.7</v>
      </c>
      <c r="H92" t="n">
        <v>0</v>
      </c>
      <c r="I92" t="n">
        <v>0</v>
      </c>
      <c r="J92" t="n">
        <v>0</v>
      </c>
      <c r="K92" t="n">
        <v>0</v>
      </c>
      <c r="L92" t="n">
        <v>0</v>
      </c>
      <c r="M92" t="n">
        <v>0</v>
      </c>
      <c r="N92" t="n">
        <v>0</v>
      </c>
      <c r="O92" t="n">
        <v>0</v>
      </c>
      <c r="P92" t="n">
        <v>0</v>
      </c>
      <c r="Q92" t="n">
        <v>0</v>
      </c>
      <c r="R92" s="2" t="inlineStr"/>
    </row>
    <row r="93" ht="15" customHeight="1">
      <c r="A93" t="inlineStr">
        <is>
          <t>A 47087-2023</t>
        </is>
      </c>
      <c r="B93" s="1" t="n">
        <v>45196</v>
      </c>
      <c r="C93" s="1" t="n">
        <v>45998</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4642-2024</t>
        </is>
      </c>
      <c r="B94" s="1" t="n">
        <v>45328.43502314815</v>
      </c>
      <c r="C94" s="1" t="n">
        <v>45998</v>
      </c>
      <c r="D94" t="inlineStr">
        <is>
          <t>VÄSTRA GÖTALANDS LÄN</t>
        </is>
      </c>
      <c r="E94" t="inlineStr">
        <is>
          <t>ALE</t>
        </is>
      </c>
      <c r="G94" t="n">
        <v>7.1</v>
      </c>
      <c r="H94" t="n">
        <v>0</v>
      </c>
      <c r="I94" t="n">
        <v>0</v>
      </c>
      <c r="J94" t="n">
        <v>0</v>
      </c>
      <c r="K94" t="n">
        <v>0</v>
      </c>
      <c r="L94" t="n">
        <v>0</v>
      </c>
      <c r="M94" t="n">
        <v>0</v>
      </c>
      <c r="N94" t="n">
        <v>0</v>
      </c>
      <c r="O94" t="n">
        <v>0</v>
      </c>
      <c r="P94" t="n">
        <v>0</v>
      </c>
      <c r="Q94" t="n">
        <v>0</v>
      </c>
      <c r="R94" s="2" t="inlineStr"/>
    </row>
    <row r="95" ht="15" customHeight="1">
      <c r="A95" t="inlineStr">
        <is>
          <t>A 3413-2023</t>
        </is>
      </c>
      <c r="B95" s="1" t="n">
        <v>44949</v>
      </c>
      <c r="C95" s="1" t="n">
        <v>45998</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27314-2021</t>
        </is>
      </c>
      <c r="B96" s="1" t="n">
        <v>44351.36537037037</v>
      </c>
      <c r="C96" s="1" t="n">
        <v>45998</v>
      </c>
      <c r="D96" t="inlineStr">
        <is>
          <t>VÄSTRA GÖTALANDS LÄN</t>
        </is>
      </c>
      <c r="E96" t="inlineStr">
        <is>
          <t>ALE</t>
        </is>
      </c>
      <c r="G96" t="n">
        <v>11.3</v>
      </c>
      <c r="H96" t="n">
        <v>0</v>
      </c>
      <c r="I96" t="n">
        <v>0</v>
      </c>
      <c r="J96" t="n">
        <v>0</v>
      </c>
      <c r="K96" t="n">
        <v>0</v>
      </c>
      <c r="L96" t="n">
        <v>0</v>
      </c>
      <c r="M96" t="n">
        <v>0</v>
      </c>
      <c r="N96" t="n">
        <v>0</v>
      </c>
      <c r="O96" t="n">
        <v>0</v>
      </c>
      <c r="P96" t="n">
        <v>0</v>
      </c>
      <c r="Q96" t="n">
        <v>0</v>
      </c>
      <c r="R96" s="2" t="inlineStr"/>
    </row>
    <row r="97" ht="15" customHeight="1">
      <c r="A97" t="inlineStr">
        <is>
          <t>A 1960-2024</t>
        </is>
      </c>
      <c r="B97" s="1" t="n">
        <v>45308.50962962963</v>
      </c>
      <c r="C97" s="1" t="n">
        <v>45998</v>
      </c>
      <c r="D97" t="inlineStr">
        <is>
          <t>VÄSTRA GÖTALANDS LÄN</t>
        </is>
      </c>
      <c r="E97" t="inlineStr">
        <is>
          <t>ALE</t>
        </is>
      </c>
      <c r="G97" t="n">
        <v>1.9</v>
      </c>
      <c r="H97" t="n">
        <v>0</v>
      </c>
      <c r="I97" t="n">
        <v>0</v>
      </c>
      <c r="J97" t="n">
        <v>0</v>
      </c>
      <c r="K97" t="n">
        <v>0</v>
      </c>
      <c r="L97" t="n">
        <v>0</v>
      </c>
      <c r="M97" t="n">
        <v>0</v>
      </c>
      <c r="N97" t="n">
        <v>0</v>
      </c>
      <c r="O97" t="n">
        <v>0</v>
      </c>
      <c r="P97" t="n">
        <v>0</v>
      </c>
      <c r="Q97" t="n">
        <v>0</v>
      </c>
      <c r="R97" s="2" t="inlineStr"/>
    </row>
    <row r="98" ht="15" customHeight="1">
      <c r="A98" t="inlineStr">
        <is>
          <t>A 3418-2023</t>
        </is>
      </c>
      <c r="B98" s="1" t="n">
        <v>44949.56182870371</v>
      </c>
      <c r="C98" s="1" t="n">
        <v>45998</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14731-2022</t>
        </is>
      </c>
      <c r="B99" s="1" t="n">
        <v>44656</v>
      </c>
      <c r="C99" s="1" t="n">
        <v>45998</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65226-2021</t>
        </is>
      </c>
      <c r="B100" s="1" t="n">
        <v>44515</v>
      </c>
      <c r="C100" s="1" t="n">
        <v>45998</v>
      </c>
      <c r="D100" t="inlineStr">
        <is>
          <t>VÄSTRA GÖTALANDS LÄN</t>
        </is>
      </c>
      <c r="E100" t="inlineStr">
        <is>
          <t>ALE</t>
        </is>
      </c>
      <c r="G100" t="n">
        <v>0.7</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45998</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44585.72818287037</v>
      </c>
      <c r="C102" s="1" t="n">
        <v>45998</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3457-2022</t>
        </is>
      </c>
      <c r="B103" s="1" t="n">
        <v>44585</v>
      </c>
      <c r="C103" s="1" t="n">
        <v>45998</v>
      </c>
      <c r="D103" t="inlineStr">
        <is>
          <t>VÄSTRA GÖTALANDS LÄN</t>
        </is>
      </c>
      <c r="E103" t="inlineStr">
        <is>
          <t>ALE</t>
        </is>
      </c>
      <c r="G103" t="n">
        <v>5.1</v>
      </c>
      <c r="H103" t="n">
        <v>0</v>
      </c>
      <c r="I103" t="n">
        <v>0</v>
      </c>
      <c r="J103" t="n">
        <v>0</v>
      </c>
      <c r="K103" t="n">
        <v>0</v>
      </c>
      <c r="L103" t="n">
        <v>0</v>
      </c>
      <c r="M103" t="n">
        <v>0</v>
      </c>
      <c r="N103" t="n">
        <v>0</v>
      </c>
      <c r="O103" t="n">
        <v>0</v>
      </c>
      <c r="P103" t="n">
        <v>0</v>
      </c>
      <c r="Q103" t="n">
        <v>0</v>
      </c>
      <c r="R103" s="2" t="inlineStr"/>
    </row>
    <row r="104" ht="15" customHeight="1">
      <c r="A104" t="inlineStr">
        <is>
          <t>A 15582-2025</t>
        </is>
      </c>
      <c r="B104" s="1" t="n">
        <v>45747.81394675926</v>
      </c>
      <c r="C104" s="1" t="n">
        <v>45998</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69325-2020</t>
        </is>
      </c>
      <c r="B105" s="1" t="n">
        <v>44193</v>
      </c>
      <c r="C105" s="1" t="n">
        <v>45998</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66551-2020</t>
        </is>
      </c>
      <c r="B106" s="1" t="n">
        <v>44179</v>
      </c>
      <c r="C106" s="1" t="n">
        <v>45998</v>
      </c>
      <c r="D106" t="inlineStr">
        <is>
          <t>VÄSTRA GÖTALANDS LÄN</t>
        </is>
      </c>
      <c r="E106" t="inlineStr">
        <is>
          <t>ALE</t>
        </is>
      </c>
      <c r="G106" t="n">
        <v>4.5</v>
      </c>
      <c r="H106" t="n">
        <v>0</v>
      </c>
      <c r="I106" t="n">
        <v>0</v>
      </c>
      <c r="J106" t="n">
        <v>0</v>
      </c>
      <c r="K106" t="n">
        <v>0</v>
      </c>
      <c r="L106" t="n">
        <v>0</v>
      </c>
      <c r="M106" t="n">
        <v>0</v>
      </c>
      <c r="N106" t="n">
        <v>0</v>
      </c>
      <c r="O106" t="n">
        <v>0</v>
      </c>
      <c r="P106" t="n">
        <v>0</v>
      </c>
      <c r="Q106" t="n">
        <v>0</v>
      </c>
      <c r="R106" s="2" t="inlineStr"/>
    </row>
    <row r="107" ht="15" customHeight="1">
      <c r="A107" t="inlineStr">
        <is>
          <t>A 33237-2024</t>
        </is>
      </c>
      <c r="B107" s="1" t="n">
        <v>45518.59173611111</v>
      </c>
      <c r="C107" s="1" t="n">
        <v>45998</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44429-2023</t>
        </is>
      </c>
      <c r="B108" s="1" t="n">
        <v>45189.35101851852</v>
      </c>
      <c r="C108" s="1" t="n">
        <v>45998</v>
      </c>
      <c r="D108" t="inlineStr">
        <is>
          <t>VÄSTRA GÖTALANDS LÄN</t>
        </is>
      </c>
      <c r="E108" t="inlineStr">
        <is>
          <t>ALE</t>
        </is>
      </c>
      <c r="G108" t="n">
        <v>0.1</v>
      </c>
      <c r="H108" t="n">
        <v>0</v>
      </c>
      <c r="I108" t="n">
        <v>0</v>
      </c>
      <c r="J108" t="n">
        <v>0</v>
      </c>
      <c r="K108" t="n">
        <v>0</v>
      </c>
      <c r="L108" t="n">
        <v>0</v>
      </c>
      <c r="M108" t="n">
        <v>0</v>
      </c>
      <c r="N108" t="n">
        <v>0</v>
      </c>
      <c r="O108" t="n">
        <v>0</v>
      </c>
      <c r="P108" t="n">
        <v>0</v>
      </c>
      <c r="Q108" t="n">
        <v>0</v>
      </c>
      <c r="R108" s="2" t="inlineStr"/>
    </row>
    <row r="109" ht="15" customHeight="1">
      <c r="A109" t="inlineStr">
        <is>
          <t>A 7892-2024</t>
        </is>
      </c>
      <c r="B109" s="1" t="n">
        <v>45350.40921296296</v>
      </c>
      <c r="C109" s="1" t="n">
        <v>45998</v>
      </c>
      <c r="D109" t="inlineStr">
        <is>
          <t>VÄSTRA GÖTALANDS LÄN</t>
        </is>
      </c>
      <c r="E109" t="inlineStr">
        <is>
          <t>ALE</t>
        </is>
      </c>
      <c r="G109" t="n">
        <v>3.6</v>
      </c>
      <c r="H109" t="n">
        <v>0</v>
      </c>
      <c r="I109" t="n">
        <v>0</v>
      </c>
      <c r="J109" t="n">
        <v>0</v>
      </c>
      <c r="K109" t="n">
        <v>0</v>
      </c>
      <c r="L109" t="n">
        <v>0</v>
      </c>
      <c r="M109" t="n">
        <v>0</v>
      </c>
      <c r="N109" t="n">
        <v>0</v>
      </c>
      <c r="O109" t="n">
        <v>0</v>
      </c>
      <c r="P109" t="n">
        <v>0</v>
      </c>
      <c r="Q109" t="n">
        <v>0</v>
      </c>
      <c r="R109" s="2" t="inlineStr"/>
    </row>
    <row r="110" ht="15" customHeight="1">
      <c r="A110" t="inlineStr">
        <is>
          <t>A 51164-2024</t>
        </is>
      </c>
      <c r="B110" s="1" t="n">
        <v>45603.5830787037</v>
      </c>
      <c r="C110" s="1" t="n">
        <v>45998</v>
      </c>
      <c r="D110" t="inlineStr">
        <is>
          <t>VÄSTRA GÖTALANDS LÄN</t>
        </is>
      </c>
      <c r="E110" t="inlineStr">
        <is>
          <t>ALE</t>
        </is>
      </c>
      <c r="G110" t="n">
        <v>1.1</v>
      </c>
      <c r="H110" t="n">
        <v>0</v>
      </c>
      <c r="I110" t="n">
        <v>0</v>
      </c>
      <c r="J110" t="n">
        <v>0</v>
      </c>
      <c r="K110" t="n">
        <v>0</v>
      </c>
      <c r="L110" t="n">
        <v>0</v>
      </c>
      <c r="M110" t="n">
        <v>0</v>
      </c>
      <c r="N110" t="n">
        <v>0</v>
      </c>
      <c r="O110" t="n">
        <v>0</v>
      </c>
      <c r="P110" t="n">
        <v>0</v>
      </c>
      <c r="Q110" t="n">
        <v>0</v>
      </c>
      <c r="R110" s="2" t="inlineStr"/>
    </row>
    <row r="111" ht="15" customHeight="1">
      <c r="A111" t="inlineStr">
        <is>
          <t>A 5916-2023</t>
        </is>
      </c>
      <c r="B111" s="1" t="n">
        <v>44963</v>
      </c>
      <c r="C111" s="1" t="n">
        <v>45998</v>
      </c>
      <c r="D111" t="inlineStr">
        <is>
          <t>VÄSTRA GÖTALANDS LÄN</t>
        </is>
      </c>
      <c r="E111" t="inlineStr">
        <is>
          <t>ALE</t>
        </is>
      </c>
      <c r="G111" t="n">
        <v>4.2</v>
      </c>
      <c r="H111" t="n">
        <v>0</v>
      </c>
      <c r="I111" t="n">
        <v>0</v>
      </c>
      <c r="J111" t="n">
        <v>0</v>
      </c>
      <c r="K111" t="n">
        <v>0</v>
      </c>
      <c r="L111" t="n">
        <v>0</v>
      </c>
      <c r="M111" t="n">
        <v>0</v>
      </c>
      <c r="N111" t="n">
        <v>0</v>
      </c>
      <c r="O111" t="n">
        <v>0</v>
      </c>
      <c r="P111" t="n">
        <v>0</v>
      </c>
      <c r="Q111" t="n">
        <v>0</v>
      </c>
      <c r="R111" s="2" t="inlineStr"/>
    </row>
    <row r="112" ht="15" customHeight="1">
      <c r="A112" t="inlineStr">
        <is>
          <t>A 36403-2024</t>
        </is>
      </c>
      <c r="B112" s="1" t="n">
        <v>45535.69445601852</v>
      </c>
      <c r="C112" s="1" t="n">
        <v>45998</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4444-2024</t>
        </is>
      </c>
      <c r="B113" s="1" t="n">
        <v>45327</v>
      </c>
      <c r="C113" s="1" t="n">
        <v>45998</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72801-2021</t>
        </is>
      </c>
      <c r="B114" s="1" t="n">
        <v>44546</v>
      </c>
      <c r="C114" s="1" t="n">
        <v>45998</v>
      </c>
      <c r="D114" t="inlineStr">
        <is>
          <t>VÄSTRA GÖTALANDS LÄN</t>
        </is>
      </c>
      <c r="E114" t="inlineStr">
        <is>
          <t>ALE</t>
        </is>
      </c>
      <c r="F114" t="inlineStr">
        <is>
          <t>Naturvårdsverket</t>
        </is>
      </c>
      <c r="G114" t="n">
        <v>1.4</v>
      </c>
      <c r="H114" t="n">
        <v>0</v>
      </c>
      <c r="I114" t="n">
        <v>0</v>
      </c>
      <c r="J114" t="n">
        <v>0</v>
      </c>
      <c r="K114" t="n">
        <v>0</v>
      </c>
      <c r="L114" t="n">
        <v>0</v>
      </c>
      <c r="M114" t="n">
        <v>0</v>
      </c>
      <c r="N114" t="n">
        <v>0</v>
      </c>
      <c r="O114" t="n">
        <v>0</v>
      </c>
      <c r="P114" t="n">
        <v>0</v>
      </c>
      <c r="Q114" t="n">
        <v>0</v>
      </c>
      <c r="R114" s="2" t="inlineStr"/>
    </row>
    <row r="115" ht="15" customHeight="1">
      <c r="A115" t="inlineStr">
        <is>
          <t>A 8956-2025</t>
        </is>
      </c>
      <c r="B115" s="1" t="n">
        <v>45713.46825231481</v>
      </c>
      <c r="C115" s="1" t="n">
        <v>45998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4363-2024</t>
        </is>
      </c>
      <c r="B116" s="1" t="n">
        <v>45325</v>
      </c>
      <c r="C116" s="1" t="n">
        <v>45998</v>
      </c>
      <c r="D116" t="inlineStr">
        <is>
          <t>VÄSTRA GÖTALANDS LÄN</t>
        </is>
      </c>
      <c r="E116" t="inlineStr">
        <is>
          <t>ALE</t>
        </is>
      </c>
      <c r="G116" t="n">
        <v>0.6</v>
      </c>
      <c r="H116" t="n">
        <v>0</v>
      </c>
      <c r="I116" t="n">
        <v>0</v>
      </c>
      <c r="J116" t="n">
        <v>0</v>
      </c>
      <c r="K116" t="n">
        <v>0</v>
      </c>
      <c r="L116" t="n">
        <v>0</v>
      </c>
      <c r="M116" t="n">
        <v>0</v>
      </c>
      <c r="N116" t="n">
        <v>0</v>
      </c>
      <c r="O116" t="n">
        <v>0</v>
      </c>
      <c r="P116" t="n">
        <v>0</v>
      </c>
      <c r="Q116" t="n">
        <v>0</v>
      </c>
      <c r="R116" s="2" t="inlineStr"/>
    </row>
    <row r="117" ht="15" customHeight="1">
      <c r="A117" t="inlineStr">
        <is>
          <t>A 16601-2025</t>
        </is>
      </c>
      <c r="B117" s="1" t="n">
        <v>45753.53189814815</v>
      </c>
      <c r="C117" s="1" t="n">
        <v>45998</v>
      </c>
      <c r="D117" t="inlineStr">
        <is>
          <t>VÄSTRA GÖTALANDS LÄN</t>
        </is>
      </c>
      <c r="E117" t="inlineStr">
        <is>
          <t>ALE</t>
        </is>
      </c>
      <c r="G117" t="n">
        <v>1.7</v>
      </c>
      <c r="H117" t="n">
        <v>0</v>
      </c>
      <c r="I117" t="n">
        <v>0</v>
      </c>
      <c r="J117" t="n">
        <v>0</v>
      </c>
      <c r="K117" t="n">
        <v>0</v>
      </c>
      <c r="L117" t="n">
        <v>0</v>
      </c>
      <c r="M117" t="n">
        <v>0</v>
      </c>
      <c r="N117" t="n">
        <v>0</v>
      </c>
      <c r="O117" t="n">
        <v>0</v>
      </c>
      <c r="P117" t="n">
        <v>0</v>
      </c>
      <c r="Q117" t="n">
        <v>0</v>
      </c>
      <c r="R117" s="2" t="inlineStr"/>
    </row>
    <row r="118" ht="15" customHeight="1">
      <c r="A118" t="inlineStr">
        <is>
          <t>A 20067-2023</t>
        </is>
      </c>
      <c r="B118" s="1" t="n">
        <v>45054</v>
      </c>
      <c r="C118" s="1" t="n">
        <v>45998</v>
      </c>
      <c r="D118" t="inlineStr">
        <is>
          <t>VÄSTRA GÖTALANDS LÄN</t>
        </is>
      </c>
      <c r="E118" t="inlineStr">
        <is>
          <t>ALE</t>
        </is>
      </c>
      <c r="G118" t="n">
        <v>0.4</v>
      </c>
      <c r="H118" t="n">
        <v>0</v>
      </c>
      <c r="I118" t="n">
        <v>0</v>
      </c>
      <c r="J118" t="n">
        <v>0</v>
      </c>
      <c r="K118" t="n">
        <v>0</v>
      </c>
      <c r="L118" t="n">
        <v>0</v>
      </c>
      <c r="M118" t="n">
        <v>0</v>
      </c>
      <c r="N118" t="n">
        <v>0</v>
      </c>
      <c r="O118" t="n">
        <v>0</v>
      </c>
      <c r="P118" t="n">
        <v>0</v>
      </c>
      <c r="Q118" t="n">
        <v>0</v>
      </c>
      <c r="R118" s="2" t="inlineStr"/>
    </row>
    <row r="119" ht="15" customHeight="1">
      <c r="A119" t="inlineStr">
        <is>
          <t>A 1500-2024</t>
        </is>
      </c>
      <c r="B119" s="1" t="n">
        <v>45306</v>
      </c>
      <c r="C119" s="1" t="n">
        <v>45998</v>
      </c>
      <c r="D119" t="inlineStr">
        <is>
          <t>VÄSTRA GÖTALANDS LÄN</t>
        </is>
      </c>
      <c r="E119" t="inlineStr">
        <is>
          <t>ALE</t>
        </is>
      </c>
      <c r="G119" t="n">
        <v>1.3</v>
      </c>
      <c r="H119" t="n">
        <v>0</v>
      </c>
      <c r="I119" t="n">
        <v>0</v>
      </c>
      <c r="J119" t="n">
        <v>0</v>
      </c>
      <c r="K119" t="n">
        <v>0</v>
      </c>
      <c r="L119" t="n">
        <v>0</v>
      </c>
      <c r="M119" t="n">
        <v>0</v>
      </c>
      <c r="N119" t="n">
        <v>0</v>
      </c>
      <c r="O119" t="n">
        <v>0</v>
      </c>
      <c r="P119" t="n">
        <v>0</v>
      </c>
      <c r="Q119" t="n">
        <v>0</v>
      </c>
      <c r="R119" s="2" t="inlineStr"/>
    </row>
    <row r="120" ht="15" customHeight="1">
      <c r="A120" t="inlineStr">
        <is>
          <t>A 1822-2024</t>
        </is>
      </c>
      <c r="B120" s="1" t="n">
        <v>45307.6205787037</v>
      </c>
      <c r="C120" s="1" t="n">
        <v>45998</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15241-2025</t>
        </is>
      </c>
      <c r="B121" s="1" t="n">
        <v>45744.61255787037</v>
      </c>
      <c r="C121" s="1" t="n">
        <v>45998</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6916-2023</t>
        </is>
      </c>
      <c r="B122" s="1" t="n">
        <v>44967.53349537037</v>
      </c>
      <c r="C122" s="1" t="n">
        <v>45998</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64199-2021</t>
        </is>
      </c>
      <c r="B123" s="1" t="n">
        <v>44510</v>
      </c>
      <c r="C123" s="1" t="n">
        <v>45998</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55405-2021</t>
        </is>
      </c>
      <c r="B124" s="1" t="n">
        <v>44475.53733796296</v>
      </c>
      <c r="C124" s="1" t="n">
        <v>45998</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22946-2025</t>
        </is>
      </c>
      <c r="B125" s="1" t="n">
        <v>45790.48229166667</v>
      </c>
      <c r="C125" s="1" t="n">
        <v>45998</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49955-2021</t>
        </is>
      </c>
      <c r="B126" s="1" t="n">
        <v>44456</v>
      </c>
      <c r="C126" s="1" t="n">
        <v>45998</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47330-2025</t>
        </is>
      </c>
      <c r="B127" s="1" t="n">
        <v>45930.56170138889</v>
      </c>
      <c r="C127" s="1" t="n">
        <v>45998</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40074-2025</t>
        </is>
      </c>
      <c r="B128" s="1" t="n">
        <v>45894.44685185186</v>
      </c>
      <c r="C128" s="1" t="n">
        <v>45998</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47592-2025</t>
        </is>
      </c>
      <c r="B129" s="1" t="n">
        <v>45931.44649305556</v>
      </c>
      <c r="C129" s="1" t="n">
        <v>45998</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47593-2025</t>
        </is>
      </c>
      <c r="B130" s="1" t="n">
        <v>45931.4480787037</v>
      </c>
      <c r="C130" s="1" t="n">
        <v>45998</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47728-2025</t>
        </is>
      </c>
      <c r="B131" s="1" t="n">
        <v>45931.63186342592</v>
      </c>
      <c r="C131" s="1" t="n">
        <v>45998</v>
      </c>
      <c r="D131" t="inlineStr">
        <is>
          <t>VÄSTRA GÖTALANDS LÄN</t>
        </is>
      </c>
      <c r="E131" t="inlineStr">
        <is>
          <t>ALE</t>
        </is>
      </c>
      <c r="G131" t="n">
        <v>1.1</v>
      </c>
      <c r="H131" t="n">
        <v>0</v>
      </c>
      <c r="I131" t="n">
        <v>0</v>
      </c>
      <c r="J131" t="n">
        <v>0</v>
      </c>
      <c r="K131" t="n">
        <v>0</v>
      </c>
      <c r="L131" t="n">
        <v>0</v>
      </c>
      <c r="M131" t="n">
        <v>0</v>
      </c>
      <c r="N131" t="n">
        <v>0</v>
      </c>
      <c r="O131" t="n">
        <v>0</v>
      </c>
      <c r="P131" t="n">
        <v>0</v>
      </c>
      <c r="Q131" t="n">
        <v>0</v>
      </c>
      <c r="R131" s="2" t="inlineStr"/>
    </row>
    <row r="132" ht="15" customHeight="1">
      <c r="A132" t="inlineStr">
        <is>
          <t>A 57473-2022</t>
        </is>
      </c>
      <c r="B132" s="1" t="n">
        <v>44896</v>
      </c>
      <c r="C132" s="1" t="n">
        <v>45998</v>
      </c>
      <c r="D132" t="inlineStr">
        <is>
          <t>VÄSTRA GÖTALANDS LÄN</t>
        </is>
      </c>
      <c r="E132" t="inlineStr">
        <is>
          <t>ALE</t>
        </is>
      </c>
      <c r="G132" t="n">
        <v>0.7</v>
      </c>
      <c r="H132" t="n">
        <v>0</v>
      </c>
      <c r="I132" t="n">
        <v>0</v>
      </c>
      <c r="J132" t="n">
        <v>0</v>
      </c>
      <c r="K132" t="n">
        <v>0</v>
      </c>
      <c r="L132" t="n">
        <v>0</v>
      </c>
      <c r="M132" t="n">
        <v>0</v>
      </c>
      <c r="N132" t="n">
        <v>0</v>
      </c>
      <c r="O132" t="n">
        <v>0</v>
      </c>
      <c r="P132" t="n">
        <v>0</v>
      </c>
      <c r="Q132" t="n">
        <v>0</v>
      </c>
      <c r="R132" s="2" t="inlineStr"/>
    </row>
    <row r="133" ht="15" customHeight="1">
      <c r="A133" t="inlineStr">
        <is>
          <t>A 56905-2025</t>
        </is>
      </c>
      <c r="B133" s="1" t="n">
        <v>45978.57502314815</v>
      </c>
      <c r="C133" s="1" t="n">
        <v>45998</v>
      </c>
      <c r="D133" t="inlineStr">
        <is>
          <t>VÄSTRA GÖTALANDS LÄN</t>
        </is>
      </c>
      <c r="E133" t="inlineStr">
        <is>
          <t>ALE</t>
        </is>
      </c>
      <c r="G133" t="n">
        <v>5.2</v>
      </c>
      <c r="H133" t="n">
        <v>0</v>
      </c>
      <c r="I133" t="n">
        <v>0</v>
      </c>
      <c r="J133" t="n">
        <v>0</v>
      </c>
      <c r="K133" t="n">
        <v>0</v>
      </c>
      <c r="L133" t="n">
        <v>0</v>
      </c>
      <c r="M133" t="n">
        <v>0</v>
      </c>
      <c r="N133" t="n">
        <v>0</v>
      </c>
      <c r="O133" t="n">
        <v>0</v>
      </c>
      <c r="P133" t="n">
        <v>0</v>
      </c>
      <c r="Q133" t="n">
        <v>0</v>
      </c>
      <c r="R133" s="2" t="inlineStr"/>
    </row>
    <row r="134" ht="15" customHeight="1">
      <c r="A134" t="inlineStr">
        <is>
          <t>A 1566-2022</t>
        </is>
      </c>
      <c r="B134" s="1" t="n">
        <v>44573</v>
      </c>
      <c r="C134" s="1" t="n">
        <v>45998</v>
      </c>
      <c r="D134" t="inlineStr">
        <is>
          <t>VÄSTRA GÖTALANDS LÄN</t>
        </is>
      </c>
      <c r="E134" t="inlineStr">
        <is>
          <t>ALE</t>
        </is>
      </c>
      <c r="G134" t="n">
        <v>3</v>
      </c>
      <c r="H134" t="n">
        <v>0</v>
      </c>
      <c r="I134" t="n">
        <v>0</v>
      </c>
      <c r="J134" t="n">
        <v>0</v>
      </c>
      <c r="K134" t="n">
        <v>0</v>
      </c>
      <c r="L134" t="n">
        <v>0</v>
      </c>
      <c r="M134" t="n">
        <v>0</v>
      </c>
      <c r="N134" t="n">
        <v>0</v>
      </c>
      <c r="O134" t="n">
        <v>0</v>
      </c>
      <c r="P134" t="n">
        <v>0</v>
      </c>
      <c r="Q134" t="n">
        <v>0</v>
      </c>
      <c r="R134" s="2" t="inlineStr"/>
    </row>
    <row r="135" ht="15" customHeight="1">
      <c r="A135" t="inlineStr">
        <is>
          <t>A 4971-2024</t>
        </is>
      </c>
      <c r="B135" s="1" t="n">
        <v>45329</v>
      </c>
      <c r="C135" s="1" t="n">
        <v>45998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37461-2024</t>
        </is>
      </c>
      <c r="B136" s="1" t="n">
        <v>45540.72516203704</v>
      </c>
      <c r="C136" s="1" t="n">
        <v>45998</v>
      </c>
      <c r="D136" t="inlineStr">
        <is>
          <t>VÄSTRA GÖTALANDS LÄN</t>
        </is>
      </c>
      <c r="E136" t="inlineStr">
        <is>
          <t>ALE</t>
        </is>
      </c>
      <c r="G136" t="n">
        <v>1.6</v>
      </c>
      <c r="H136" t="n">
        <v>0</v>
      </c>
      <c r="I136" t="n">
        <v>0</v>
      </c>
      <c r="J136" t="n">
        <v>0</v>
      </c>
      <c r="K136" t="n">
        <v>0</v>
      </c>
      <c r="L136" t="n">
        <v>0</v>
      </c>
      <c r="M136" t="n">
        <v>0</v>
      </c>
      <c r="N136" t="n">
        <v>0</v>
      </c>
      <c r="O136" t="n">
        <v>0</v>
      </c>
      <c r="P136" t="n">
        <v>0</v>
      </c>
      <c r="Q136" t="n">
        <v>0</v>
      </c>
      <c r="R136" s="2" t="inlineStr"/>
    </row>
    <row r="137" ht="15" customHeight="1">
      <c r="A137" t="inlineStr">
        <is>
          <t>A 12445-2022</t>
        </is>
      </c>
      <c r="B137" s="1" t="n">
        <v>44638</v>
      </c>
      <c r="C137" s="1" t="n">
        <v>45998</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13426-2025</t>
        </is>
      </c>
      <c r="B138" s="1" t="n">
        <v>45736.32780092592</v>
      </c>
      <c r="C138" s="1" t="n">
        <v>45998</v>
      </c>
      <c r="D138" t="inlineStr">
        <is>
          <t>VÄSTRA GÖTALANDS LÄN</t>
        </is>
      </c>
      <c r="E138" t="inlineStr">
        <is>
          <t>ALE</t>
        </is>
      </c>
      <c r="G138" t="n">
        <v>1.5</v>
      </c>
      <c r="H138" t="n">
        <v>0</v>
      </c>
      <c r="I138" t="n">
        <v>0</v>
      </c>
      <c r="J138" t="n">
        <v>0</v>
      </c>
      <c r="K138" t="n">
        <v>0</v>
      </c>
      <c r="L138" t="n">
        <v>0</v>
      </c>
      <c r="M138" t="n">
        <v>0</v>
      </c>
      <c r="N138" t="n">
        <v>0</v>
      </c>
      <c r="O138" t="n">
        <v>0</v>
      </c>
      <c r="P138" t="n">
        <v>0</v>
      </c>
      <c r="Q138" t="n">
        <v>0</v>
      </c>
      <c r="R138" s="2" t="inlineStr"/>
    </row>
    <row r="139" ht="15" customHeight="1">
      <c r="A139" t="inlineStr">
        <is>
          <t>A 48213-2025</t>
        </is>
      </c>
      <c r="B139" s="1" t="n">
        <v>45933</v>
      </c>
      <c r="C139" s="1" t="n">
        <v>45998</v>
      </c>
      <c r="D139" t="inlineStr">
        <is>
          <t>VÄSTRA GÖTALANDS LÄN</t>
        </is>
      </c>
      <c r="E139" t="inlineStr">
        <is>
          <t>ALE</t>
        </is>
      </c>
      <c r="G139" t="n">
        <v>3.3</v>
      </c>
      <c r="H139" t="n">
        <v>0</v>
      </c>
      <c r="I139" t="n">
        <v>0</v>
      </c>
      <c r="J139" t="n">
        <v>0</v>
      </c>
      <c r="K139" t="n">
        <v>0</v>
      </c>
      <c r="L139" t="n">
        <v>0</v>
      </c>
      <c r="M139" t="n">
        <v>0</v>
      </c>
      <c r="N139" t="n">
        <v>0</v>
      </c>
      <c r="O139" t="n">
        <v>0</v>
      </c>
      <c r="P139" t="n">
        <v>0</v>
      </c>
      <c r="Q139" t="n">
        <v>0</v>
      </c>
      <c r="R139" s="2" t="inlineStr"/>
    </row>
    <row r="140" ht="15" customHeight="1">
      <c r="A140" t="inlineStr">
        <is>
          <t>A 48218-2025</t>
        </is>
      </c>
      <c r="B140" s="1" t="n">
        <v>45933</v>
      </c>
      <c r="C140" s="1" t="n">
        <v>45998</v>
      </c>
      <c r="D140" t="inlineStr">
        <is>
          <t>VÄSTRA GÖTALANDS LÄN</t>
        </is>
      </c>
      <c r="E140" t="inlineStr">
        <is>
          <t>ALE</t>
        </is>
      </c>
      <c r="G140" t="n">
        <v>1.4</v>
      </c>
      <c r="H140" t="n">
        <v>0</v>
      </c>
      <c r="I140" t="n">
        <v>0</v>
      </c>
      <c r="J140" t="n">
        <v>0</v>
      </c>
      <c r="K140" t="n">
        <v>0</v>
      </c>
      <c r="L140" t="n">
        <v>0</v>
      </c>
      <c r="M140" t="n">
        <v>0</v>
      </c>
      <c r="N140" t="n">
        <v>0</v>
      </c>
      <c r="O140" t="n">
        <v>0</v>
      </c>
      <c r="P140" t="n">
        <v>0</v>
      </c>
      <c r="Q140" t="n">
        <v>0</v>
      </c>
      <c r="R140" s="2" t="inlineStr"/>
    </row>
    <row r="141" ht="15" customHeight="1">
      <c r="A141" t="inlineStr">
        <is>
          <t>A 25849-2025</t>
        </is>
      </c>
      <c r="B141" s="1" t="n">
        <v>45804</v>
      </c>
      <c r="C141" s="1" t="n">
        <v>45998</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25848-2025</t>
        </is>
      </c>
      <c r="B142" s="1" t="n">
        <v>45804</v>
      </c>
      <c r="C142" s="1" t="n">
        <v>45998</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25840-2025</t>
        </is>
      </c>
      <c r="B143" s="1" t="n">
        <v>45804</v>
      </c>
      <c r="C143" s="1" t="n">
        <v>45998</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50189-2025</t>
        </is>
      </c>
      <c r="B144" s="1" t="n">
        <v>45943.63476851852</v>
      </c>
      <c r="C144" s="1" t="n">
        <v>45998</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58414-2025</t>
        </is>
      </c>
      <c r="B145" s="1" t="n">
        <v>45985.57778935185</v>
      </c>
      <c r="C145" s="1" t="n">
        <v>45998</v>
      </c>
      <c r="D145" t="inlineStr">
        <is>
          <t>VÄSTRA GÖTALANDS LÄN</t>
        </is>
      </c>
      <c r="E145" t="inlineStr">
        <is>
          <t>ALE</t>
        </is>
      </c>
      <c r="G145" t="n">
        <v>4.3</v>
      </c>
      <c r="H145" t="n">
        <v>0</v>
      </c>
      <c r="I145" t="n">
        <v>0</v>
      </c>
      <c r="J145" t="n">
        <v>0</v>
      </c>
      <c r="K145" t="n">
        <v>0</v>
      </c>
      <c r="L145" t="n">
        <v>0</v>
      </c>
      <c r="M145" t="n">
        <v>0</v>
      </c>
      <c r="N145" t="n">
        <v>0</v>
      </c>
      <c r="O145" t="n">
        <v>0</v>
      </c>
      <c r="P145" t="n">
        <v>0</v>
      </c>
      <c r="Q145" t="n">
        <v>0</v>
      </c>
      <c r="R145" s="2" t="inlineStr"/>
    </row>
    <row r="146" ht="15" customHeight="1">
      <c r="A146" t="inlineStr">
        <is>
          <t>A 58412-2025</t>
        </is>
      </c>
      <c r="B146" s="1" t="n">
        <v>45985.57564814815</v>
      </c>
      <c r="C146" s="1" t="n">
        <v>45998</v>
      </c>
      <c r="D146" t="inlineStr">
        <is>
          <t>VÄSTRA GÖTALANDS LÄN</t>
        </is>
      </c>
      <c r="E146" t="inlineStr">
        <is>
          <t>ALE</t>
        </is>
      </c>
      <c r="G146" t="n">
        <v>3.2</v>
      </c>
      <c r="H146" t="n">
        <v>0</v>
      </c>
      <c r="I146" t="n">
        <v>0</v>
      </c>
      <c r="J146" t="n">
        <v>0</v>
      </c>
      <c r="K146" t="n">
        <v>0</v>
      </c>
      <c r="L146" t="n">
        <v>0</v>
      </c>
      <c r="M146" t="n">
        <v>0</v>
      </c>
      <c r="N146" t="n">
        <v>0</v>
      </c>
      <c r="O146" t="n">
        <v>0</v>
      </c>
      <c r="P146" t="n">
        <v>0</v>
      </c>
      <c r="Q146" t="n">
        <v>0</v>
      </c>
      <c r="R146" s="2" t="inlineStr"/>
    </row>
    <row r="147" ht="15" customHeight="1">
      <c r="A147" t="inlineStr">
        <is>
          <t>A 8659-2025</t>
        </is>
      </c>
      <c r="B147" s="1" t="n">
        <v>45712</v>
      </c>
      <c r="C147" s="1" t="n">
        <v>45998</v>
      </c>
      <c r="D147" t="inlineStr">
        <is>
          <t>VÄSTRA GÖTALANDS LÄN</t>
        </is>
      </c>
      <c r="E147" t="inlineStr">
        <is>
          <t>ALE</t>
        </is>
      </c>
      <c r="G147" t="n">
        <v>5.7</v>
      </c>
      <c r="H147" t="n">
        <v>0</v>
      </c>
      <c r="I147" t="n">
        <v>0</v>
      </c>
      <c r="J147" t="n">
        <v>0</v>
      </c>
      <c r="K147" t="n">
        <v>0</v>
      </c>
      <c r="L147" t="n">
        <v>0</v>
      </c>
      <c r="M147" t="n">
        <v>0</v>
      </c>
      <c r="N147" t="n">
        <v>0</v>
      </c>
      <c r="O147" t="n">
        <v>0</v>
      </c>
      <c r="P147" t="n">
        <v>0</v>
      </c>
      <c r="Q147" t="n">
        <v>0</v>
      </c>
      <c r="R147" s="2" t="inlineStr"/>
    </row>
    <row r="148" ht="15" customHeight="1">
      <c r="A148" t="inlineStr">
        <is>
          <t>A 5344-2024</t>
        </is>
      </c>
      <c r="B148" s="1" t="n">
        <v>45331</v>
      </c>
      <c r="C148" s="1" t="n">
        <v>45998</v>
      </c>
      <c r="D148" t="inlineStr">
        <is>
          <t>VÄSTRA GÖTALANDS LÄN</t>
        </is>
      </c>
      <c r="E148" t="inlineStr">
        <is>
          <t>ALE</t>
        </is>
      </c>
      <c r="G148" t="n">
        <v>2.5</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45998</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59933-2023</t>
        </is>
      </c>
      <c r="B150" s="1" t="n">
        <v>45257</v>
      </c>
      <c r="C150" s="1" t="n">
        <v>45998</v>
      </c>
      <c r="D150" t="inlineStr">
        <is>
          <t>VÄSTRA GÖTALANDS LÄN</t>
        </is>
      </c>
      <c r="E150" t="inlineStr">
        <is>
          <t>ALE</t>
        </is>
      </c>
      <c r="G150" t="n">
        <v>2.7</v>
      </c>
      <c r="H150" t="n">
        <v>0</v>
      </c>
      <c r="I150" t="n">
        <v>0</v>
      </c>
      <c r="J150" t="n">
        <v>0</v>
      </c>
      <c r="K150" t="n">
        <v>0</v>
      </c>
      <c r="L150" t="n">
        <v>0</v>
      </c>
      <c r="M150" t="n">
        <v>0</v>
      </c>
      <c r="N150" t="n">
        <v>0</v>
      </c>
      <c r="O150" t="n">
        <v>0</v>
      </c>
      <c r="P150" t="n">
        <v>0</v>
      </c>
      <c r="Q150" t="n">
        <v>0</v>
      </c>
      <c r="R150" s="2" t="inlineStr"/>
    </row>
    <row r="151" ht="15" customHeight="1">
      <c r="A151" t="inlineStr">
        <is>
          <t>A 46226-2025</t>
        </is>
      </c>
      <c r="B151" s="1" t="n">
        <v>45924</v>
      </c>
      <c r="C151" s="1" t="n">
        <v>45998</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29373-2025</t>
        </is>
      </c>
      <c r="B152" s="1" t="n">
        <v>45824.579375</v>
      </c>
      <c r="C152" s="1" t="n">
        <v>45998</v>
      </c>
      <c r="D152" t="inlineStr">
        <is>
          <t>VÄSTRA GÖTALANDS LÄN</t>
        </is>
      </c>
      <c r="E152" t="inlineStr">
        <is>
          <t>ALE</t>
        </is>
      </c>
      <c r="G152" t="n">
        <v>4.6</v>
      </c>
      <c r="H152" t="n">
        <v>0</v>
      </c>
      <c r="I152" t="n">
        <v>0</v>
      </c>
      <c r="J152" t="n">
        <v>0</v>
      </c>
      <c r="K152" t="n">
        <v>0</v>
      </c>
      <c r="L152" t="n">
        <v>0</v>
      </c>
      <c r="M152" t="n">
        <v>0</v>
      </c>
      <c r="N152" t="n">
        <v>0</v>
      </c>
      <c r="O152" t="n">
        <v>0</v>
      </c>
      <c r="P152" t="n">
        <v>0</v>
      </c>
      <c r="Q152" t="n">
        <v>0</v>
      </c>
      <c r="R152" s="2" t="inlineStr"/>
    </row>
    <row r="153" ht="15" customHeight="1">
      <c r="A153" t="inlineStr">
        <is>
          <t>A 46227-2025</t>
        </is>
      </c>
      <c r="B153" s="1" t="n">
        <v>45924.90386574074</v>
      </c>
      <c r="C153" s="1" t="n">
        <v>45998</v>
      </c>
      <c r="D153" t="inlineStr">
        <is>
          <t>VÄSTRA GÖTALANDS LÄN</t>
        </is>
      </c>
      <c r="E153" t="inlineStr">
        <is>
          <t>ALE</t>
        </is>
      </c>
      <c r="G153" t="n">
        <v>0.3</v>
      </c>
      <c r="H153" t="n">
        <v>0</v>
      </c>
      <c r="I153" t="n">
        <v>0</v>
      </c>
      <c r="J153" t="n">
        <v>0</v>
      </c>
      <c r="K153" t="n">
        <v>0</v>
      </c>
      <c r="L153" t="n">
        <v>0</v>
      </c>
      <c r="M153" t="n">
        <v>0</v>
      </c>
      <c r="N153" t="n">
        <v>0</v>
      </c>
      <c r="O153" t="n">
        <v>0</v>
      </c>
      <c r="P153" t="n">
        <v>0</v>
      </c>
      <c r="Q153" t="n">
        <v>0</v>
      </c>
      <c r="R153" s="2" t="inlineStr"/>
    </row>
    <row r="154" ht="15" customHeight="1">
      <c r="A154" t="inlineStr">
        <is>
          <t>A 59409-2025</t>
        </is>
      </c>
      <c r="B154" s="1" t="n">
        <v>45989.49545138889</v>
      </c>
      <c r="C154" s="1" t="n">
        <v>45998</v>
      </c>
      <c r="D154" t="inlineStr">
        <is>
          <t>VÄSTRA GÖTALANDS LÄN</t>
        </is>
      </c>
      <c r="E154" t="inlineStr">
        <is>
          <t>ALE</t>
        </is>
      </c>
      <c r="G154" t="n">
        <v>0.3</v>
      </c>
      <c r="H154" t="n">
        <v>0</v>
      </c>
      <c r="I154" t="n">
        <v>0</v>
      </c>
      <c r="J154" t="n">
        <v>0</v>
      </c>
      <c r="K154" t="n">
        <v>0</v>
      </c>
      <c r="L154" t="n">
        <v>0</v>
      </c>
      <c r="M154" t="n">
        <v>0</v>
      </c>
      <c r="N154" t="n">
        <v>0</v>
      </c>
      <c r="O154" t="n">
        <v>0</v>
      </c>
      <c r="P154" t="n">
        <v>0</v>
      </c>
      <c r="Q154" t="n">
        <v>0</v>
      </c>
      <c r="R154" s="2" t="inlineStr"/>
    </row>
    <row r="155" ht="15" customHeight="1">
      <c r="A155" t="inlineStr">
        <is>
          <t>A 50973-2025</t>
        </is>
      </c>
      <c r="B155" s="1" t="n">
        <v>45947.31263888889</v>
      </c>
      <c r="C155" s="1" t="n">
        <v>45998</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13382-2025</t>
        </is>
      </c>
      <c r="B156" s="1" t="n">
        <v>45735.67928240741</v>
      </c>
      <c r="C156" s="1" t="n">
        <v>45998</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13903-2025</t>
        </is>
      </c>
      <c r="B157" s="1" t="n">
        <v>45737.63481481482</v>
      </c>
      <c r="C157" s="1" t="n">
        <v>45998</v>
      </c>
      <c r="D157" t="inlineStr">
        <is>
          <t>VÄSTRA GÖTALANDS LÄN</t>
        </is>
      </c>
      <c r="E157" t="inlineStr">
        <is>
          <t>ALE</t>
        </is>
      </c>
      <c r="G157" t="n">
        <v>0.5</v>
      </c>
      <c r="H157" t="n">
        <v>0</v>
      </c>
      <c r="I157" t="n">
        <v>0</v>
      </c>
      <c r="J157" t="n">
        <v>0</v>
      </c>
      <c r="K157" t="n">
        <v>0</v>
      </c>
      <c r="L157" t="n">
        <v>0</v>
      </c>
      <c r="M157" t="n">
        <v>0</v>
      </c>
      <c r="N157" t="n">
        <v>0</v>
      </c>
      <c r="O157" t="n">
        <v>0</v>
      </c>
      <c r="P157" t="n">
        <v>0</v>
      </c>
      <c r="Q157" t="n">
        <v>0</v>
      </c>
      <c r="R157" s="2" t="inlineStr"/>
    </row>
    <row r="158" ht="15" customHeight="1">
      <c r="A158" t="inlineStr">
        <is>
          <t>A 60287-2025</t>
        </is>
      </c>
      <c r="B158" s="1" t="n">
        <v>45994.64711805555</v>
      </c>
      <c r="C158" s="1" t="n">
        <v>45998</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51976-2025</t>
        </is>
      </c>
      <c r="B159" s="1" t="n">
        <v>45952.56412037037</v>
      </c>
      <c r="C159" s="1" t="n">
        <v>45998</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31407-2025</t>
        </is>
      </c>
      <c r="B160" s="1" t="n">
        <v>45833</v>
      </c>
      <c r="C160" s="1" t="n">
        <v>45998</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31409-2025</t>
        </is>
      </c>
      <c r="B161" s="1" t="n">
        <v>45833</v>
      </c>
      <c r="C161" s="1" t="n">
        <v>45998</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31533-2025</t>
        </is>
      </c>
      <c r="B162" s="1" t="n">
        <v>45833</v>
      </c>
      <c r="C162" s="1" t="n">
        <v>45998</v>
      </c>
      <c r="D162" t="inlineStr">
        <is>
          <t>VÄSTRA GÖTALANDS LÄN</t>
        </is>
      </c>
      <c r="E162" t="inlineStr">
        <is>
          <t>ALE</t>
        </is>
      </c>
      <c r="G162" t="n">
        <v>1.6</v>
      </c>
      <c r="H162" t="n">
        <v>0</v>
      </c>
      <c r="I162" t="n">
        <v>0</v>
      </c>
      <c r="J162" t="n">
        <v>0</v>
      </c>
      <c r="K162" t="n">
        <v>0</v>
      </c>
      <c r="L162" t="n">
        <v>0</v>
      </c>
      <c r="M162" t="n">
        <v>0</v>
      </c>
      <c r="N162" t="n">
        <v>0</v>
      </c>
      <c r="O162" t="n">
        <v>0</v>
      </c>
      <c r="P162" t="n">
        <v>0</v>
      </c>
      <c r="Q162" t="n">
        <v>0</v>
      </c>
      <c r="R162" s="2" t="inlineStr"/>
    </row>
    <row r="163" ht="15" customHeight="1">
      <c r="A163" t="inlineStr">
        <is>
          <t>A 31488-2025</t>
        </is>
      </c>
      <c r="B163" s="1" t="n">
        <v>45833</v>
      </c>
      <c r="C163" s="1" t="n">
        <v>45998</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60293-2025</t>
        </is>
      </c>
      <c r="B164" s="1" t="n">
        <v>45994.65568287037</v>
      </c>
      <c r="C164" s="1" t="n">
        <v>45998</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52391-2025</t>
        </is>
      </c>
      <c r="B165" s="1" t="n">
        <v>45954.34305555555</v>
      </c>
      <c r="C165" s="1" t="n">
        <v>45998</v>
      </c>
      <c r="D165" t="inlineStr">
        <is>
          <t>VÄSTRA GÖTALANDS LÄN</t>
        </is>
      </c>
      <c r="E165" t="inlineStr">
        <is>
          <t>ALE</t>
        </is>
      </c>
      <c r="G165" t="n">
        <v>10.6</v>
      </c>
      <c r="H165" t="n">
        <v>0</v>
      </c>
      <c r="I165" t="n">
        <v>0</v>
      </c>
      <c r="J165" t="n">
        <v>0</v>
      </c>
      <c r="K165" t="n">
        <v>0</v>
      </c>
      <c r="L165" t="n">
        <v>0</v>
      </c>
      <c r="M165" t="n">
        <v>0</v>
      </c>
      <c r="N165" t="n">
        <v>0</v>
      </c>
      <c r="O165" t="n">
        <v>0</v>
      </c>
      <c r="P165" t="n">
        <v>0</v>
      </c>
      <c r="Q165" t="n">
        <v>0</v>
      </c>
      <c r="R165" s="2" t="inlineStr"/>
    </row>
    <row r="166" ht="15" customHeight="1">
      <c r="A166" t="inlineStr">
        <is>
          <t>A 52423-2025</t>
        </is>
      </c>
      <c r="B166" s="1" t="n">
        <v>45954.37650462963</v>
      </c>
      <c r="C166" s="1" t="n">
        <v>45998</v>
      </c>
      <c r="D166" t="inlineStr">
        <is>
          <t>VÄSTRA GÖTALANDS LÄN</t>
        </is>
      </c>
      <c r="E166" t="inlineStr">
        <is>
          <t>ALE</t>
        </is>
      </c>
      <c r="G166" t="n">
        <v>4.1</v>
      </c>
      <c r="H166" t="n">
        <v>0</v>
      </c>
      <c r="I166" t="n">
        <v>0</v>
      </c>
      <c r="J166" t="n">
        <v>0</v>
      </c>
      <c r="K166" t="n">
        <v>0</v>
      </c>
      <c r="L166" t="n">
        <v>0</v>
      </c>
      <c r="M166" t="n">
        <v>0</v>
      </c>
      <c r="N166" t="n">
        <v>0</v>
      </c>
      <c r="O166" t="n">
        <v>0</v>
      </c>
      <c r="P166" t="n">
        <v>0</v>
      </c>
      <c r="Q166" t="n">
        <v>0</v>
      </c>
      <c r="R166" s="2" t="inlineStr"/>
    </row>
    <row r="167" ht="15" customHeight="1">
      <c r="A167" t="inlineStr">
        <is>
          <t>A 24642-2022</t>
        </is>
      </c>
      <c r="B167" s="1" t="n">
        <v>44727.59578703704</v>
      </c>
      <c r="C167" s="1" t="n">
        <v>45998</v>
      </c>
      <c r="D167" t="inlineStr">
        <is>
          <t>VÄSTRA GÖTALANDS LÄN</t>
        </is>
      </c>
      <c r="E167" t="inlineStr">
        <is>
          <t>ALE</t>
        </is>
      </c>
      <c r="G167" t="n">
        <v>10</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45998</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35959-2022</t>
        </is>
      </c>
      <c r="B169" s="1" t="n">
        <v>44802.57002314815</v>
      </c>
      <c r="C169" s="1" t="n">
        <v>45998</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200-2022</t>
        </is>
      </c>
      <c r="B170" s="1" t="n">
        <v>44564</v>
      </c>
      <c r="C170" s="1" t="n">
        <v>45998</v>
      </c>
      <c r="D170" t="inlineStr">
        <is>
          <t>VÄSTRA GÖTALANDS LÄN</t>
        </is>
      </c>
      <c r="E170" t="inlineStr">
        <is>
          <t>ALE</t>
        </is>
      </c>
      <c r="G170" t="n">
        <v>6.8</v>
      </c>
      <c r="H170" t="n">
        <v>0</v>
      </c>
      <c r="I170" t="n">
        <v>0</v>
      </c>
      <c r="J170" t="n">
        <v>0</v>
      </c>
      <c r="K170" t="n">
        <v>0</v>
      </c>
      <c r="L170" t="n">
        <v>0</v>
      </c>
      <c r="M170" t="n">
        <v>0</v>
      </c>
      <c r="N170" t="n">
        <v>0</v>
      </c>
      <c r="O170" t="n">
        <v>0</v>
      </c>
      <c r="P170" t="n">
        <v>0</v>
      </c>
      <c r="Q170" t="n">
        <v>0</v>
      </c>
      <c r="R170" s="2" t="inlineStr"/>
    </row>
    <row r="171">
      <c r="A171" t="inlineStr">
        <is>
          <t>A 17044-2025</t>
        </is>
      </c>
      <c r="B171" s="1" t="n">
        <v>45755.58891203703</v>
      </c>
      <c r="C171" s="1" t="n">
        <v>45998</v>
      </c>
      <c r="D171" t="inlineStr">
        <is>
          <t>VÄSTRA GÖTALANDS LÄN</t>
        </is>
      </c>
      <c r="E171" t="inlineStr">
        <is>
          <t>ALE</t>
        </is>
      </c>
      <c r="G171" t="n">
        <v>1.5</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2025-12-07T10:28:19Z</dcterms:created>
  <dcterms:modified xmlns:dcterms="http://purl.org/dc/terms/" xmlns:xsi="http://www.w3.org/2001/XMLSchema-instance" xsi:type="dcterms:W3CDTF">2025-12-07T10:28:20Z</dcterms:modified>
</cp:coreProperties>
</file>