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45973</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45973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45973</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45973</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45973</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45973</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45973</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45973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45973</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45973</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45973</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32849-2023</t>
        </is>
      </c>
      <c r="B14" s="1" t="n">
        <v>45124</v>
      </c>
      <c r="C14" s="1" t="n">
        <v>45973</v>
      </c>
      <c r="D14" t="inlineStr">
        <is>
          <t>VÄSTRA GÖTALANDS LÄN</t>
        </is>
      </c>
      <c r="E14" t="inlineStr">
        <is>
          <t>ALE</t>
        </is>
      </c>
      <c r="G14" t="n">
        <v>5.6</v>
      </c>
      <c r="H14" t="n">
        <v>2</v>
      </c>
      <c r="I14" t="n">
        <v>6</v>
      </c>
      <c r="J14" t="n">
        <v>1</v>
      </c>
      <c r="K14" t="n">
        <v>0</v>
      </c>
      <c r="L14" t="n">
        <v>0</v>
      </c>
      <c r="M14" t="n">
        <v>0</v>
      </c>
      <c r="N14" t="n">
        <v>0</v>
      </c>
      <c r="O14" t="n">
        <v>1</v>
      </c>
      <c r="P14" t="n">
        <v>0</v>
      </c>
      <c r="Q14" t="n">
        <v>8</v>
      </c>
      <c r="R14" s="2" t="inlineStr">
        <is>
          <t>Spillkråka
Blåmossa
Kornknutmossa
Sotriska
Stor revmossa
Stubbspretmossa
Västlig hakmossa
Vanlig groda</t>
        </is>
      </c>
      <c r="S14">
        <f>HYPERLINK("https://klasma.github.io/Logging_1440/artfynd/A 32849-2023 artfynd.xlsx", "A 32849-2023")</f>
        <v/>
      </c>
      <c r="T14">
        <f>HYPERLINK("https://klasma.github.io/Logging_1440/kartor/A 32849-2023 karta.png", "A 32849-2023")</f>
        <v/>
      </c>
      <c r="V14">
        <f>HYPERLINK("https://klasma.github.io/Logging_1440/klagomål/A 32849-2023 FSC-klagomål.docx", "A 32849-2023")</f>
        <v/>
      </c>
      <c r="W14">
        <f>HYPERLINK("https://klasma.github.io/Logging_1440/klagomålsmail/A 32849-2023 FSC-klagomål mail.docx", "A 32849-2023")</f>
        <v/>
      </c>
      <c r="X14">
        <f>HYPERLINK("https://klasma.github.io/Logging_1440/tillsyn/A 32849-2023 tillsynsbegäran.docx", "A 32849-2023")</f>
        <v/>
      </c>
      <c r="Y14">
        <f>HYPERLINK("https://klasma.github.io/Logging_1440/tillsynsmail/A 32849-2023 tillsynsbegäran mail.docx", "A 32849-2023")</f>
        <v/>
      </c>
      <c r="Z14">
        <f>HYPERLINK("https://klasma.github.io/Logging_1440/fåglar/A 32849-2023 prioriterade fågelarter.docx", "A 32849-2023")</f>
        <v/>
      </c>
    </row>
    <row r="15" ht="15" customHeight="1">
      <c r="A15" t="inlineStr">
        <is>
          <t>A 37005-2025</t>
        </is>
      </c>
      <c r="B15" s="1" t="n">
        <v>45874.69311342593</v>
      </c>
      <c r="C15" s="1" t="n">
        <v>45973</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45973</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45973</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45973</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24162-2025</t>
        </is>
      </c>
      <c r="B19" s="1" t="n">
        <v>45796.66684027778</v>
      </c>
      <c r="C19" s="1" t="n">
        <v>45973</v>
      </c>
      <c r="D19" t="inlineStr">
        <is>
          <t>VÄSTRA GÖTALANDS LÄN</t>
        </is>
      </c>
      <c r="E19" t="inlineStr">
        <is>
          <t>ALE</t>
        </is>
      </c>
      <c r="G19" t="n">
        <v>5.5</v>
      </c>
      <c r="H19" t="n">
        <v>4</v>
      </c>
      <c r="I19" t="n">
        <v>2</v>
      </c>
      <c r="J19" t="n">
        <v>1</v>
      </c>
      <c r="K19" t="n">
        <v>0</v>
      </c>
      <c r="L19" t="n">
        <v>0</v>
      </c>
      <c r="M19" t="n">
        <v>0</v>
      </c>
      <c r="N19" t="n">
        <v>0</v>
      </c>
      <c r="O19" t="n">
        <v>1</v>
      </c>
      <c r="P19" t="n">
        <v>0</v>
      </c>
      <c r="Q19" t="n">
        <v>6</v>
      </c>
      <c r="R19" s="2" t="inlineStr">
        <is>
          <t>Spillkråka
Blanksvart trämyra
Blåmossa
Kungsfågel
Trana
Revlummer</t>
        </is>
      </c>
      <c r="S19">
        <f>HYPERLINK("https://klasma.github.io/Logging_1440/artfynd/A 24162-2025 artfynd.xlsx", "A 24162-2025")</f>
        <v/>
      </c>
      <c r="T19">
        <f>HYPERLINK("https://klasma.github.io/Logging_1440/kartor/A 24162-2025 karta.png", "A 24162-2025")</f>
        <v/>
      </c>
      <c r="V19">
        <f>HYPERLINK("https://klasma.github.io/Logging_1440/klagomål/A 24162-2025 FSC-klagomål.docx", "A 24162-2025")</f>
        <v/>
      </c>
      <c r="W19">
        <f>HYPERLINK("https://klasma.github.io/Logging_1440/klagomålsmail/A 24162-2025 FSC-klagomål mail.docx", "A 24162-2025")</f>
        <v/>
      </c>
      <c r="X19">
        <f>HYPERLINK("https://klasma.github.io/Logging_1440/tillsyn/A 24162-2025 tillsynsbegäran.docx", "A 24162-2025")</f>
        <v/>
      </c>
      <c r="Y19">
        <f>HYPERLINK("https://klasma.github.io/Logging_1440/tillsynsmail/A 24162-2025 tillsynsbegäran mail.docx", "A 24162-2025")</f>
        <v/>
      </c>
      <c r="Z19">
        <f>HYPERLINK("https://klasma.github.io/Logging_1440/fåglar/A 24162-2025 prioriterade fågelarter.docx", "A 24162-2025")</f>
        <v/>
      </c>
    </row>
    <row r="20" ht="15" customHeight="1">
      <c r="A20" t="inlineStr">
        <is>
          <t>A 563-2024</t>
        </is>
      </c>
      <c r="B20" s="1" t="n">
        <v>45299</v>
      </c>
      <c r="C20" s="1" t="n">
        <v>45973</v>
      </c>
      <c r="D20" t="inlineStr">
        <is>
          <t>VÄSTRA GÖTALANDS LÄN</t>
        </is>
      </c>
      <c r="E20" t="inlineStr">
        <is>
          <t>ALE</t>
        </is>
      </c>
      <c r="F20" t="inlineStr">
        <is>
          <t>Kyrkan</t>
        </is>
      </c>
      <c r="G20" t="n">
        <v>26</v>
      </c>
      <c r="H20" t="n">
        <v>4</v>
      </c>
      <c r="I20" t="n">
        <v>1</v>
      </c>
      <c r="J20" t="n">
        <v>3</v>
      </c>
      <c r="K20" t="n">
        <v>0</v>
      </c>
      <c r="L20" t="n">
        <v>0</v>
      </c>
      <c r="M20" t="n">
        <v>0</v>
      </c>
      <c r="N20" t="n">
        <v>0</v>
      </c>
      <c r="O20" t="n">
        <v>3</v>
      </c>
      <c r="P20" t="n">
        <v>0</v>
      </c>
      <c r="Q20" t="n">
        <v>6</v>
      </c>
      <c r="R20" s="2" t="inlineStr">
        <is>
          <t>Kortskaftad ärgspik
Spillkråka
Talltita
Björksplintborre
Tjäder
Revlummer</t>
        </is>
      </c>
      <c r="S20">
        <f>HYPERLINK("https://klasma.github.io/Logging_1440/artfynd/A 563-2024 artfynd.xlsx", "A 563-2024")</f>
        <v/>
      </c>
      <c r="T20">
        <f>HYPERLINK("https://klasma.github.io/Logging_1440/kartor/A 563-2024 karta.png", "A 563-2024")</f>
        <v/>
      </c>
      <c r="V20">
        <f>HYPERLINK("https://klasma.github.io/Logging_1440/klagomål/A 563-2024 FSC-klagomål.docx", "A 563-2024")</f>
        <v/>
      </c>
      <c r="W20">
        <f>HYPERLINK("https://klasma.github.io/Logging_1440/klagomålsmail/A 563-2024 FSC-klagomål mail.docx", "A 563-2024")</f>
        <v/>
      </c>
      <c r="X20">
        <f>HYPERLINK("https://klasma.github.io/Logging_1440/tillsyn/A 563-2024 tillsynsbegäran.docx", "A 563-2024")</f>
        <v/>
      </c>
      <c r="Y20">
        <f>HYPERLINK("https://klasma.github.io/Logging_1440/tillsynsmail/A 563-2024 tillsynsbegäran mail.docx", "A 563-2024")</f>
        <v/>
      </c>
      <c r="Z20">
        <f>HYPERLINK("https://klasma.github.io/Logging_1440/fåglar/A 563-2024 prioriterade fågelarter.docx", "A 563-2024")</f>
        <v/>
      </c>
    </row>
    <row r="21" ht="15" customHeight="1">
      <c r="A21" t="inlineStr">
        <is>
          <t>A 19934-2025</t>
        </is>
      </c>
      <c r="B21" s="1" t="n">
        <v>45771</v>
      </c>
      <c r="C21" s="1" t="n">
        <v>45973</v>
      </c>
      <c r="D21" t="inlineStr">
        <is>
          <t>VÄSTRA GÖTALANDS LÄN</t>
        </is>
      </c>
      <c r="E21" t="inlineStr">
        <is>
          <t>ALE</t>
        </is>
      </c>
      <c r="G21" t="n">
        <v>9.699999999999999</v>
      </c>
      <c r="H21" t="n">
        <v>1</v>
      </c>
      <c r="I21" t="n">
        <v>3</v>
      </c>
      <c r="J21" t="n">
        <v>1</v>
      </c>
      <c r="K21" t="n">
        <v>0</v>
      </c>
      <c r="L21" t="n">
        <v>0</v>
      </c>
      <c r="M21" t="n">
        <v>0</v>
      </c>
      <c r="N21" t="n">
        <v>0</v>
      </c>
      <c r="O21" t="n">
        <v>1</v>
      </c>
      <c r="P21" t="n">
        <v>0</v>
      </c>
      <c r="Q21" t="n">
        <v>4</v>
      </c>
      <c r="R21" s="2" t="inlineStr">
        <is>
          <t>Spillkråka
Blåmossa
Bronshjon
Vågbandad barkbock</t>
        </is>
      </c>
      <c r="S21">
        <f>HYPERLINK("https://klasma.github.io/Logging_1440/artfynd/A 19934-2025 artfynd.xlsx", "A 19934-2025")</f>
        <v/>
      </c>
      <c r="T21">
        <f>HYPERLINK("https://klasma.github.io/Logging_1440/kartor/A 19934-2025 karta.png", "A 19934-2025")</f>
        <v/>
      </c>
      <c r="V21">
        <f>HYPERLINK("https://klasma.github.io/Logging_1440/klagomål/A 19934-2025 FSC-klagomål.docx", "A 19934-2025")</f>
        <v/>
      </c>
      <c r="W21">
        <f>HYPERLINK("https://klasma.github.io/Logging_1440/klagomålsmail/A 19934-2025 FSC-klagomål mail.docx", "A 19934-2025")</f>
        <v/>
      </c>
      <c r="X21">
        <f>HYPERLINK("https://klasma.github.io/Logging_1440/tillsyn/A 19934-2025 tillsynsbegäran.docx", "A 19934-2025")</f>
        <v/>
      </c>
      <c r="Y21">
        <f>HYPERLINK("https://klasma.github.io/Logging_1440/tillsynsmail/A 19934-2025 tillsynsbegäran mail.docx", "A 19934-2025")</f>
        <v/>
      </c>
      <c r="Z21">
        <f>HYPERLINK("https://klasma.github.io/Logging_1440/fåglar/A 19934-2025 prioriterade fågelarter.docx", "A 19934-2025")</f>
        <v/>
      </c>
    </row>
    <row r="22" ht="15" customHeight="1">
      <c r="A22" t="inlineStr">
        <is>
          <t>A 26491-2024</t>
        </is>
      </c>
      <c r="B22" s="1" t="n">
        <v>45469</v>
      </c>
      <c r="C22" s="1" t="n">
        <v>45973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7903-2024</t>
        </is>
      </c>
      <c r="B23" s="1" t="n">
        <v>45350</v>
      </c>
      <c r="C23" s="1" t="n">
        <v>45973</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45973</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8955-2025</t>
        </is>
      </c>
      <c r="B25" s="1" t="n">
        <v>45713.46528935185</v>
      </c>
      <c r="C25" s="1" t="n">
        <v>45973</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42660-2024</t>
        </is>
      </c>
      <c r="B26" s="1" t="n">
        <v>45566.33841435185</v>
      </c>
      <c r="C26" s="1" t="n">
        <v>45973</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58954-2022</t>
        </is>
      </c>
      <c r="B27" s="1" t="n">
        <v>44903</v>
      </c>
      <c r="C27" s="1" t="n">
        <v>45973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40931-2025</t>
        </is>
      </c>
      <c r="B28" s="1" t="n">
        <v>45897.64783564815</v>
      </c>
      <c r="C28" s="1" t="n">
        <v>45973</v>
      </c>
      <c r="D28" t="inlineStr">
        <is>
          <t>VÄSTRA GÖTALANDS LÄN</t>
        </is>
      </c>
      <c r="E28" t="inlineStr">
        <is>
          <t>ALE</t>
        </is>
      </c>
      <c r="G28" t="n">
        <v>4.3</v>
      </c>
      <c r="H28" t="n">
        <v>1</v>
      </c>
      <c r="I28" t="n">
        <v>1</v>
      </c>
      <c r="J28" t="n">
        <v>1</v>
      </c>
      <c r="K28" t="n">
        <v>0</v>
      </c>
      <c r="L28" t="n">
        <v>0</v>
      </c>
      <c r="M28" t="n">
        <v>0</v>
      </c>
      <c r="N28" t="n">
        <v>0</v>
      </c>
      <c r="O28" t="n">
        <v>1</v>
      </c>
      <c r="P28" t="n">
        <v>0</v>
      </c>
      <c r="Q28" t="n">
        <v>2</v>
      </c>
      <c r="R28" s="2" t="inlineStr">
        <is>
          <t>Spillkråka
Blåmossa</t>
        </is>
      </c>
      <c r="S28">
        <f>HYPERLINK("https://klasma.github.io/Logging_1440/artfynd/A 40931-2025 artfynd.xlsx", "A 40931-2025")</f>
        <v/>
      </c>
      <c r="T28">
        <f>HYPERLINK("https://klasma.github.io/Logging_1440/kartor/A 40931-2025 karta.png", "A 40931-2025")</f>
        <v/>
      </c>
      <c r="V28">
        <f>HYPERLINK("https://klasma.github.io/Logging_1440/klagomål/A 40931-2025 FSC-klagomål.docx", "A 40931-2025")</f>
        <v/>
      </c>
      <c r="W28">
        <f>HYPERLINK("https://klasma.github.io/Logging_1440/klagomålsmail/A 40931-2025 FSC-klagomål mail.docx", "A 40931-2025")</f>
        <v/>
      </c>
      <c r="X28">
        <f>HYPERLINK("https://klasma.github.io/Logging_1440/tillsyn/A 40931-2025 tillsynsbegäran.docx", "A 40931-2025")</f>
        <v/>
      </c>
      <c r="Y28">
        <f>HYPERLINK("https://klasma.github.io/Logging_1440/tillsynsmail/A 40931-2025 tillsynsbegäran mail.docx", "A 40931-2025")</f>
        <v/>
      </c>
      <c r="Z28">
        <f>HYPERLINK("https://klasma.github.io/Logging_1440/fåglar/A 40931-2025 prioriterade fågelarter.docx", "A 40931-2025")</f>
        <v/>
      </c>
    </row>
    <row r="29" ht="15" customHeight="1">
      <c r="A29" t="inlineStr">
        <is>
          <t>A 63569-2023</t>
        </is>
      </c>
      <c r="B29" s="1" t="n">
        <v>45275</v>
      </c>
      <c r="C29" s="1" t="n">
        <v>45973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2270-2025</t>
        </is>
      </c>
      <c r="B30" s="1" t="n">
        <v>45673.54403935185</v>
      </c>
      <c r="C30" s="1" t="n">
        <v>45973</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45973</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45973</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45973</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45973</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45973</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26493-2024</t>
        </is>
      </c>
      <c r="B36" s="1" t="n">
        <v>45469</v>
      </c>
      <c r="C36" s="1" t="n">
        <v>45973</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45973</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12982-2024</t>
        </is>
      </c>
      <c r="B38" s="1" t="n">
        <v>45385.53569444444</v>
      </c>
      <c r="C38" s="1" t="n">
        <v>45973</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26677-2025</t>
        </is>
      </c>
      <c r="B39" s="1" t="n">
        <v>45810.42446759259</v>
      </c>
      <c r="C39" s="1" t="n">
        <v>45973</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45973</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45973</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45973</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1566-2022</t>
        </is>
      </c>
      <c r="B43" s="1" t="n">
        <v>44573</v>
      </c>
      <c r="C43" s="1" t="n">
        <v>45973</v>
      </c>
      <c r="D43" t="inlineStr">
        <is>
          <t>VÄSTRA GÖTALANDS LÄN</t>
        </is>
      </c>
      <c r="E43" t="inlineStr">
        <is>
          <t>ALE</t>
        </is>
      </c>
      <c r="G43" t="n">
        <v>3</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45973</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45973</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45973</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45973</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45973</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45973</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66467-2020</t>
        </is>
      </c>
      <c r="B50" s="1" t="n">
        <v>44176.78424768519</v>
      </c>
      <c r="C50" s="1" t="n">
        <v>45973</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45973</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45973</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45973</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14751-2022</t>
        </is>
      </c>
      <c r="B54" s="1" t="n">
        <v>44656.3837037037</v>
      </c>
      <c r="C54" s="1" t="n">
        <v>45973</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53144-2021</t>
        </is>
      </c>
      <c r="B55" s="1" t="n">
        <v>44468</v>
      </c>
      <c r="C55" s="1" t="n">
        <v>45973</v>
      </c>
      <c r="D55" t="inlineStr">
        <is>
          <t>VÄSTRA GÖTALANDS LÄN</t>
        </is>
      </c>
      <c r="E55" t="inlineStr">
        <is>
          <t>ALE</t>
        </is>
      </c>
      <c r="G55" t="n">
        <v>2.6</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45973</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20285-2022</t>
        </is>
      </c>
      <c r="B57" s="1" t="n">
        <v>44698.76347222222</v>
      </c>
      <c r="C57" s="1" t="n">
        <v>45973</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65222-2021</t>
        </is>
      </c>
      <c r="B58" s="1" t="n">
        <v>44515</v>
      </c>
      <c r="C58" s="1" t="n">
        <v>45973</v>
      </c>
      <c r="D58" t="inlineStr">
        <is>
          <t>VÄSTRA GÖTALANDS LÄN</t>
        </is>
      </c>
      <c r="E58" t="inlineStr">
        <is>
          <t>ALE</t>
        </is>
      </c>
      <c r="G58" t="n">
        <v>1.2</v>
      </c>
      <c r="H58" t="n">
        <v>0</v>
      </c>
      <c r="I58" t="n">
        <v>0</v>
      </c>
      <c r="J58" t="n">
        <v>0</v>
      </c>
      <c r="K58" t="n">
        <v>0</v>
      </c>
      <c r="L58" t="n">
        <v>0</v>
      </c>
      <c r="M58" t="n">
        <v>0</v>
      </c>
      <c r="N58" t="n">
        <v>0</v>
      </c>
      <c r="O58" t="n">
        <v>0</v>
      </c>
      <c r="P58" t="n">
        <v>0</v>
      </c>
      <c r="Q58" t="n">
        <v>0</v>
      </c>
      <c r="R58" s="2" t="inlineStr"/>
    </row>
    <row r="59" ht="15" customHeight="1">
      <c r="A59" t="inlineStr">
        <is>
          <t>A 22138-2021</t>
        </is>
      </c>
      <c r="B59" s="1" t="n">
        <v>44324.67472222223</v>
      </c>
      <c r="C59" s="1" t="n">
        <v>45973</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35148-2021</t>
        </is>
      </c>
      <c r="B60" s="1" t="n">
        <v>44384</v>
      </c>
      <c r="C60" s="1" t="n">
        <v>45973</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15508-2022</t>
        </is>
      </c>
      <c r="B61" s="1" t="n">
        <v>44662.39761574074</v>
      </c>
      <c r="C61" s="1" t="n">
        <v>45973</v>
      </c>
      <c r="D61" t="inlineStr">
        <is>
          <t>VÄSTRA GÖTALANDS LÄN</t>
        </is>
      </c>
      <c r="E61" t="inlineStr">
        <is>
          <t>ALE</t>
        </is>
      </c>
      <c r="G61" t="n">
        <v>0.4</v>
      </c>
      <c r="H61" t="n">
        <v>0</v>
      </c>
      <c r="I61" t="n">
        <v>0</v>
      </c>
      <c r="J61" t="n">
        <v>0</v>
      </c>
      <c r="K61" t="n">
        <v>0</v>
      </c>
      <c r="L61" t="n">
        <v>0</v>
      </c>
      <c r="M61" t="n">
        <v>0</v>
      </c>
      <c r="N61" t="n">
        <v>0</v>
      </c>
      <c r="O61" t="n">
        <v>0</v>
      </c>
      <c r="P61" t="n">
        <v>0</v>
      </c>
      <c r="Q61" t="n">
        <v>0</v>
      </c>
      <c r="R61" s="2" t="inlineStr"/>
    </row>
    <row r="62" ht="15" customHeight="1">
      <c r="A62" t="inlineStr">
        <is>
          <t>A 31566-2021</t>
        </is>
      </c>
      <c r="B62" s="1" t="n">
        <v>44369</v>
      </c>
      <c r="C62" s="1" t="n">
        <v>45973</v>
      </c>
      <c r="D62" t="inlineStr">
        <is>
          <t>VÄSTRA GÖTALANDS LÄN</t>
        </is>
      </c>
      <c r="E62" t="inlineStr">
        <is>
          <t>ALE</t>
        </is>
      </c>
      <c r="G62" t="n">
        <v>1.1</v>
      </c>
      <c r="H62" t="n">
        <v>0</v>
      </c>
      <c r="I62" t="n">
        <v>0</v>
      </c>
      <c r="J62" t="n">
        <v>0</v>
      </c>
      <c r="K62" t="n">
        <v>0</v>
      </c>
      <c r="L62" t="n">
        <v>0</v>
      </c>
      <c r="M62" t="n">
        <v>0</v>
      </c>
      <c r="N62" t="n">
        <v>0</v>
      </c>
      <c r="O62" t="n">
        <v>0</v>
      </c>
      <c r="P62" t="n">
        <v>0</v>
      </c>
      <c r="Q62" t="n">
        <v>0</v>
      </c>
      <c r="R62" s="2" t="inlineStr"/>
    </row>
    <row r="63" ht="15" customHeight="1">
      <c r="A63" t="inlineStr">
        <is>
          <t>A 5875-2023</t>
        </is>
      </c>
      <c r="B63" s="1" t="n">
        <v>44963</v>
      </c>
      <c r="C63" s="1" t="n">
        <v>45973</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46391-2021</t>
        </is>
      </c>
      <c r="B64" s="1" t="n">
        <v>44443</v>
      </c>
      <c r="C64" s="1" t="n">
        <v>45973</v>
      </c>
      <c r="D64" t="inlineStr">
        <is>
          <t>VÄSTRA GÖTALANDS LÄN</t>
        </is>
      </c>
      <c r="E64" t="inlineStr">
        <is>
          <t>ALE</t>
        </is>
      </c>
      <c r="G64" t="n">
        <v>1.3</v>
      </c>
      <c r="H64" t="n">
        <v>0</v>
      </c>
      <c r="I64" t="n">
        <v>0</v>
      </c>
      <c r="J64" t="n">
        <v>0</v>
      </c>
      <c r="K64" t="n">
        <v>0</v>
      </c>
      <c r="L64" t="n">
        <v>0</v>
      </c>
      <c r="M64" t="n">
        <v>0</v>
      </c>
      <c r="N64" t="n">
        <v>0</v>
      </c>
      <c r="O64" t="n">
        <v>0</v>
      </c>
      <c r="P64" t="n">
        <v>0</v>
      </c>
      <c r="Q64" t="n">
        <v>0</v>
      </c>
      <c r="R64" s="2" t="inlineStr"/>
    </row>
    <row r="65" ht="15" customHeight="1">
      <c r="A65" t="inlineStr">
        <is>
          <t>A 12445-2022</t>
        </is>
      </c>
      <c r="B65" s="1" t="n">
        <v>44638</v>
      </c>
      <c r="C65" s="1" t="n">
        <v>45973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45986-2021</t>
        </is>
      </c>
      <c r="B66" s="1" t="n">
        <v>44441</v>
      </c>
      <c r="C66" s="1" t="n">
        <v>45973</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3407-2023</t>
        </is>
      </c>
      <c r="B67" s="1" t="n">
        <v>44949.54909722223</v>
      </c>
      <c r="C67" s="1" t="n">
        <v>45973</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41598-2022</t>
        </is>
      </c>
      <c r="B68" s="1" t="n">
        <v>44827.4609837963</v>
      </c>
      <c r="C68" s="1" t="n">
        <v>45973</v>
      </c>
      <c r="D68" t="inlineStr">
        <is>
          <t>VÄSTRA GÖTALANDS LÄN</t>
        </is>
      </c>
      <c r="E68" t="inlineStr">
        <is>
          <t>ALE</t>
        </is>
      </c>
      <c r="G68" t="n">
        <v>2</v>
      </c>
      <c r="H68" t="n">
        <v>0</v>
      </c>
      <c r="I68" t="n">
        <v>0</v>
      </c>
      <c r="J68" t="n">
        <v>0</v>
      </c>
      <c r="K68" t="n">
        <v>0</v>
      </c>
      <c r="L68" t="n">
        <v>0</v>
      </c>
      <c r="M68" t="n">
        <v>0</v>
      </c>
      <c r="N68" t="n">
        <v>0</v>
      </c>
      <c r="O68" t="n">
        <v>0</v>
      </c>
      <c r="P68" t="n">
        <v>0</v>
      </c>
      <c r="Q68" t="n">
        <v>0</v>
      </c>
      <c r="R68" s="2" t="inlineStr"/>
    </row>
    <row r="69" ht="15" customHeight="1">
      <c r="A69" t="inlineStr">
        <is>
          <t>A 3293-2021</t>
        </is>
      </c>
      <c r="B69" s="1" t="n">
        <v>44217</v>
      </c>
      <c r="C69" s="1" t="n">
        <v>45973</v>
      </c>
      <c r="D69" t="inlineStr">
        <is>
          <t>VÄSTRA GÖTALANDS LÄN</t>
        </is>
      </c>
      <c r="E69" t="inlineStr">
        <is>
          <t>ALE</t>
        </is>
      </c>
      <c r="G69" t="n">
        <v>4.2</v>
      </c>
      <c r="H69" t="n">
        <v>0</v>
      </c>
      <c r="I69" t="n">
        <v>0</v>
      </c>
      <c r="J69" t="n">
        <v>0</v>
      </c>
      <c r="K69" t="n">
        <v>0</v>
      </c>
      <c r="L69" t="n">
        <v>0</v>
      </c>
      <c r="M69" t="n">
        <v>0</v>
      </c>
      <c r="N69" t="n">
        <v>0</v>
      </c>
      <c r="O69" t="n">
        <v>0</v>
      </c>
      <c r="P69" t="n">
        <v>0</v>
      </c>
      <c r="Q69" t="n">
        <v>0</v>
      </c>
      <c r="R69" s="2" t="inlineStr"/>
    </row>
    <row r="70" ht="15" customHeight="1">
      <c r="A70" t="inlineStr">
        <is>
          <t>A 14458-2024</t>
        </is>
      </c>
      <c r="B70" s="1" t="n">
        <v>45394</v>
      </c>
      <c r="C70" s="1" t="n">
        <v>45973</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51564-2023</t>
        </is>
      </c>
      <c r="B71" s="1" t="n">
        <v>45222</v>
      </c>
      <c r="C71" s="1" t="n">
        <v>45973</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53476-2023</t>
        </is>
      </c>
      <c r="B72" s="1" t="n">
        <v>45230.33737268519</v>
      </c>
      <c r="C72" s="1" t="n">
        <v>45973</v>
      </c>
      <c r="D72" t="inlineStr">
        <is>
          <t>VÄSTRA GÖTALANDS LÄN</t>
        </is>
      </c>
      <c r="E72" t="inlineStr">
        <is>
          <t>ALE</t>
        </is>
      </c>
      <c r="G72" t="n">
        <v>1.9</v>
      </c>
      <c r="H72" t="n">
        <v>0</v>
      </c>
      <c r="I72" t="n">
        <v>0</v>
      </c>
      <c r="J72" t="n">
        <v>0</v>
      </c>
      <c r="K72" t="n">
        <v>0</v>
      </c>
      <c r="L72" t="n">
        <v>0</v>
      </c>
      <c r="M72" t="n">
        <v>0</v>
      </c>
      <c r="N72" t="n">
        <v>0</v>
      </c>
      <c r="O72" t="n">
        <v>0</v>
      </c>
      <c r="P72" t="n">
        <v>0</v>
      </c>
      <c r="Q72" t="n">
        <v>0</v>
      </c>
      <c r="R72" s="2" t="inlineStr"/>
    </row>
    <row r="73" ht="15" customHeight="1">
      <c r="A73" t="inlineStr">
        <is>
          <t>A 47087-2023</t>
        </is>
      </c>
      <c r="B73" s="1" t="n">
        <v>45196</v>
      </c>
      <c r="C73" s="1" t="n">
        <v>45973</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4642-2024</t>
        </is>
      </c>
      <c r="B74" s="1" t="n">
        <v>45328.43502314815</v>
      </c>
      <c r="C74" s="1" t="n">
        <v>45973</v>
      </c>
      <c r="D74" t="inlineStr">
        <is>
          <t>VÄSTRA GÖTALANDS LÄN</t>
        </is>
      </c>
      <c r="E74" t="inlineStr">
        <is>
          <t>ALE</t>
        </is>
      </c>
      <c r="G74" t="n">
        <v>7.1</v>
      </c>
      <c r="H74" t="n">
        <v>0</v>
      </c>
      <c r="I74" t="n">
        <v>0</v>
      </c>
      <c r="J74" t="n">
        <v>0</v>
      </c>
      <c r="K74" t="n">
        <v>0</v>
      </c>
      <c r="L74" t="n">
        <v>0</v>
      </c>
      <c r="M74" t="n">
        <v>0</v>
      </c>
      <c r="N74" t="n">
        <v>0</v>
      </c>
      <c r="O74" t="n">
        <v>0</v>
      </c>
      <c r="P74" t="n">
        <v>0</v>
      </c>
      <c r="Q74" t="n">
        <v>0</v>
      </c>
      <c r="R74" s="2" t="inlineStr"/>
    </row>
    <row r="75" ht="15" customHeight="1">
      <c r="A75" t="inlineStr">
        <is>
          <t>A 41607-2022</t>
        </is>
      </c>
      <c r="B75" s="1" t="n">
        <v>44827.46658564815</v>
      </c>
      <c r="C75" s="1" t="n">
        <v>45973</v>
      </c>
      <c r="D75" t="inlineStr">
        <is>
          <t>VÄSTRA GÖTALANDS LÄN</t>
        </is>
      </c>
      <c r="E75" t="inlineStr">
        <is>
          <t>ALE</t>
        </is>
      </c>
      <c r="G75" t="n">
        <v>3.6</v>
      </c>
      <c r="H75" t="n">
        <v>0</v>
      </c>
      <c r="I75" t="n">
        <v>0</v>
      </c>
      <c r="J75" t="n">
        <v>0</v>
      </c>
      <c r="K75" t="n">
        <v>0</v>
      </c>
      <c r="L75" t="n">
        <v>0</v>
      </c>
      <c r="M75" t="n">
        <v>0</v>
      </c>
      <c r="N75" t="n">
        <v>0</v>
      </c>
      <c r="O75" t="n">
        <v>0</v>
      </c>
      <c r="P75" t="n">
        <v>0</v>
      </c>
      <c r="Q75" t="n">
        <v>0</v>
      </c>
      <c r="R75" s="2" t="inlineStr"/>
    </row>
    <row r="76" ht="15" customHeight="1">
      <c r="A76" t="inlineStr">
        <is>
          <t>A 26157-2023</t>
        </is>
      </c>
      <c r="B76" s="1" t="n">
        <v>45091.50479166667</v>
      </c>
      <c r="C76" s="1" t="n">
        <v>45973</v>
      </c>
      <c r="D76" t="inlineStr">
        <is>
          <t>VÄSTRA GÖTALANDS LÄN</t>
        </is>
      </c>
      <c r="E76" t="inlineStr">
        <is>
          <t>ALE</t>
        </is>
      </c>
      <c r="G76" t="n">
        <v>2.6</v>
      </c>
      <c r="H76" t="n">
        <v>0</v>
      </c>
      <c r="I76" t="n">
        <v>0</v>
      </c>
      <c r="J76" t="n">
        <v>0</v>
      </c>
      <c r="K76" t="n">
        <v>0</v>
      </c>
      <c r="L76" t="n">
        <v>0</v>
      </c>
      <c r="M76" t="n">
        <v>0</v>
      </c>
      <c r="N76" t="n">
        <v>0</v>
      </c>
      <c r="O76" t="n">
        <v>0</v>
      </c>
      <c r="P76" t="n">
        <v>0</v>
      </c>
      <c r="Q76" t="n">
        <v>0</v>
      </c>
      <c r="R76" s="2" t="inlineStr"/>
    </row>
    <row r="77" ht="15" customHeight="1">
      <c r="A77" t="inlineStr">
        <is>
          <t>A 36403-2024</t>
        </is>
      </c>
      <c r="B77" s="1" t="n">
        <v>45535.69445601852</v>
      </c>
      <c r="C77" s="1" t="n">
        <v>45973</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14731-2022</t>
        </is>
      </c>
      <c r="B78" s="1" t="n">
        <v>44656</v>
      </c>
      <c r="C78" s="1" t="n">
        <v>45973</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15582-2025</t>
        </is>
      </c>
      <c r="B79" s="1" t="n">
        <v>45747.81394675926</v>
      </c>
      <c r="C79" s="1" t="n">
        <v>45973</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3520-2022</t>
        </is>
      </c>
      <c r="B80" s="1" t="n">
        <v>44585.72818287037</v>
      </c>
      <c r="C80" s="1" t="n">
        <v>45973</v>
      </c>
      <c r="D80" t="inlineStr">
        <is>
          <t>VÄSTRA GÖTALANDS LÄN</t>
        </is>
      </c>
      <c r="E80" t="inlineStr">
        <is>
          <t>ALE</t>
        </is>
      </c>
      <c r="G80" t="n">
        <v>2.3</v>
      </c>
      <c r="H80" t="n">
        <v>0</v>
      </c>
      <c r="I80" t="n">
        <v>0</v>
      </c>
      <c r="J80" t="n">
        <v>0</v>
      </c>
      <c r="K80" t="n">
        <v>0</v>
      </c>
      <c r="L80" t="n">
        <v>0</v>
      </c>
      <c r="M80" t="n">
        <v>0</v>
      </c>
      <c r="N80" t="n">
        <v>0</v>
      </c>
      <c r="O80" t="n">
        <v>0</v>
      </c>
      <c r="P80" t="n">
        <v>0</v>
      </c>
      <c r="Q80" t="n">
        <v>0</v>
      </c>
      <c r="R80" s="2" t="inlineStr"/>
    </row>
    <row r="81" ht="15" customHeight="1">
      <c r="A81" t="inlineStr">
        <is>
          <t>A 55405-2021</t>
        </is>
      </c>
      <c r="B81" s="1" t="n">
        <v>44475.53733796296</v>
      </c>
      <c r="C81" s="1" t="n">
        <v>45973</v>
      </c>
      <c r="D81" t="inlineStr">
        <is>
          <t>VÄSTRA GÖTALANDS LÄN</t>
        </is>
      </c>
      <c r="E81" t="inlineStr">
        <is>
          <t>ALE</t>
        </is>
      </c>
      <c r="G81" t="n">
        <v>0.5</v>
      </c>
      <c r="H81" t="n">
        <v>0</v>
      </c>
      <c r="I81" t="n">
        <v>0</v>
      </c>
      <c r="J81" t="n">
        <v>0</v>
      </c>
      <c r="K81" t="n">
        <v>0</v>
      </c>
      <c r="L81" t="n">
        <v>0</v>
      </c>
      <c r="M81" t="n">
        <v>0</v>
      </c>
      <c r="N81" t="n">
        <v>0</v>
      </c>
      <c r="O81" t="n">
        <v>0</v>
      </c>
      <c r="P81" t="n">
        <v>0</v>
      </c>
      <c r="Q81" t="n">
        <v>0</v>
      </c>
      <c r="R81" s="2" t="inlineStr"/>
    </row>
    <row r="82" ht="15" customHeight="1">
      <c r="A82" t="inlineStr">
        <is>
          <t>A 14493-2024</t>
        </is>
      </c>
      <c r="B82" s="1" t="n">
        <v>45394.58491898148</v>
      </c>
      <c r="C82" s="1" t="n">
        <v>45973</v>
      </c>
      <c r="D82" t="inlineStr">
        <is>
          <t>VÄSTRA GÖTALANDS LÄN</t>
        </is>
      </c>
      <c r="E82" t="inlineStr">
        <is>
          <t>ALE</t>
        </is>
      </c>
      <c r="G82" t="n">
        <v>2.3</v>
      </c>
      <c r="H82" t="n">
        <v>0</v>
      </c>
      <c r="I82" t="n">
        <v>0</v>
      </c>
      <c r="J82" t="n">
        <v>0</v>
      </c>
      <c r="K82" t="n">
        <v>0</v>
      </c>
      <c r="L82" t="n">
        <v>0</v>
      </c>
      <c r="M82" t="n">
        <v>0</v>
      </c>
      <c r="N82" t="n">
        <v>0</v>
      </c>
      <c r="O82" t="n">
        <v>0</v>
      </c>
      <c r="P82" t="n">
        <v>0</v>
      </c>
      <c r="Q82" t="n">
        <v>0</v>
      </c>
      <c r="R82" s="2" t="inlineStr"/>
    </row>
    <row r="83" ht="15" customHeight="1">
      <c r="A83" t="inlineStr">
        <is>
          <t>A 66551-2020</t>
        </is>
      </c>
      <c r="B83" s="1" t="n">
        <v>44179</v>
      </c>
      <c r="C83" s="1" t="n">
        <v>45973</v>
      </c>
      <c r="D83" t="inlineStr">
        <is>
          <t>VÄSTRA GÖTALANDS LÄN</t>
        </is>
      </c>
      <c r="E83" t="inlineStr">
        <is>
          <t>ALE</t>
        </is>
      </c>
      <c r="G83" t="n">
        <v>4.5</v>
      </c>
      <c r="H83" t="n">
        <v>0</v>
      </c>
      <c r="I83" t="n">
        <v>0</v>
      </c>
      <c r="J83" t="n">
        <v>0</v>
      </c>
      <c r="K83" t="n">
        <v>0</v>
      </c>
      <c r="L83" t="n">
        <v>0</v>
      </c>
      <c r="M83" t="n">
        <v>0</v>
      </c>
      <c r="N83" t="n">
        <v>0</v>
      </c>
      <c r="O83" t="n">
        <v>0</v>
      </c>
      <c r="P83" t="n">
        <v>0</v>
      </c>
      <c r="Q83" t="n">
        <v>0</v>
      </c>
      <c r="R83" s="2" t="inlineStr"/>
    </row>
    <row r="84" ht="15" customHeight="1">
      <c r="A84" t="inlineStr">
        <is>
          <t>A 33237-2024</t>
        </is>
      </c>
      <c r="B84" s="1" t="n">
        <v>45518.59173611111</v>
      </c>
      <c r="C84" s="1" t="n">
        <v>45973</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44429-2023</t>
        </is>
      </c>
      <c r="B85" s="1" t="n">
        <v>45189.35101851852</v>
      </c>
      <c r="C85" s="1" t="n">
        <v>45973</v>
      </c>
      <c r="D85" t="inlineStr">
        <is>
          <t>VÄSTRA GÖTALANDS LÄN</t>
        </is>
      </c>
      <c r="E85" t="inlineStr">
        <is>
          <t>ALE</t>
        </is>
      </c>
      <c r="G85" t="n">
        <v>0.1</v>
      </c>
      <c r="H85" t="n">
        <v>0</v>
      </c>
      <c r="I85" t="n">
        <v>0</v>
      </c>
      <c r="J85" t="n">
        <v>0</v>
      </c>
      <c r="K85" t="n">
        <v>0</v>
      </c>
      <c r="L85" t="n">
        <v>0</v>
      </c>
      <c r="M85" t="n">
        <v>0</v>
      </c>
      <c r="N85" t="n">
        <v>0</v>
      </c>
      <c r="O85" t="n">
        <v>0</v>
      </c>
      <c r="P85" t="n">
        <v>0</v>
      </c>
      <c r="Q85" t="n">
        <v>0</v>
      </c>
      <c r="R85" s="2" t="inlineStr"/>
    </row>
    <row r="86" ht="15" customHeight="1">
      <c r="A86" t="inlineStr">
        <is>
          <t>A 7892-2024</t>
        </is>
      </c>
      <c r="B86" s="1" t="n">
        <v>45350.40921296296</v>
      </c>
      <c r="C86" s="1" t="n">
        <v>45973</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36763-2022</t>
        </is>
      </c>
      <c r="B87" s="1" t="n">
        <v>44805</v>
      </c>
      <c r="C87" s="1" t="n">
        <v>45973</v>
      </c>
      <c r="D87" t="inlineStr">
        <is>
          <t>VÄSTRA GÖTALANDS LÄN</t>
        </is>
      </c>
      <c r="E87" t="inlineStr">
        <is>
          <t>ALE</t>
        </is>
      </c>
      <c r="G87" t="n">
        <v>6.1</v>
      </c>
      <c r="H87" t="n">
        <v>0</v>
      </c>
      <c r="I87" t="n">
        <v>0</v>
      </c>
      <c r="J87" t="n">
        <v>0</v>
      </c>
      <c r="K87" t="n">
        <v>0</v>
      </c>
      <c r="L87" t="n">
        <v>0</v>
      </c>
      <c r="M87" t="n">
        <v>0</v>
      </c>
      <c r="N87" t="n">
        <v>0</v>
      </c>
      <c r="O87" t="n">
        <v>0</v>
      </c>
      <c r="P87" t="n">
        <v>0</v>
      </c>
      <c r="Q87" t="n">
        <v>0</v>
      </c>
      <c r="R87" s="2" t="inlineStr"/>
    </row>
    <row r="88" ht="15" customHeight="1">
      <c r="A88" t="inlineStr">
        <is>
          <t>A 51164-2024</t>
        </is>
      </c>
      <c r="B88" s="1" t="n">
        <v>45603.5830787037</v>
      </c>
      <c r="C88" s="1" t="n">
        <v>45973</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4444-2024</t>
        </is>
      </c>
      <c r="B89" s="1" t="n">
        <v>45327</v>
      </c>
      <c r="C89" s="1" t="n">
        <v>45973</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72801-2021</t>
        </is>
      </c>
      <c r="B90" s="1" t="n">
        <v>44546</v>
      </c>
      <c r="C90" s="1" t="n">
        <v>45973</v>
      </c>
      <c r="D90" t="inlineStr">
        <is>
          <t>VÄSTRA GÖTALANDS LÄN</t>
        </is>
      </c>
      <c r="E90" t="inlineStr">
        <is>
          <t>ALE</t>
        </is>
      </c>
      <c r="F90" t="inlineStr">
        <is>
          <t>Naturvårdsverket</t>
        </is>
      </c>
      <c r="G90" t="n">
        <v>1.4</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45973</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45988-2021</t>
        </is>
      </c>
      <c r="B92" s="1" t="n">
        <v>44441</v>
      </c>
      <c r="C92" s="1" t="n">
        <v>45973</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24642-2022</t>
        </is>
      </c>
      <c r="B93" s="1" t="n">
        <v>44727.59578703704</v>
      </c>
      <c r="C93" s="1" t="n">
        <v>45973</v>
      </c>
      <c r="D93" t="inlineStr">
        <is>
          <t>VÄSTRA GÖTALANDS LÄN</t>
        </is>
      </c>
      <c r="E93" t="inlineStr">
        <is>
          <t>ALE</t>
        </is>
      </c>
      <c r="G93" t="n">
        <v>10</v>
      </c>
      <c r="H93" t="n">
        <v>0</v>
      </c>
      <c r="I93" t="n">
        <v>0</v>
      </c>
      <c r="J93" t="n">
        <v>0</v>
      </c>
      <c r="K93" t="n">
        <v>0</v>
      </c>
      <c r="L93" t="n">
        <v>0</v>
      </c>
      <c r="M93" t="n">
        <v>0</v>
      </c>
      <c r="N93" t="n">
        <v>0</v>
      </c>
      <c r="O93" t="n">
        <v>0</v>
      </c>
      <c r="P93" t="n">
        <v>0</v>
      </c>
      <c r="Q93" t="n">
        <v>0</v>
      </c>
      <c r="R93" s="2" t="inlineStr"/>
    </row>
    <row r="94" ht="15" customHeight="1">
      <c r="A94" t="inlineStr">
        <is>
          <t>A 49955-2021</t>
        </is>
      </c>
      <c r="B94" s="1" t="n">
        <v>44456</v>
      </c>
      <c r="C94" s="1" t="n">
        <v>45973</v>
      </c>
      <c r="D94" t="inlineStr">
        <is>
          <t>VÄSTRA GÖTALANDS LÄN</t>
        </is>
      </c>
      <c r="E94" t="inlineStr">
        <is>
          <t>ALE</t>
        </is>
      </c>
      <c r="G94" t="n">
        <v>2.2</v>
      </c>
      <c r="H94" t="n">
        <v>0</v>
      </c>
      <c r="I94" t="n">
        <v>0</v>
      </c>
      <c r="J94" t="n">
        <v>0</v>
      </c>
      <c r="K94" t="n">
        <v>0</v>
      </c>
      <c r="L94" t="n">
        <v>0</v>
      </c>
      <c r="M94" t="n">
        <v>0</v>
      </c>
      <c r="N94" t="n">
        <v>0</v>
      </c>
      <c r="O94" t="n">
        <v>0</v>
      </c>
      <c r="P94" t="n">
        <v>0</v>
      </c>
      <c r="Q94" t="n">
        <v>0</v>
      </c>
      <c r="R94" s="2" t="inlineStr"/>
    </row>
    <row r="95" ht="15" customHeight="1">
      <c r="A95" t="inlineStr">
        <is>
          <t>A 8956-2025</t>
        </is>
      </c>
      <c r="B95" s="1" t="n">
        <v>45713.46825231481</v>
      </c>
      <c r="C95" s="1" t="n">
        <v>45973</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22946-2025</t>
        </is>
      </c>
      <c r="B96" s="1" t="n">
        <v>45790.48229166667</v>
      </c>
      <c r="C96" s="1" t="n">
        <v>45973</v>
      </c>
      <c r="D96" t="inlineStr">
        <is>
          <t>VÄSTRA GÖTALANDS LÄN</t>
        </is>
      </c>
      <c r="E96" t="inlineStr">
        <is>
          <t>ALE</t>
        </is>
      </c>
      <c r="G96" t="n">
        <v>0.6</v>
      </c>
      <c r="H96" t="n">
        <v>0</v>
      </c>
      <c r="I96" t="n">
        <v>0</v>
      </c>
      <c r="J96" t="n">
        <v>0</v>
      </c>
      <c r="K96" t="n">
        <v>0</v>
      </c>
      <c r="L96" t="n">
        <v>0</v>
      </c>
      <c r="M96" t="n">
        <v>0</v>
      </c>
      <c r="N96" t="n">
        <v>0</v>
      </c>
      <c r="O96" t="n">
        <v>0</v>
      </c>
      <c r="P96" t="n">
        <v>0</v>
      </c>
      <c r="Q96" t="n">
        <v>0</v>
      </c>
      <c r="R96" s="2" t="inlineStr"/>
    </row>
    <row r="97" ht="15" customHeight="1">
      <c r="A97" t="inlineStr">
        <is>
          <t>A 4971-2024</t>
        </is>
      </c>
      <c r="B97" s="1" t="n">
        <v>45329</v>
      </c>
      <c r="C97" s="1" t="n">
        <v>45973</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26083-2023</t>
        </is>
      </c>
      <c r="B98" s="1" t="n">
        <v>45091</v>
      </c>
      <c r="C98" s="1" t="n">
        <v>45973</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37461-2024</t>
        </is>
      </c>
      <c r="B99" s="1" t="n">
        <v>45540.72516203704</v>
      </c>
      <c r="C99" s="1" t="n">
        <v>45973</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47728-2025</t>
        </is>
      </c>
      <c r="B100" s="1" t="n">
        <v>45931.63186342592</v>
      </c>
      <c r="C100" s="1" t="n">
        <v>45973</v>
      </c>
      <c r="D100" t="inlineStr">
        <is>
          <t>VÄSTRA GÖTALANDS LÄN</t>
        </is>
      </c>
      <c r="E100" t="inlineStr">
        <is>
          <t>ALE</t>
        </is>
      </c>
      <c r="G100" t="n">
        <v>1.1</v>
      </c>
      <c r="H100" t="n">
        <v>0</v>
      </c>
      <c r="I100" t="n">
        <v>0</v>
      </c>
      <c r="J100" t="n">
        <v>0</v>
      </c>
      <c r="K100" t="n">
        <v>0</v>
      </c>
      <c r="L100" t="n">
        <v>0</v>
      </c>
      <c r="M100" t="n">
        <v>0</v>
      </c>
      <c r="N100" t="n">
        <v>0</v>
      </c>
      <c r="O100" t="n">
        <v>0</v>
      </c>
      <c r="P100" t="n">
        <v>0</v>
      </c>
      <c r="Q100" t="n">
        <v>0</v>
      </c>
      <c r="R100" s="2" t="inlineStr"/>
    </row>
    <row r="101" ht="15" customHeight="1">
      <c r="A101" t="inlineStr">
        <is>
          <t>A 47593-2025</t>
        </is>
      </c>
      <c r="B101" s="1" t="n">
        <v>45931.4480787037</v>
      </c>
      <c r="C101" s="1" t="n">
        <v>45973</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47592-2025</t>
        </is>
      </c>
      <c r="B102" s="1" t="n">
        <v>45931.44649305556</v>
      </c>
      <c r="C102" s="1" t="n">
        <v>45973</v>
      </c>
      <c r="D102" t="inlineStr">
        <is>
          <t>VÄSTRA GÖTALANDS LÄN</t>
        </is>
      </c>
      <c r="E102" t="inlineStr">
        <is>
          <t>ALE</t>
        </is>
      </c>
      <c r="G102" t="n">
        <v>0.6</v>
      </c>
      <c r="H102" t="n">
        <v>0</v>
      </c>
      <c r="I102" t="n">
        <v>0</v>
      </c>
      <c r="J102" t="n">
        <v>0</v>
      </c>
      <c r="K102" t="n">
        <v>0</v>
      </c>
      <c r="L102" t="n">
        <v>0</v>
      </c>
      <c r="M102" t="n">
        <v>0</v>
      </c>
      <c r="N102" t="n">
        <v>0</v>
      </c>
      <c r="O102" t="n">
        <v>0</v>
      </c>
      <c r="P102" t="n">
        <v>0</v>
      </c>
      <c r="Q102" t="n">
        <v>0</v>
      </c>
      <c r="R102" s="2" t="inlineStr"/>
    </row>
    <row r="103" ht="15" customHeight="1">
      <c r="A103" t="inlineStr">
        <is>
          <t>A 1822-2024</t>
        </is>
      </c>
      <c r="B103" s="1" t="n">
        <v>45307.6205787037</v>
      </c>
      <c r="C103" s="1" t="n">
        <v>45973</v>
      </c>
      <c r="D103" t="inlineStr">
        <is>
          <t>VÄSTRA GÖTALANDS LÄN</t>
        </is>
      </c>
      <c r="E103" t="inlineStr">
        <is>
          <t>ALE</t>
        </is>
      </c>
      <c r="G103" t="n">
        <v>2</v>
      </c>
      <c r="H103" t="n">
        <v>0</v>
      </c>
      <c r="I103" t="n">
        <v>0</v>
      </c>
      <c r="J103" t="n">
        <v>0</v>
      </c>
      <c r="K103" t="n">
        <v>0</v>
      </c>
      <c r="L103" t="n">
        <v>0</v>
      </c>
      <c r="M103" t="n">
        <v>0</v>
      </c>
      <c r="N103" t="n">
        <v>0</v>
      </c>
      <c r="O103" t="n">
        <v>0</v>
      </c>
      <c r="P103" t="n">
        <v>0</v>
      </c>
      <c r="Q103" t="n">
        <v>0</v>
      </c>
      <c r="R103" s="2" t="inlineStr"/>
    </row>
    <row r="104" ht="15" customHeight="1">
      <c r="A104" t="inlineStr">
        <is>
          <t>A 15241-2025</t>
        </is>
      </c>
      <c r="B104" s="1" t="n">
        <v>45744.61255787037</v>
      </c>
      <c r="C104" s="1" t="n">
        <v>45973</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40074-2025</t>
        </is>
      </c>
      <c r="B105" s="1" t="n">
        <v>45894.44685185186</v>
      </c>
      <c r="C105" s="1" t="n">
        <v>45973</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6947-2024</t>
        </is>
      </c>
      <c r="B106" s="1" t="n">
        <v>45343</v>
      </c>
      <c r="C106" s="1" t="n">
        <v>45973</v>
      </c>
      <c r="D106" t="inlineStr">
        <is>
          <t>VÄSTRA GÖTALANDS LÄN</t>
        </is>
      </c>
      <c r="E106" t="inlineStr">
        <is>
          <t>ALE</t>
        </is>
      </c>
      <c r="G106" t="n">
        <v>3.7</v>
      </c>
      <c r="H106" t="n">
        <v>0</v>
      </c>
      <c r="I106" t="n">
        <v>0</v>
      </c>
      <c r="J106" t="n">
        <v>0</v>
      </c>
      <c r="K106" t="n">
        <v>0</v>
      </c>
      <c r="L106" t="n">
        <v>0</v>
      </c>
      <c r="M106" t="n">
        <v>0</v>
      </c>
      <c r="N106" t="n">
        <v>0</v>
      </c>
      <c r="O106" t="n">
        <v>0</v>
      </c>
      <c r="P106" t="n">
        <v>0</v>
      </c>
      <c r="Q106" t="n">
        <v>0</v>
      </c>
      <c r="R106" s="2" t="inlineStr"/>
    </row>
    <row r="107" ht="15" customHeight="1">
      <c r="A107" t="inlineStr">
        <is>
          <t>A 48213-2025</t>
        </is>
      </c>
      <c r="B107" s="1" t="n">
        <v>45933</v>
      </c>
      <c r="C107" s="1" t="n">
        <v>45973</v>
      </c>
      <c r="D107" t="inlineStr">
        <is>
          <t>VÄSTRA GÖTALANDS LÄN</t>
        </is>
      </c>
      <c r="E107" t="inlineStr">
        <is>
          <t>ALE</t>
        </is>
      </c>
      <c r="G107" t="n">
        <v>3.3</v>
      </c>
      <c r="H107" t="n">
        <v>0</v>
      </c>
      <c r="I107" t="n">
        <v>0</v>
      </c>
      <c r="J107" t="n">
        <v>0</v>
      </c>
      <c r="K107" t="n">
        <v>0</v>
      </c>
      <c r="L107" t="n">
        <v>0</v>
      </c>
      <c r="M107" t="n">
        <v>0</v>
      </c>
      <c r="N107" t="n">
        <v>0</v>
      </c>
      <c r="O107" t="n">
        <v>0</v>
      </c>
      <c r="P107" t="n">
        <v>0</v>
      </c>
      <c r="Q107" t="n">
        <v>0</v>
      </c>
      <c r="R107" s="2" t="inlineStr"/>
    </row>
    <row r="108" ht="15" customHeight="1">
      <c r="A108" t="inlineStr">
        <is>
          <t>A 48218-2025</t>
        </is>
      </c>
      <c r="B108" s="1" t="n">
        <v>45933</v>
      </c>
      <c r="C108" s="1" t="n">
        <v>45973</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35959-2022</t>
        </is>
      </c>
      <c r="B109" s="1" t="n">
        <v>44802.57002314815</v>
      </c>
      <c r="C109" s="1" t="n">
        <v>45973</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45973</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17044-2025</t>
        </is>
      </c>
      <c r="B111" s="1" t="n">
        <v>45755.58891203703</v>
      </c>
      <c r="C111" s="1" t="n">
        <v>45973</v>
      </c>
      <c r="D111" t="inlineStr">
        <is>
          <t>VÄSTRA GÖTALANDS LÄN</t>
        </is>
      </c>
      <c r="E111" t="inlineStr">
        <is>
          <t>ALE</t>
        </is>
      </c>
      <c r="G111" t="n">
        <v>1.5</v>
      </c>
      <c r="H111" t="n">
        <v>0</v>
      </c>
      <c r="I111" t="n">
        <v>0</v>
      </c>
      <c r="J111" t="n">
        <v>0</v>
      </c>
      <c r="K111" t="n">
        <v>0</v>
      </c>
      <c r="L111" t="n">
        <v>0</v>
      </c>
      <c r="M111" t="n">
        <v>0</v>
      </c>
      <c r="N111" t="n">
        <v>0</v>
      </c>
      <c r="O111" t="n">
        <v>0</v>
      </c>
      <c r="P111" t="n">
        <v>0</v>
      </c>
      <c r="Q111" t="n">
        <v>0</v>
      </c>
      <c r="R111" s="2" t="inlineStr"/>
    </row>
    <row r="112" ht="15" customHeight="1">
      <c r="A112" t="inlineStr">
        <is>
          <t>A 34153-2024</t>
        </is>
      </c>
      <c r="B112" s="1" t="n">
        <v>45524.38400462963</v>
      </c>
      <c r="C112" s="1" t="n">
        <v>45973</v>
      </c>
      <c r="D112" t="inlineStr">
        <is>
          <t>VÄSTRA GÖTALANDS LÄN</t>
        </is>
      </c>
      <c r="E112" t="inlineStr">
        <is>
          <t>ALE</t>
        </is>
      </c>
      <c r="G112" t="n">
        <v>0.8</v>
      </c>
      <c r="H112" t="n">
        <v>0</v>
      </c>
      <c r="I112" t="n">
        <v>0</v>
      </c>
      <c r="J112" t="n">
        <v>0</v>
      </c>
      <c r="K112" t="n">
        <v>0</v>
      </c>
      <c r="L112" t="n">
        <v>0</v>
      </c>
      <c r="M112" t="n">
        <v>0</v>
      </c>
      <c r="N112" t="n">
        <v>0</v>
      </c>
      <c r="O112" t="n">
        <v>0</v>
      </c>
      <c r="P112" t="n">
        <v>0</v>
      </c>
      <c r="Q112" t="n">
        <v>0</v>
      </c>
      <c r="R112" s="2" t="inlineStr"/>
    </row>
    <row r="113" ht="15" customHeight="1">
      <c r="A113" t="inlineStr">
        <is>
          <t>A 50189-2025</t>
        </is>
      </c>
      <c r="B113" s="1" t="n">
        <v>45943.63476851852</v>
      </c>
      <c r="C113" s="1" t="n">
        <v>45973</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41309-2024</t>
        </is>
      </c>
      <c r="B114" s="1" t="n">
        <v>45559</v>
      </c>
      <c r="C114" s="1" t="n">
        <v>45973</v>
      </c>
      <c r="D114" t="inlineStr">
        <is>
          <t>VÄSTRA GÖTALANDS LÄN</t>
        </is>
      </c>
      <c r="E114" t="inlineStr">
        <is>
          <t>ALE</t>
        </is>
      </c>
      <c r="G114" t="n">
        <v>8.4</v>
      </c>
      <c r="H114" t="n">
        <v>0</v>
      </c>
      <c r="I114" t="n">
        <v>0</v>
      </c>
      <c r="J114" t="n">
        <v>0</v>
      </c>
      <c r="K114" t="n">
        <v>0</v>
      </c>
      <c r="L114" t="n">
        <v>0</v>
      </c>
      <c r="M114" t="n">
        <v>0</v>
      </c>
      <c r="N114" t="n">
        <v>0</v>
      </c>
      <c r="O114" t="n">
        <v>0</v>
      </c>
      <c r="P114" t="n">
        <v>0</v>
      </c>
      <c r="Q114" t="n">
        <v>0</v>
      </c>
      <c r="R114" s="2" t="inlineStr"/>
    </row>
    <row r="115" ht="15" customHeight="1">
      <c r="A115" t="inlineStr">
        <is>
          <t>A 15499-2022</t>
        </is>
      </c>
      <c r="B115" s="1" t="n">
        <v>44662</v>
      </c>
      <c r="C115" s="1" t="n">
        <v>45973</v>
      </c>
      <c r="D115" t="inlineStr">
        <is>
          <t>VÄSTRA GÖTALANDS LÄN</t>
        </is>
      </c>
      <c r="E115" t="inlineStr">
        <is>
          <t>ALE</t>
        </is>
      </c>
      <c r="G115" t="n">
        <v>4.7</v>
      </c>
      <c r="H115" t="n">
        <v>0</v>
      </c>
      <c r="I115" t="n">
        <v>0</v>
      </c>
      <c r="J115" t="n">
        <v>0</v>
      </c>
      <c r="K115" t="n">
        <v>0</v>
      </c>
      <c r="L115" t="n">
        <v>0</v>
      </c>
      <c r="M115" t="n">
        <v>0</v>
      </c>
      <c r="N115" t="n">
        <v>0</v>
      </c>
      <c r="O115" t="n">
        <v>0</v>
      </c>
      <c r="P115" t="n">
        <v>0</v>
      </c>
      <c r="Q115" t="n">
        <v>0</v>
      </c>
      <c r="R115" s="2" t="inlineStr"/>
    </row>
    <row r="116" ht="15" customHeight="1">
      <c r="A116" t="inlineStr">
        <is>
          <t>A 50973-2025</t>
        </is>
      </c>
      <c r="B116" s="1" t="n">
        <v>45947.31263888889</v>
      </c>
      <c r="C116" s="1" t="n">
        <v>45973</v>
      </c>
      <c r="D116" t="inlineStr">
        <is>
          <t>VÄSTRA GÖTALANDS LÄN</t>
        </is>
      </c>
      <c r="E116" t="inlineStr">
        <is>
          <t>ALE</t>
        </is>
      </c>
      <c r="G116" t="n">
        <v>12</v>
      </c>
      <c r="H116" t="n">
        <v>0</v>
      </c>
      <c r="I116" t="n">
        <v>0</v>
      </c>
      <c r="J116" t="n">
        <v>0</v>
      </c>
      <c r="K116" t="n">
        <v>0</v>
      </c>
      <c r="L116" t="n">
        <v>0</v>
      </c>
      <c r="M116" t="n">
        <v>0</v>
      </c>
      <c r="N116" t="n">
        <v>0</v>
      </c>
      <c r="O116" t="n">
        <v>0</v>
      </c>
      <c r="P116" t="n">
        <v>0</v>
      </c>
      <c r="Q116" t="n">
        <v>0</v>
      </c>
      <c r="R116" s="2" t="inlineStr"/>
    </row>
    <row r="117" ht="15" customHeight="1">
      <c r="A117" t="inlineStr">
        <is>
          <t>A 13426-2025</t>
        </is>
      </c>
      <c r="B117" s="1" t="n">
        <v>45736.32780092592</v>
      </c>
      <c r="C117" s="1" t="n">
        <v>45973</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3413-2023</t>
        </is>
      </c>
      <c r="B118" s="1" t="n">
        <v>44949</v>
      </c>
      <c r="C118" s="1" t="n">
        <v>45973</v>
      </c>
      <c r="D118" t="inlineStr">
        <is>
          <t>VÄSTRA GÖTALANDS LÄN</t>
        </is>
      </c>
      <c r="E118" t="inlineStr">
        <is>
          <t>ALE</t>
        </is>
      </c>
      <c r="G118" t="n">
        <v>2.3</v>
      </c>
      <c r="H118" t="n">
        <v>0</v>
      </c>
      <c r="I118" t="n">
        <v>0</v>
      </c>
      <c r="J118" t="n">
        <v>0</v>
      </c>
      <c r="K118" t="n">
        <v>0</v>
      </c>
      <c r="L118" t="n">
        <v>0</v>
      </c>
      <c r="M118" t="n">
        <v>0</v>
      </c>
      <c r="N118" t="n">
        <v>0</v>
      </c>
      <c r="O118" t="n">
        <v>0</v>
      </c>
      <c r="P118" t="n">
        <v>0</v>
      </c>
      <c r="Q118" t="n">
        <v>0</v>
      </c>
      <c r="R118" s="2" t="inlineStr"/>
    </row>
    <row r="119" ht="15" customHeight="1">
      <c r="A119" t="inlineStr">
        <is>
          <t>A 27314-2021</t>
        </is>
      </c>
      <c r="B119" s="1" t="n">
        <v>44351.36537037037</v>
      </c>
      <c r="C119" s="1" t="n">
        <v>45973</v>
      </c>
      <c r="D119" t="inlineStr">
        <is>
          <t>VÄSTRA GÖTALANDS LÄN</t>
        </is>
      </c>
      <c r="E119" t="inlineStr">
        <is>
          <t>ALE</t>
        </is>
      </c>
      <c r="G119" t="n">
        <v>11.3</v>
      </c>
      <c r="H119" t="n">
        <v>0</v>
      </c>
      <c r="I119" t="n">
        <v>0</v>
      </c>
      <c r="J119" t="n">
        <v>0</v>
      </c>
      <c r="K119" t="n">
        <v>0</v>
      </c>
      <c r="L119" t="n">
        <v>0</v>
      </c>
      <c r="M119" t="n">
        <v>0</v>
      </c>
      <c r="N119" t="n">
        <v>0</v>
      </c>
      <c r="O119" t="n">
        <v>0</v>
      </c>
      <c r="P119" t="n">
        <v>0</v>
      </c>
      <c r="Q119" t="n">
        <v>0</v>
      </c>
      <c r="R119" s="2" t="inlineStr"/>
    </row>
    <row r="120" ht="15" customHeight="1">
      <c r="A120" t="inlineStr">
        <is>
          <t>A 34104-2024</t>
        </is>
      </c>
      <c r="B120" s="1" t="n">
        <v>45523.79202546296</v>
      </c>
      <c r="C120" s="1" t="n">
        <v>45973</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44858.47591435185</v>
      </c>
      <c r="C121" s="1" t="n">
        <v>45973</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25849-2025</t>
        </is>
      </c>
      <c r="B122" s="1" t="n">
        <v>45804</v>
      </c>
      <c r="C122" s="1" t="n">
        <v>45973</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51976-2025</t>
        </is>
      </c>
      <c r="B123" s="1" t="n">
        <v>45952.56412037037</v>
      </c>
      <c r="C123" s="1" t="n">
        <v>45973</v>
      </c>
      <c r="D123" t="inlineStr">
        <is>
          <t>VÄSTRA GÖTALANDS LÄN</t>
        </is>
      </c>
      <c r="E123" t="inlineStr">
        <is>
          <t>ALE</t>
        </is>
      </c>
      <c r="G123" t="n">
        <v>5.2</v>
      </c>
      <c r="H123" t="n">
        <v>0</v>
      </c>
      <c r="I123" t="n">
        <v>0</v>
      </c>
      <c r="J123" t="n">
        <v>0</v>
      </c>
      <c r="K123" t="n">
        <v>0</v>
      </c>
      <c r="L123" t="n">
        <v>0</v>
      </c>
      <c r="M123" t="n">
        <v>0</v>
      </c>
      <c r="N123" t="n">
        <v>0</v>
      </c>
      <c r="O123" t="n">
        <v>0</v>
      </c>
      <c r="P123" t="n">
        <v>0</v>
      </c>
      <c r="Q123" t="n">
        <v>0</v>
      </c>
      <c r="R123" s="2" t="inlineStr"/>
    </row>
    <row r="124" ht="15" customHeight="1">
      <c r="A124" t="inlineStr">
        <is>
          <t>A 18999-2021</t>
        </is>
      </c>
      <c r="B124" s="1" t="n">
        <v>44308</v>
      </c>
      <c r="C124" s="1" t="n">
        <v>45973</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1960-2024</t>
        </is>
      </c>
      <c r="B125" s="1" t="n">
        <v>45308.50962962963</v>
      </c>
      <c r="C125" s="1" t="n">
        <v>45973</v>
      </c>
      <c r="D125" t="inlineStr">
        <is>
          <t>VÄSTRA GÖTALANDS LÄN</t>
        </is>
      </c>
      <c r="E125" t="inlineStr">
        <is>
          <t>ALE</t>
        </is>
      </c>
      <c r="G125" t="n">
        <v>1.9</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44949.56182870371</v>
      </c>
      <c r="C126" s="1" t="n">
        <v>45973</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25848-2025</t>
        </is>
      </c>
      <c r="B127" s="1" t="n">
        <v>45804</v>
      </c>
      <c r="C127" s="1" t="n">
        <v>45973</v>
      </c>
      <c r="D127" t="inlineStr">
        <is>
          <t>VÄSTRA GÖTALANDS LÄN</t>
        </is>
      </c>
      <c r="E127" t="inlineStr">
        <is>
          <t>ALE</t>
        </is>
      </c>
      <c r="G127" t="n">
        <v>1.1</v>
      </c>
      <c r="H127" t="n">
        <v>0</v>
      </c>
      <c r="I127" t="n">
        <v>0</v>
      </c>
      <c r="J127" t="n">
        <v>0</v>
      </c>
      <c r="K127" t="n">
        <v>0</v>
      </c>
      <c r="L127" t="n">
        <v>0</v>
      </c>
      <c r="M127" t="n">
        <v>0</v>
      </c>
      <c r="N127" t="n">
        <v>0</v>
      </c>
      <c r="O127" t="n">
        <v>0</v>
      </c>
      <c r="P127" t="n">
        <v>0</v>
      </c>
      <c r="Q127" t="n">
        <v>0</v>
      </c>
      <c r="R127" s="2" t="inlineStr"/>
    </row>
    <row r="128" ht="15" customHeight="1">
      <c r="A128" t="inlineStr">
        <is>
          <t>A 65226-2021</t>
        </is>
      </c>
      <c r="B128" s="1" t="n">
        <v>44515</v>
      </c>
      <c r="C128" s="1" t="n">
        <v>45973</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12055-2022</t>
        </is>
      </c>
      <c r="B129" s="1" t="n">
        <v>44636</v>
      </c>
      <c r="C129" s="1" t="n">
        <v>45973</v>
      </c>
      <c r="D129" t="inlineStr">
        <is>
          <t>VÄSTRA GÖTALANDS LÄN</t>
        </is>
      </c>
      <c r="E129" t="inlineStr">
        <is>
          <t>ALE</t>
        </is>
      </c>
      <c r="G129" t="n">
        <v>0.2</v>
      </c>
      <c r="H129" t="n">
        <v>0</v>
      </c>
      <c r="I129" t="n">
        <v>0</v>
      </c>
      <c r="J129" t="n">
        <v>0</v>
      </c>
      <c r="K129" t="n">
        <v>0</v>
      </c>
      <c r="L129" t="n">
        <v>0</v>
      </c>
      <c r="M129" t="n">
        <v>0</v>
      </c>
      <c r="N129" t="n">
        <v>0</v>
      </c>
      <c r="O129" t="n">
        <v>0</v>
      </c>
      <c r="P129" t="n">
        <v>0</v>
      </c>
      <c r="Q129" t="n">
        <v>0</v>
      </c>
      <c r="R129" s="2" t="inlineStr"/>
    </row>
    <row r="130" ht="15" customHeight="1">
      <c r="A130" t="inlineStr">
        <is>
          <t>A 25840-2025</t>
        </is>
      </c>
      <c r="B130" s="1" t="n">
        <v>45804</v>
      </c>
      <c r="C130" s="1" t="n">
        <v>45973</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52391-2025</t>
        </is>
      </c>
      <c r="B131" s="1" t="n">
        <v>45954.34305555555</v>
      </c>
      <c r="C131" s="1" t="n">
        <v>45973</v>
      </c>
      <c r="D131" t="inlineStr">
        <is>
          <t>VÄSTRA GÖTALANDS LÄN</t>
        </is>
      </c>
      <c r="E131" t="inlineStr">
        <is>
          <t>ALE</t>
        </is>
      </c>
      <c r="G131" t="n">
        <v>10.6</v>
      </c>
      <c r="H131" t="n">
        <v>0</v>
      </c>
      <c r="I131" t="n">
        <v>0</v>
      </c>
      <c r="J131" t="n">
        <v>0</v>
      </c>
      <c r="K131" t="n">
        <v>0</v>
      </c>
      <c r="L131" t="n">
        <v>0</v>
      </c>
      <c r="M131" t="n">
        <v>0</v>
      </c>
      <c r="N131" t="n">
        <v>0</v>
      </c>
      <c r="O131" t="n">
        <v>0</v>
      </c>
      <c r="P131" t="n">
        <v>0</v>
      </c>
      <c r="Q131" t="n">
        <v>0</v>
      </c>
      <c r="R131" s="2" t="inlineStr"/>
    </row>
    <row r="132" ht="15" customHeight="1">
      <c r="A132" t="inlineStr">
        <is>
          <t>A 1687-2024</t>
        </is>
      </c>
      <c r="B132" s="1" t="n">
        <v>45306</v>
      </c>
      <c r="C132" s="1" t="n">
        <v>45973</v>
      </c>
      <c r="D132" t="inlineStr">
        <is>
          <t>VÄSTRA GÖTALANDS LÄN</t>
        </is>
      </c>
      <c r="E132" t="inlineStr">
        <is>
          <t>ALE</t>
        </is>
      </c>
      <c r="G132" t="n">
        <v>3.4</v>
      </c>
      <c r="H132" t="n">
        <v>0</v>
      </c>
      <c r="I132" t="n">
        <v>0</v>
      </c>
      <c r="J132" t="n">
        <v>0</v>
      </c>
      <c r="K132" t="n">
        <v>0</v>
      </c>
      <c r="L132" t="n">
        <v>0</v>
      </c>
      <c r="M132" t="n">
        <v>0</v>
      </c>
      <c r="N132" t="n">
        <v>0</v>
      </c>
      <c r="O132" t="n">
        <v>0</v>
      </c>
      <c r="P132" t="n">
        <v>0</v>
      </c>
      <c r="Q132" t="n">
        <v>0</v>
      </c>
      <c r="R132" s="2" t="inlineStr"/>
    </row>
    <row r="133" ht="15" customHeight="1">
      <c r="A133" t="inlineStr">
        <is>
          <t>A 52423-2025</t>
        </is>
      </c>
      <c r="B133" s="1" t="n">
        <v>45954.37650462963</v>
      </c>
      <c r="C133" s="1" t="n">
        <v>45973</v>
      </c>
      <c r="D133" t="inlineStr">
        <is>
          <t>VÄSTRA GÖTALANDS LÄN</t>
        </is>
      </c>
      <c r="E133" t="inlineStr">
        <is>
          <t>ALE</t>
        </is>
      </c>
      <c r="G133" t="n">
        <v>4.1</v>
      </c>
      <c r="H133" t="n">
        <v>0</v>
      </c>
      <c r="I133" t="n">
        <v>0</v>
      </c>
      <c r="J133" t="n">
        <v>0</v>
      </c>
      <c r="K133" t="n">
        <v>0</v>
      </c>
      <c r="L133" t="n">
        <v>0</v>
      </c>
      <c r="M133" t="n">
        <v>0</v>
      </c>
      <c r="N133" t="n">
        <v>0</v>
      </c>
      <c r="O133" t="n">
        <v>0</v>
      </c>
      <c r="P133" t="n">
        <v>0</v>
      </c>
      <c r="Q133" t="n">
        <v>0</v>
      </c>
      <c r="R133" s="2" t="inlineStr"/>
    </row>
    <row r="134" ht="15" customHeight="1">
      <c r="A134" t="inlineStr">
        <is>
          <t>A 3457-2022</t>
        </is>
      </c>
      <c r="B134" s="1" t="n">
        <v>44585</v>
      </c>
      <c r="C134" s="1" t="n">
        <v>45973</v>
      </c>
      <c r="D134" t="inlineStr">
        <is>
          <t>VÄSTRA GÖTALANDS LÄN</t>
        </is>
      </c>
      <c r="E134" t="inlineStr">
        <is>
          <t>ALE</t>
        </is>
      </c>
      <c r="G134" t="n">
        <v>5.1</v>
      </c>
      <c r="H134" t="n">
        <v>0</v>
      </c>
      <c r="I134" t="n">
        <v>0</v>
      </c>
      <c r="J134" t="n">
        <v>0</v>
      </c>
      <c r="K134" t="n">
        <v>0</v>
      </c>
      <c r="L134" t="n">
        <v>0</v>
      </c>
      <c r="M134" t="n">
        <v>0</v>
      </c>
      <c r="N134" t="n">
        <v>0</v>
      </c>
      <c r="O134" t="n">
        <v>0</v>
      </c>
      <c r="P134" t="n">
        <v>0</v>
      </c>
      <c r="Q134" t="n">
        <v>0</v>
      </c>
      <c r="R134" s="2" t="inlineStr"/>
    </row>
    <row r="135" ht="15" customHeight="1">
      <c r="A135" t="inlineStr">
        <is>
          <t>A 50451-2024</t>
        </is>
      </c>
      <c r="B135" s="1" t="n">
        <v>45601.44248842593</v>
      </c>
      <c r="C135" s="1" t="n">
        <v>45973</v>
      </c>
      <c r="D135" t="inlineStr">
        <is>
          <t>VÄSTRA GÖTALANDS LÄN</t>
        </is>
      </c>
      <c r="E135" t="inlineStr">
        <is>
          <t>ALE</t>
        </is>
      </c>
      <c r="G135" t="n">
        <v>2.9</v>
      </c>
      <c r="H135" t="n">
        <v>0</v>
      </c>
      <c r="I135" t="n">
        <v>0</v>
      </c>
      <c r="J135" t="n">
        <v>0</v>
      </c>
      <c r="K135" t="n">
        <v>0</v>
      </c>
      <c r="L135" t="n">
        <v>0</v>
      </c>
      <c r="M135" t="n">
        <v>0</v>
      </c>
      <c r="N135" t="n">
        <v>0</v>
      </c>
      <c r="O135" t="n">
        <v>0</v>
      </c>
      <c r="P135" t="n">
        <v>0</v>
      </c>
      <c r="Q135" t="n">
        <v>0</v>
      </c>
      <c r="R135" s="2" t="inlineStr"/>
    </row>
    <row r="136" ht="15" customHeight="1">
      <c r="A136" t="inlineStr">
        <is>
          <t>A 49680-2024</t>
        </is>
      </c>
      <c r="B136" s="1" t="n">
        <v>45596.66880787037</v>
      </c>
      <c r="C136" s="1" t="n">
        <v>45973</v>
      </c>
      <c r="D136" t="inlineStr">
        <is>
          <t>VÄSTRA GÖTALANDS LÄN</t>
        </is>
      </c>
      <c r="E136" t="inlineStr">
        <is>
          <t>ALE</t>
        </is>
      </c>
      <c r="G136" t="n">
        <v>3.7</v>
      </c>
      <c r="H136" t="n">
        <v>0</v>
      </c>
      <c r="I136" t="n">
        <v>0</v>
      </c>
      <c r="J136" t="n">
        <v>0</v>
      </c>
      <c r="K136" t="n">
        <v>0</v>
      </c>
      <c r="L136" t="n">
        <v>0</v>
      </c>
      <c r="M136" t="n">
        <v>0</v>
      </c>
      <c r="N136" t="n">
        <v>0</v>
      </c>
      <c r="O136" t="n">
        <v>0</v>
      </c>
      <c r="P136" t="n">
        <v>0</v>
      </c>
      <c r="Q136" t="n">
        <v>0</v>
      </c>
      <c r="R136" s="2" t="inlineStr"/>
    </row>
    <row r="137" ht="15" customHeight="1">
      <c r="A137" t="inlineStr">
        <is>
          <t>A 69325-2020</t>
        </is>
      </c>
      <c r="B137" s="1" t="n">
        <v>44193</v>
      </c>
      <c r="C137" s="1" t="n">
        <v>45973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5916-2023</t>
        </is>
      </c>
      <c r="B138" s="1" t="n">
        <v>44963</v>
      </c>
      <c r="C138" s="1" t="n">
        <v>45973</v>
      </c>
      <c r="D138" t="inlineStr">
        <is>
          <t>VÄSTRA GÖTALANDS LÄN</t>
        </is>
      </c>
      <c r="E138" t="inlineStr">
        <is>
          <t>ALE</t>
        </is>
      </c>
      <c r="G138" t="n">
        <v>4.2</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45973</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7807-2023</t>
        </is>
      </c>
      <c r="B140" s="1" t="n">
        <v>44973</v>
      </c>
      <c r="C140" s="1" t="n">
        <v>45973</v>
      </c>
      <c r="D140" t="inlineStr">
        <is>
          <t>VÄSTRA GÖTALANDS LÄN</t>
        </is>
      </c>
      <c r="E140" t="inlineStr">
        <is>
          <t>ALE</t>
        </is>
      </c>
      <c r="G140" t="n">
        <v>10.5</v>
      </c>
      <c r="H140" t="n">
        <v>0</v>
      </c>
      <c r="I140" t="n">
        <v>0</v>
      </c>
      <c r="J140" t="n">
        <v>0</v>
      </c>
      <c r="K140" t="n">
        <v>0</v>
      </c>
      <c r="L140" t="n">
        <v>0</v>
      </c>
      <c r="M140" t="n">
        <v>0</v>
      </c>
      <c r="N140" t="n">
        <v>0</v>
      </c>
      <c r="O140" t="n">
        <v>0</v>
      </c>
      <c r="P140" t="n">
        <v>0</v>
      </c>
      <c r="Q140" t="n">
        <v>0</v>
      </c>
      <c r="R140" s="2" t="inlineStr"/>
    </row>
    <row r="141" ht="15" customHeight="1">
      <c r="A141" t="inlineStr">
        <is>
          <t>A 55488-2022</t>
        </is>
      </c>
      <c r="B141" s="1" t="n">
        <v>44887</v>
      </c>
      <c r="C141" s="1" t="n">
        <v>45973</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46226-2025</t>
        </is>
      </c>
      <c r="B142" s="1" t="n">
        <v>45924</v>
      </c>
      <c r="C142" s="1" t="n">
        <v>45973</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8659-2025</t>
        </is>
      </c>
      <c r="B143" s="1" t="n">
        <v>45712</v>
      </c>
      <c r="C143" s="1" t="n">
        <v>45973</v>
      </c>
      <c r="D143" t="inlineStr">
        <is>
          <t>VÄSTRA GÖTALANDS LÄN</t>
        </is>
      </c>
      <c r="E143" t="inlineStr">
        <is>
          <t>ALE</t>
        </is>
      </c>
      <c r="G143" t="n">
        <v>5.7</v>
      </c>
      <c r="H143" t="n">
        <v>0</v>
      </c>
      <c r="I143" t="n">
        <v>0</v>
      </c>
      <c r="J143" t="n">
        <v>0</v>
      </c>
      <c r="K143" t="n">
        <v>0</v>
      </c>
      <c r="L143" t="n">
        <v>0</v>
      </c>
      <c r="M143" t="n">
        <v>0</v>
      </c>
      <c r="N143" t="n">
        <v>0</v>
      </c>
      <c r="O143" t="n">
        <v>0</v>
      </c>
      <c r="P143" t="n">
        <v>0</v>
      </c>
      <c r="Q143" t="n">
        <v>0</v>
      </c>
      <c r="R143" s="2" t="inlineStr"/>
    </row>
    <row r="144" ht="15" customHeight="1">
      <c r="A144" t="inlineStr">
        <is>
          <t>A 42446-2023</t>
        </is>
      </c>
      <c r="B144" s="1" t="n">
        <v>45180</v>
      </c>
      <c r="C144" s="1" t="n">
        <v>45973</v>
      </c>
      <c r="D144" t="inlineStr">
        <is>
          <t>VÄSTRA GÖTALANDS LÄN</t>
        </is>
      </c>
      <c r="E144" t="inlineStr">
        <is>
          <t>ALE</t>
        </is>
      </c>
      <c r="G144" t="n">
        <v>0.8</v>
      </c>
      <c r="H144" t="n">
        <v>0</v>
      </c>
      <c r="I144" t="n">
        <v>0</v>
      </c>
      <c r="J144" t="n">
        <v>0</v>
      </c>
      <c r="K144" t="n">
        <v>0</v>
      </c>
      <c r="L144" t="n">
        <v>0</v>
      </c>
      <c r="M144" t="n">
        <v>0</v>
      </c>
      <c r="N144" t="n">
        <v>0</v>
      </c>
      <c r="O144" t="n">
        <v>0</v>
      </c>
      <c r="P144" t="n">
        <v>0</v>
      </c>
      <c r="Q144" t="n">
        <v>0</v>
      </c>
      <c r="R144" s="2" t="inlineStr"/>
    </row>
    <row r="145" ht="15" customHeight="1">
      <c r="A145" t="inlineStr">
        <is>
          <t>A 4363-2024</t>
        </is>
      </c>
      <c r="B145" s="1" t="n">
        <v>45325</v>
      </c>
      <c r="C145" s="1" t="n">
        <v>45973</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67160-2021</t>
        </is>
      </c>
      <c r="B146" s="1" t="n">
        <v>44523</v>
      </c>
      <c r="C146" s="1" t="n">
        <v>45973</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46227-2025</t>
        </is>
      </c>
      <c r="B147" s="1" t="n">
        <v>45924.90386574074</v>
      </c>
      <c r="C147" s="1" t="n">
        <v>45973</v>
      </c>
      <c r="D147" t="inlineStr">
        <is>
          <t>VÄSTRA GÖTALANDS LÄN</t>
        </is>
      </c>
      <c r="E147" t="inlineStr">
        <is>
          <t>ALE</t>
        </is>
      </c>
      <c r="G147" t="n">
        <v>0.3</v>
      </c>
      <c r="H147" t="n">
        <v>0</v>
      </c>
      <c r="I147" t="n">
        <v>0</v>
      </c>
      <c r="J147" t="n">
        <v>0</v>
      </c>
      <c r="K147" t="n">
        <v>0</v>
      </c>
      <c r="L147" t="n">
        <v>0</v>
      </c>
      <c r="M147" t="n">
        <v>0</v>
      </c>
      <c r="N147" t="n">
        <v>0</v>
      </c>
      <c r="O147" t="n">
        <v>0</v>
      </c>
      <c r="P147" t="n">
        <v>0</v>
      </c>
      <c r="Q147" t="n">
        <v>0</v>
      </c>
      <c r="R147" s="2" t="inlineStr"/>
    </row>
    <row r="148" ht="15" customHeight="1">
      <c r="A148" t="inlineStr">
        <is>
          <t>A 16344-2023</t>
        </is>
      </c>
      <c r="B148" s="1" t="n">
        <v>45028</v>
      </c>
      <c r="C148" s="1" t="n">
        <v>45973</v>
      </c>
      <c r="D148" t="inlineStr">
        <is>
          <t>VÄSTRA GÖTALANDS LÄN</t>
        </is>
      </c>
      <c r="E148" t="inlineStr">
        <is>
          <t>ALE</t>
        </is>
      </c>
      <c r="G148" t="n">
        <v>6.6</v>
      </c>
      <c r="H148" t="n">
        <v>0</v>
      </c>
      <c r="I148" t="n">
        <v>0</v>
      </c>
      <c r="J148" t="n">
        <v>0</v>
      </c>
      <c r="K148" t="n">
        <v>0</v>
      </c>
      <c r="L148" t="n">
        <v>0</v>
      </c>
      <c r="M148" t="n">
        <v>0</v>
      </c>
      <c r="N148" t="n">
        <v>0</v>
      </c>
      <c r="O148" t="n">
        <v>0</v>
      </c>
      <c r="P148" t="n">
        <v>0</v>
      </c>
      <c r="Q148" t="n">
        <v>0</v>
      </c>
      <c r="R148" s="2" t="inlineStr"/>
    </row>
    <row r="149" ht="15" customHeight="1">
      <c r="A149" t="inlineStr">
        <is>
          <t>A 32762-2023</t>
        </is>
      </c>
      <c r="B149" s="1" t="n">
        <v>45123.46649305556</v>
      </c>
      <c r="C149" s="1" t="n">
        <v>45973</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16601-2025</t>
        </is>
      </c>
      <c r="B150" s="1" t="n">
        <v>45753.53189814815</v>
      </c>
      <c r="C150" s="1" t="n">
        <v>45973</v>
      </c>
      <c r="D150" t="inlineStr">
        <is>
          <t>VÄSTRA GÖTALANDS LÄN</t>
        </is>
      </c>
      <c r="E150" t="inlineStr">
        <is>
          <t>ALE</t>
        </is>
      </c>
      <c r="G150" t="n">
        <v>1.7</v>
      </c>
      <c r="H150" t="n">
        <v>0</v>
      </c>
      <c r="I150" t="n">
        <v>0</v>
      </c>
      <c r="J150" t="n">
        <v>0</v>
      </c>
      <c r="K150" t="n">
        <v>0</v>
      </c>
      <c r="L150" t="n">
        <v>0</v>
      </c>
      <c r="M150" t="n">
        <v>0</v>
      </c>
      <c r="N150" t="n">
        <v>0</v>
      </c>
      <c r="O150" t="n">
        <v>0</v>
      </c>
      <c r="P150" t="n">
        <v>0</v>
      </c>
      <c r="Q150" t="n">
        <v>0</v>
      </c>
      <c r="R150" s="2" t="inlineStr"/>
    </row>
    <row r="151" ht="15" customHeight="1">
      <c r="A151" t="inlineStr">
        <is>
          <t>A 5344-2024</t>
        </is>
      </c>
      <c r="B151" s="1" t="n">
        <v>45331</v>
      </c>
      <c r="C151" s="1" t="n">
        <v>45973</v>
      </c>
      <c r="D151" t="inlineStr">
        <is>
          <t>VÄSTRA GÖTALANDS LÄN</t>
        </is>
      </c>
      <c r="E151" t="inlineStr">
        <is>
          <t>ALE</t>
        </is>
      </c>
      <c r="G151" t="n">
        <v>2.5</v>
      </c>
      <c r="H151" t="n">
        <v>0</v>
      </c>
      <c r="I151" t="n">
        <v>0</v>
      </c>
      <c r="J151" t="n">
        <v>0</v>
      </c>
      <c r="K151" t="n">
        <v>0</v>
      </c>
      <c r="L151" t="n">
        <v>0</v>
      </c>
      <c r="M151" t="n">
        <v>0</v>
      </c>
      <c r="N151" t="n">
        <v>0</v>
      </c>
      <c r="O151" t="n">
        <v>0</v>
      </c>
      <c r="P151" t="n">
        <v>0</v>
      </c>
      <c r="Q151" t="n">
        <v>0</v>
      </c>
      <c r="R151" s="2" t="inlineStr"/>
    </row>
    <row r="152" ht="15" customHeight="1">
      <c r="A152" t="inlineStr">
        <is>
          <t>A 20067-2023</t>
        </is>
      </c>
      <c r="B152" s="1" t="n">
        <v>45054</v>
      </c>
      <c r="C152" s="1" t="n">
        <v>45973</v>
      </c>
      <c r="D152" t="inlineStr">
        <is>
          <t>VÄSTRA GÖTALANDS LÄN</t>
        </is>
      </c>
      <c r="E152" t="inlineStr">
        <is>
          <t>ALE</t>
        </is>
      </c>
      <c r="G152" t="n">
        <v>0.4</v>
      </c>
      <c r="H152" t="n">
        <v>0</v>
      </c>
      <c r="I152" t="n">
        <v>0</v>
      </c>
      <c r="J152" t="n">
        <v>0</v>
      </c>
      <c r="K152" t="n">
        <v>0</v>
      </c>
      <c r="L152" t="n">
        <v>0</v>
      </c>
      <c r="M152" t="n">
        <v>0</v>
      </c>
      <c r="N152" t="n">
        <v>0</v>
      </c>
      <c r="O152" t="n">
        <v>0</v>
      </c>
      <c r="P152" t="n">
        <v>0</v>
      </c>
      <c r="Q152" t="n">
        <v>0</v>
      </c>
      <c r="R152" s="2" t="inlineStr"/>
    </row>
    <row r="153" ht="15" customHeight="1">
      <c r="A153" t="inlineStr">
        <is>
          <t>A 47330-2025</t>
        </is>
      </c>
      <c r="B153" s="1" t="n">
        <v>45930.56170138889</v>
      </c>
      <c r="C153" s="1" t="n">
        <v>45973</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18637-2023</t>
        </is>
      </c>
      <c r="B154" s="1" t="n">
        <v>45043</v>
      </c>
      <c r="C154" s="1" t="n">
        <v>45973</v>
      </c>
      <c r="D154" t="inlineStr">
        <is>
          <t>VÄSTRA GÖTALANDS LÄN</t>
        </is>
      </c>
      <c r="E154" t="inlineStr">
        <is>
          <t>ALE</t>
        </is>
      </c>
      <c r="G154" t="n">
        <v>3.6</v>
      </c>
      <c r="H154" t="n">
        <v>0</v>
      </c>
      <c r="I154" t="n">
        <v>0</v>
      </c>
      <c r="J154" t="n">
        <v>0</v>
      </c>
      <c r="K154" t="n">
        <v>0</v>
      </c>
      <c r="L154" t="n">
        <v>0</v>
      </c>
      <c r="M154" t="n">
        <v>0</v>
      </c>
      <c r="N154" t="n">
        <v>0</v>
      </c>
      <c r="O154" t="n">
        <v>0</v>
      </c>
      <c r="P154" t="n">
        <v>0</v>
      </c>
      <c r="Q154" t="n">
        <v>0</v>
      </c>
      <c r="R154" s="2" t="inlineStr"/>
    </row>
    <row r="155" ht="15" customHeight="1">
      <c r="A155" t="inlineStr">
        <is>
          <t>A 59933-2023</t>
        </is>
      </c>
      <c r="B155" s="1" t="n">
        <v>45257</v>
      </c>
      <c r="C155" s="1" t="n">
        <v>45973</v>
      </c>
      <c r="D155" t="inlineStr">
        <is>
          <t>VÄSTRA GÖTALANDS LÄN</t>
        </is>
      </c>
      <c r="E155" t="inlineStr">
        <is>
          <t>ALE</t>
        </is>
      </c>
      <c r="G155" t="n">
        <v>2.7</v>
      </c>
      <c r="H155" t="n">
        <v>0</v>
      </c>
      <c r="I155" t="n">
        <v>0</v>
      </c>
      <c r="J155" t="n">
        <v>0</v>
      </c>
      <c r="K155" t="n">
        <v>0</v>
      </c>
      <c r="L155" t="n">
        <v>0</v>
      </c>
      <c r="M155" t="n">
        <v>0</v>
      </c>
      <c r="N155" t="n">
        <v>0</v>
      </c>
      <c r="O155" t="n">
        <v>0</v>
      </c>
      <c r="P155" t="n">
        <v>0</v>
      </c>
      <c r="Q155" t="n">
        <v>0</v>
      </c>
      <c r="R155" s="2" t="inlineStr"/>
    </row>
    <row r="156" ht="15" customHeight="1">
      <c r="A156" t="inlineStr">
        <is>
          <t>A 1500-2024</t>
        </is>
      </c>
      <c r="B156" s="1" t="n">
        <v>45306</v>
      </c>
      <c r="C156" s="1" t="n">
        <v>45973</v>
      </c>
      <c r="D156" t="inlineStr">
        <is>
          <t>VÄSTRA GÖTALANDS LÄN</t>
        </is>
      </c>
      <c r="E156" t="inlineStr">
        <is>
          <t>ALE</t>
        </is>
      </c>
      <c r="G156" t="n">
        <v>1.3</v>
      </c>
      <c r="H156" t="n">
        <v>0</v>
      </c>
      <c r="I156" t="n">
        <v>0</v>
      </c>
      <c r="J156" t="n">
        <v>0</v>
      </c>
      <c r="K156" t="n">
        <v>0</v>
      </c>
      <c r="L156" t="n">
        <v>0</v>
      </c>
      <c r="M156" t="n">
        <v>0</v>
      </c>
      <c r="N156" t="n">
        <v>0</v>
      </c>
      <c r="O156" t="n">
        <v>0</v>
      </c>
      <c r="P156" t="n">
        <v>0</v>
      </c>
      <c r="Q156" t="n">
        <v>0</v>
      </c>
      <c r="R156" s="2" t="inlineStr"/>
    </row>
    <row r="157" ht="15" customHeight="1">
      <c r="A157" t="inlineStr">
        <is>
          <t>A 29373-2025</t>
        </is>
      </c>
      <c r="B157" s="1" t="n">
        <v>45824.579375</v>
      </c>
      <c r="C157" s="1" t="n">
        <v>45973</v>
      </c>
      <c r="D157" t="inlineStr">
        <is>
          <t>VÄSTRA GÖTALANDS LÄN</t>
        </is>
      </c>
      <c r="E157" t="inlineStr">
        <is>
          <t>ALE</t>
        </is>
      </c>
      <c r="G157" t="n">
        <v>4.6</v>
      </c>
      <c r="H157" t="n">
        <v>0</v>
      </c>
      <c r="I157" t="n">
        <v>0</v>
      </c>
      <c r="J157" t="n">
        <v>0</v>
      </c>
      <c r="K157" t="n">
        <v>0</v>
      </c>
      <c r="L157" t="n">
        <v>0</v>
      </c>
      <c r="M157" t="n">
        <v>0</v>
      </c>
      <c r="N157" t="n">
        <v>0</v>
      </c>
      <c r="O157" t="n">
        <v>0</v>
      </c>
      <c r="P157" t="n">
        <v>0</v>
      </c>
      <c r="Q157" t="n">
        <v>0</v>
      </c>
      <c r="R157" s="2" t="inlineStr"/>
    </row>
    <row r="158" ht="15" customHeight="1">
      <c r="A158" t="inlineStr">
        <is>
          <t>A 13382-2025</t>
        </is>
      </c>
      <c r="B158" s="1" t="n">
        <v>45735.67928240741</v>
      </c>
      <c r="C158" s="1" t="n">
        <v>45973</v>
      </c>
      <c r="D158" t="inlineStr">
        <is>
          <t>VÄSTRA GÖTALANDS LÄN</t>
        </is>
      </c>
      <c r="E158" t="inlineStr">
        <is>
          <t>ALE</t>
        </is>
      </c>
      <c r="G158" t="n">
        <v>0.9</v>
      </c>
      <c r="H158" t="n">
        <v>0</v>
      </c>
      <c r="I158" t="n">
        <v>0</v>
      </c>
      <c r="J158" t="n">
        <v>0</v>
      </c>
      <c r="K158" t="n">
        <v>0</v>
      </c>
      <c r="L158" t="n">
        <v>0</v>
      </c>
      <c r="M158" t="n">
        <v>0</v>
      </c>
      <c r="N158" t="n">
        <v>0</v>
      </c>
      <c r="O158" t="n">
        <v>0</v>
      </c>
      <c r="P158" t="n">
        <v>0</v>
      </c>
      <c r="Q158" t="n">
        <v>0</v>
      </c>
      <c r="R158" s="2" t="inlineStr"/>
    </row>
    <row r="159" ht="15" customHeight="1">
      <c r="A159" t="inlineStr">
        <is>
          <t>A 13903-2025</t>
        </is>
      </c>
      <c r="B159" s="1" t="n">
        <v>45737.63481481482</v>
      </c>
      <c r="C159" s="1" t="n">
        <v>45973</v>
      </c>
      <c r="D159" t="inlineStr">
        <is>
          <t>VÄSTRA GÖTALANDS LÄN</t>
        </is>
      </c>
      <c r="E159" t="inlineStr">
        <is>
          <t>ALE</t>
        </is>
      </c>
      <c r="G159" t="n">
        <v>0.5</v>
      </c>
      <c r="H159" t="n">
        <v>0</v>
      </c>
      <c r="I159" t="n">
        <v>0</v>
      </c>
      <c r="J159" t="n">
        <v>0</v>
      </c>
      <c r="K159" t="n">
        <v>0</v>
      </c>
      <c r="L159" t="n">
        <v>0</v>
      </c>
      <c r="M159" t="n">
        <v>0</v>
      </c>
      <c r="N159" t="n">
        <v>0</v>
      </c>
      <c r="O159" t="n">
        <v>0</v>
      </c>
      <c r="P159" t="n">
        <v>0</v>
      </c>
      <c r="Q159" t="n">
        <v>0</v>
      </c>
      <c r="R159" s="2" t="inlineStr"/>
    </row>
    <row r="160" ht="15" customHeight="1">
      <c r="A160" t="inlineStr">
        <is>
          <t>A 6916-2023</t>
        </is>
      </c>
      <c r="B160" s="1" t="n">
        <v>44967.53349537037</v>
      </c>
      <c r="C160" s="1" t="n">
        <v>45973</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64199-2021</t>
        </is>
      </c>
      <c r="B161" s="1" t="n">
        <v>44510</v>
      </c>
      <c r="C161" s="1" t="n">
        <v>45973</v>
      </c>
      <c r="D161" t="inlineStr">
        <is>
          <t>VÄSTRA GÖTALANDS LÄN</t>
        </is>
      </c>
      <c r="E161" t="inlineStr">
        <is>
          <t>ALE</t>
        </is>
      </c>
      <c r="G161" t="n">
        <v>5.7</v>
      </c>
      <c r="H161" t="n">
        <v>0</v>
      </c>
      <c r="I161" t="n">
        <v>0</v>
      </c>
      <c r="J161" t="n">
        <v>0</v>
      </c>
      <c r="K161" t="n">
        <v>0</v>
      </c>
      <c r="L161" t="n">
        <v>0</v>
      </c>
      <c r="M161" t="n">
        <v>0</v>
      </c>
      <c r="N161" t="n">
        <v>0</v>
      </c>
      <c r="O161" t="n">
        <v>0</v>
      </c>
      <c r="P161" t="n">
        <v>0</v>
      </c>
      <c r="Q161" t="n">
        <v>0</v>
      </c>
      <c r="R161" s="2" t="inlineStr"/>
    </row>
    <row r="162" ht="15" customHeight="1">
      <c r="A162" t="inlineStr">
        <is>
          <t>A 31407-2025</t>
        </is>
      </c>
      <c r="B162" s="1" t="n">
        <v>45833</v>
      </c>
      <c r="C162" s="1" t="n">
        <v>45973</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31409-2025</t>
        </is>
      </c>
      <c r="B163" s="1" t="n">
        <v>45833</v>
      </c>
      <c r="C163" s="1" t="n">
        <v>45973</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31533-2025</t>
        </is>
      </c>
      <c r="B164" s="1" t="n">
        <v>45833</v>
      </c>
      <c r="C164" s="1" t="n">
        <v>45973</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c r="A165" t="inlineStr">
        <is>
          <t>A 31488-2025</t>
        </is>
      </c>
      <c r="B165" s="1" t="n">
        <v>45833</v>
      </c>
      <c r="C165" s="1" t="n">
        <v>45973</v>
      </c>
      <c r="D165" t="inlineStr">
        <is>
          <t>VÄSTRA GÖTALANDS LÄN</t>
        </is>
      </c>
      <c r="E165" t="inlineStr">
        <is>
          <t>ALE</t>
        </is>
      </c>
      <c r="G165" t="n">
        <v>1.8</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2025-11-12T10:06:26Z</dcterms:created>
  <dcterms:modified xmlns:dcterms="http://purl.org/dc/terms/" xmlns:xsi="http://www.w3.org/2001/XMLSchema-instance" xsi:type="dcterms:W3CDTF">2025-11-12T10:06:26Z</dcterms:modified>
</cp:coreProperties>
</file>