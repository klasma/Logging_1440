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45931</v>
      </c>
      <c r="D3" t="inlineStr">
        <is>
          <t>VÄSTRA GÖTALANDS LÄN</t>
        </is>
      </c>
      <c r="E3" t="inlineStr">
        <is>
          <t>ALE</t>
        </is>
      </c>
      <c r="G3" t="n">
        <v>10.3</v>
      </c>
      <c r="H3" t="n">
        <v>12</v>
      </c>
      <c r="I3" t="n">
        <v>11</v>
      </c>
      <c r="J3" t="n">
        <v>5</v>
      </c>
      <c r="K3" t="n">
        <v>2</v>
      </c>
      <c r="L3" t="n">
        <v>1</v>
      </c>
      <c r="M3" t="n">
        <v>0</v>
      </c>
      <c r="N3" t="n">
        <v>0</v>
      </c>
      <c r="O3" t="n">
        <v>8</v>
      </c>
      <c r="P3" t="n">
        <v>3</v>
      </c>
      <c r="Q3" t="n">
        <v>25</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45931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45931</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45931</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45931</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45931</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45931</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45931</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45931</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45931</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45931</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17566-2024</t>
        </is>
      </c>
      <c r="B14" s="1" t="n">
        <v>45415</v>
      </c>
      <c r="C14" s="1" t="n">
        <v>45931</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40059-2025</t>
        </is>
      </c>
      <c r="B15" s="1" t="n">
        <v>45894.42600694444</v>
      </c>
      <c r="C15" s="1" t="n">
        <v>45931</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24162-2025</t>
        </is>
      </c>
      <c r="B16" s="1" t="n">
        <v>45796.66684027778</v>
      </c>
      <c r="C16" s="1" t="n">
        <v>45931</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563-2024</t>
        </is>
      </c>
      <c r="B17" s="1" t="n">
        <v>45299</v>
      </c>
      <c r="C17" s="1" t="n">
        <v>45931</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26491-2024</t>
        </is>
      </c>
      <c r="B18" s="1" t="n">
        <v>45469</v>
      </c>
      <c r="C18" s="1" t="n">
        <v>45931</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19934-2025</t>
        </is>
      </c>
      <c r="B19" s="1" t="n">
        <v>45771</v>
      </c>
      <c r="C19" s="1" t="n">
        <v>45931</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7903-2024</t>
        </is>
      </c>
      <c r="B20" s="1" t="n">
        <v>45350</v>
      </c>
      <c r="C20" s="1" t="n">
        <v>45931</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45931</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63569-2023</t>
        </is>
      </c>
      <c r="B22" s="1" t="n">
        <v>45275</v>
      </c>
      <c r="C22" s="1" t="n">
        <v>45931</v>
      </c>
      <c r="D22" t="inlineStr">
        <is>
          <t>VÄSTRA GÖTALANDS LÄN</t>
        </is>
      </c>
      <c r="E22" t="inlineStr">
        <is>
          <t>ALE</t>
        </is>
      </c>
      <c r="G22" t="n">
        <v>2.4</v>
      </c>
      <c r="H22" t="n">
        <v>2</v>
      </c>
      <c r="I22" t="n">
        <v>0</v>
      </c>
      <c r="J22" t="n">
        <v>2</v>
      </c>
      <c r="K22" t="n">
        <v>0</v>
      </c>
      <c r="L22" t="n">
        <v>0</v>
      </c>
      <c r="M22" t="n">
        <v>0</v>
      </c>
      <c r="N22" t="n">
        <v>0</v>
      </c>
      <c r="O22" t="n">
        <v>2</v>
      </c>
      <c r="P22" t="n">
        <v>0</v>
      </c>
      <c r="Q22" t="n">
        <v>2</v>
      </c>
      <c r="R22" s="2" t="inlineStr">
        <is>
          <t>Spillkråka
Talltita</t>
        </is>
      </c>
      <c r="S22">
        <f>HYPERLINK("https://klasma.github.io/Logging_1440/artfynd/A 63569-2023 artfynd.xlsx", "A 63569-2023")</f>
        <v/>
      </c>
      <c r="T22">
        <f>HYPERLINK("https://klasma.github.io/Logging_1440/kartor/A 63569-2023 karta.png", "A 63569-2023")</f>
        <v/>
      </c>
      <c r="V22">
        <f>HYPERLINK("https://klasma.github.io/Logging_1440/klagomål/A 63569-2023 FSC-klagomål.docx", "A 63569-2023")</f>
        <v/>
      </c>
      <c r="W22">
        <f>HYPERLINK("https://klasma.github.io/Logging_1440/klagomålsmail/A 63569-2023 FSC-klagomål mail.docx", "A 63569-2023")</f>
        <v/>
      </c>
      <c r="X22">
        <f>HYPERLINK("https://klasma.github.io/Logging_1440/tillsyn/A 63569-2023 tillsynsbegäran.docx", "A 63569-2023")</f>
        <v/>
      </c>
      <c r="Y22">
        <f>HYPERLINK("https://klasma.github.io/Logging_1440/tillsynsmail/A 63569-2023 tillsynsbegäran mail.docx", "A 63569-2023")</f>
        <v/>
      </c>
      <c r="Z22">
        <f>HYPERLINK("https://klasma.github.io/Logging_1440/fåglar/A 63569-2023 prioriterade fågelarter.docx", "A 63569-2023")</f>
        <v/>
      </c>
    </row>
    <row r="23" ht="15" customHeight="1">
      <c r="A23" t="inlineStr">
        <is>
          <t>A 58954-2022</t>
        </is>
      </c>
      <c r="B23" s="1" t="n">
        <v>44903</v>
      </c>
      <c r="C23" s="1" t="n">
        <v>45931</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8955-2025</t>
        </is>
      </c>
      <c r="B24" s="1" t="n">
        <v>45713.46528935185</v>
      </c>
      <c r="C24" s="1" t="n">
        <v>45931</v>
      </c>
      <c r="D24" t="inlineStr">
        <is>
          <t>VÄSTRA GÖTALANDS LÄN</t>
        </is>
      </c>
      <c r="E24" t="inlineStr">
        <is>
          <t>ALE</t>
        </is>
      </c>
      <c r="G24" t="n">
        <v>1</v>
      </c>
      <c r="H24" t="n">
        <v>2</v>
      </c>
      <c r="I24" t="n">
        <v>0</v>
      </c>
      <c r="J24" t="n">
        <v>1</v>
      </c>
      <c r="K24" t="n">
        <v>0</v>
      </c>
      <c r="L24" t="n">
        <v>0</v>
      </c>
      <c r="M24" t="n">
        <v>0</v>
      </c>
      <c r="N24" t="n">
        <v>0</v>
      </c>
      <c r="O24" t="n">
        <v>1</v>
      </c>
      <c r="P24" t="n">
        <v>0</v>
      </c>
      <c r="Q24" t="n">
        <v>2</v>
      </c>
      <c r="R24" s="2" t="inlineStr">
        <is>
          <t>Spillkråka
Revlummer</t>
        </is>
      </c>
      <c r="S24">
        <f>HYPERLINK("https://klasma.github.io/Logging_1440/artfynd/A 8955-2025 artfynd.xlsx", "A 8955-2025")</f>
        <v/>
      </c>
      <c r="T24">
        <f>HYPERLINK("https://klasma.github.io/Logging_1440/kartor/A 8955-2025 karta.png", "A 8955-2025")</f>
        <v/>
      </c>
      <c r="V24">
        <f>HYPERLINK("https://klasma.github.io/Logging_1440/klagomål/A 8955-2025 FSC-klagomål.docx", "A 8955-2025")</f>
        <v/>
      </c>
      <c r="W24">
        <f>HYPERLINK("https://klasma.github.io/Logging_1440/klagomålsmail/A 8955-2025 FSC-klagomål mail.docx", "A 8955-2025")</f>
        <v/>
      </c>
      <c r="X24">
        <f>HYPERLINK("https://klasma.github.io/Logging_1440/tillsyn/A 8955-2025 tillsynsbegäran.docx", "A 8955-2025")</f>
        <v/>
      </c>
      <c r="Y24">
        <f>HYPERLINK("https://klasma.github.io/Logging_1440/tillsynsmail/A 8955-2025 tillsynsbegäran mail.docx", "A 8955-2025")</f>
        <v/>
      </c>
      <c r="Z24">
        <f>HYPERLINK("https://klasma.github.io/Logging_1440/fåglar/A 8955-2025 prioriterade fågelarter.docx", "A 8955-2025")</f>
        <v/>
      </c>
    </row>
    <row r="25" ht="15" customHeight="1">
      <c r="A25" t="inlineStr">
        <is>
          <t>A 42660-2024</t>
        </is>
      </c>
      <c r="B25" s="1" t="n">
        <v>45566.33841435185</v>
      </c>
      <c r="C25" s="1" t="n">
        <v>45931</v>
      </c>
      <c r="D25" t="inlineStr">
        <is>
          <t>VÄSTRA GÖTALANDS LÄN</t>
        </is>
      </c>
      <c r="E25" t="inlineStr">
        <is>
          <t>ALE</t>
        </is>
      </c>
      <c r="G25" t="n">
        <v>2.5</v>
      </c>
      <c r="H25" t="n">
        <v>2</v>
      </c>
      <c r="I25" t="n">
        <v>0</v>
      </c>
      <c r="J25" t="n">
        <v>0</v>
      </c>
      <c r="K25" t="n">
        <v>0</v>
      </c>
      <c r="L25" t="n">
        <v>0</v>
      </c>
      <c r="M25" t="n">
        <v>0</v>
      </c>
      <c r="N25" t="n">
        <v>0</v>
      </c>
      <c r="O25" t="n">
        <v>0</v>
      </c>
      <c r="P25" t="n">
        <v>0</v>
      </c>
      <c r="Q25" t="n">
        <v>2</v>
      </c>
      <c r="R25" s="2" t="inlineStr">
        <is>
          <t>Mattlummer
Revlummer</t>
        </is>
      </c>
      <c r="S25">
        <f>HYPERLINK("https://klasma.github.io/Logging_1440/artfynd/A 42660-2024 artfynd.xlsx", "A 42660-2024")</f>
        <v/>
      </c>
      <c r="T25">
        <f>HYPERLINK("https://klasma.github.io/Logging_1440/kartor/A 42660-2024 karta.png", "A 42660-2024")</f>
        <v/>
      </c>
      <c r="V25">
        <f>HYPERLINK("https://klasma.github.io/Logging_1440/klagomål/A 42660-2024 FSC-klagomål.docx", "A 42660-2024")</f>
        <v/>
      </c>
      <c r="W25">
        <f>HYPERLINK("https://klasma.github.io/Logging_1440/klagomålsmail/A 42660-2024 FSC-klagomål mail.docx", "A 42660-2024")</f>
        <v/>
      </c>
      <c r="X25">
        <f>HYPERLINK("https://klasma.github.io/Logging_1440/tillsyn/A 42660-2024 tillsynsbegäran.docx", "A 42660-2024")</f>
        <v/>
      </c>
      <c r="Y25">
        <f>HYPERLINK("https://klasma.github.io/Logging_1440/tillsynsmail/A 42660-2024 tillsynsbegäran mail.docx", "A 42660-2024")</f>
        <v/>
      </c>
    </row>
    <row r="26" ht="15" customHeight="1">
      <c r="A26" t="inlineStr">
        <is>
          <t>A 2270-2025</t>
        </is>
      </c>
      <c r="B26" s="1" t="n">
        <v>45673.54403935185</v>
      </c>
      <c r="C26" s="1" t="n">
        <v>45931</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1503-2024</t>
        </is>
      </c>
      <c r="B27" s="1" t="n">
        <v>45306.35041666667</v>
      </c>
      <c r="C27" s="1" t="n">
        <v>45931</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13380-2025</t>
        </is>
      </c>
      <c r="B28" s="1" t="n">
        <v>45735.6765162037</v>
      </c>
      <c r="C28" s="1" t="n">
        <v>45931</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40931-2025</t>
        </is>
      </c>
      <c r="B29" s="1" t="n">
        <v>45897.64783564815</v>
      </c>
      <c r="C29" s="1" t="n">
        <v>45931</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16534-2025</t>
        </is>
      </c>
      <c r="B30" s="1" t="n">
        <v>45751.65315972222</v>
      </c>
      <c r="C30" s="1" t="n">
        <v>45931</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45931</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45931</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26493-2024</t>
        </is>
      </c>
      <c r="B33" s="1" t="n">
        <v>45469</v>
      </c>
      <c r="C33" s="1" t="n">
        <v>45931</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12084-2025</t>
        </is>
      </c>
      <c r="B34" s="1" t="n">
        <v>45728.95387731482</v>
      </c>
      <c r="C34" s="1" t="n">
        <v>45931</v>
      </c>
      <c r="D34" t="inlineStr">
        <is>
          <t>VÄSTRA GÖTALANDS LÄN</t>
        </is>
      </c>
      <c r="E34" t="inlineStr">
        <is>
          <t>ALE</t>
        </is>
      </c>
      <c r="G34" t="n">
        <v>2.4</v>
      </c>
      <c r="H34" t="n">
        <v>1</v>
      </c>
      <c r="I34" t="n">
        <v>0</v>
      </c>
      <c r="J34" t="n">
        <v>1</v>
      </c>
      <c r="K34" t="n">
        <v>0</v>
      </c>
      <c r="L34" t="n">
        <v>0</v>
      </c>
      <c r="M34" t="n">
        <v>0</v>
      </c>
      <c r="N34" t="n">
        <v>0</v>
      </c>
      <c r="O34" t="n">
        <v>1</v>
      </c>
      <c r="P34" t="n">
        <v>0</v>
      </c>
      <c r="Q34" t="n">
        <v>1</v>
      </c>
      <c r="R34" s="2" t="inlineStr">
        <is>
          <t>Spillkråka</t>
        </is>
      </c>
      <c r="S34">
        <f>HYPERLINK("https://klasma.github.io/Logging_1440/artfynd/A 12084-2025 artfynd.xlsx", "A 12084-2025")</f>
        <v/>
      </c>
      <c r="T34">
        <f>HYPERLINK("https://klasma.github.io/Logging_1440/kartor/A 12084-2025 karta.png", "A 12084-2025")</f>
        <v/>
      </c>
      <c r="V34">
        <f>HYPERLINK("https://klasma.github.io/Logging_1440/klagomål/A 12084-2025 FSC-klagomål.docx", "A 12084-2025")</f>
        <v/>
      </c>
      <c r="W34">
        <f>HYPERLINK("https://klasma.github.io/Logging_1440/klagomålsmail/A 12084-2025 FSC-klagomål mail.docx", "A 12084-2025")</f>
        <v/>
      </c>
      <c r="X34">
        <f>HYPERLINK("https://klasma.github.io/Logging_1440/tillsyn/A 12084-2025 tillsynsbegäran.docx", "A 12084-2025")</f>
        <v/>
      </c>
      <c r="Y34">
        <f>HYPERLINK("https://klasma.github.io/Logging_1440/tillsynsmail/A 12084-2025 tillsynsbegäran mail.docx", "A 12084-2025")</f>
        <v/>
      </c>
      <c r="Z34">
        <f>HYPERLINK("https://klasma.github.io/Logging_1440/fåglar/A 12084-2025 prioriterade fågelarter.docx", "A 12084-2025")</f>
        <v/>
      </c>
    </row>
    <row r="35" ht="15" customHeight="1">
      <c r="A35" t="inlineStr">
        <is>
          <t>A 26677-2025</t>
        </is>
      </c>
      <c r="B35" s="1" t="n">
        <v>45810.42446759259</v>
      </c>
      <c r="C35" s="1" t="n">
        <v>45931</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45931</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12982-2024</t>
        </is>
      </c>
      <c r="B37" s="1" t="n">
        <v>45385.53569444444</v>
      </c>
      <c r="C37" s="1" t="n">
        <v>45931</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21281-2021</t>
        </is>
      </c>
      <c r="B38" s="1" t="n">
        <v>44320.61850694445</v>
      </c>
      <c r="C38" s="1" t="n">
        <v>45931</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1566-2022</t>
        </is>
      </c>
      <c r="B39" s="1" t="n">
        <v>44573</v>
      </c>
      <c r="C39" s="1" t="n">
        <v>45931</v>
      </c>
      <c r="D39" t="inlineStr">
        <is>
          <t>VÄSTRA GÖTALANDS LÄN</t>
        </is>
      </c>
      <c r="E39" t="inlineStr">
        <is>
          <t>ALE</t>
        </is>
      </c>
      <c r="G39" t="n">
        <v>3</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45931</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45931</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45931</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45931</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45931</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45931</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45931</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45931</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45931</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45931</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45931</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66466-2020</t>
        </is>
      </c>
      <c r="B51" s="1" t="n">
        <v>44176</v>
      </c>
      <c r="C51" s="1" t="n">
        <v>45931</v>
      </c>
      <c r="D51" t="inlineStr">
        <is>
          <t>VÄSTRA GÖTALANDS LÄN</t>
        </is>
      </c>
      <c r="E51" t="inlineStr">
        <is>
          <t>ALE</t>
        </is>
      </c>
      <c r="G51" t="n">
        <v>1.7</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45931</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45931</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53144-2021</t>
        </is>
      </c>
      <c r="B54" s="1" t="n">
        <v>44468</v>
      </c>
      <c r="C54" s="1" t="n">
        <v>45931</v>
      </c>
      <c r="D54" t="inlineStr">
        <is>
          <t>VÄSTRA GÖTALANDS LÄN</t>
        </is>
      </c>
      <c r="E54" t="inlineStr">
        <is>
          <t>ALE</t>
        </is>
      </c>
      <c r="G54" t="n">
        <v>2.6</v>
      </c>
      <c r="H54" t="n">
        <v>0</v>
      </c>
      <c r="I54" t="n">
        <v>0</v>
      </c>
      <c r="J54" t="n">
        <v>0</v>
      </c>
      <c r="K54" t="n">
        <v>0</v>
      </c>
      <c r="L54" t="n">
        <v>0</v>
      </c>
      <c r="M54" t="n">
        <v>0</v>
      </c>
      <c r="N54" t="n">
        <v>0</v>
      </c>
      <c r="O54" t="n">
        <v>0</v>
      </c>
      <c r="P54" t="n">
        <v>0</v>
      </c>
      <c r="Q54" t="n">
        <v>0</v>
      </c>
      <c r="R54" s="2" t="inlineStr"/>
    </row>
    <row r="55" ht="15" customHeight="1">
      <c r="A55" t="inlineStr">
        <is>
          <t>A 20285-2022</t>
        </is>
      </c>
      <c r="B55" s="1" t="n">
        <v>44698.76347222222</v>
      </c>
      <c r="C55" s="1" t="n">
        <v>45931</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65222-2021</t>
        </is>
      </c>
      <c r="B56" s="1" t="n">
        <v>44515</v>
      </c>
      <c r="C56" s="1" t="n">
        <v>45931</v>
      </c>
      <c r="D56" t="inlineStr">
        <is>
          <t>VÄSTRA GÖTALANDS LÄN</t>
        </is>
      </c>
      <c r="E56" t="inlineStr">
        <is>
          <t>ALE</t>
        </is>
      </c>
      <c r="G56" t="n">
        <v>1.2</v>
      </c>
      <c r="H56" t="n">
        <v>0</v>
      </c>
      <c r="I56" t="n">
        <v>0</v>
      </c>
      <c r="J56" t="n">
        <v>0</v>
      </c>
      <c r="K56" t="n">
        <v>0</v>
      </c>
      <c r="L56" t="n">
        <v>0</v>
      </c>
      <c r="M56" t="n">
        <v>0</v>
      </c>
      <c r="N56" t="n">
        <v>0</v>
      </c>
      <c r="O56" t="n">
        <v>0</v>
      </c>
      <c r="P56" t="n">
        <v>0</v>
      </c>
      <c r="Q56" t="n">
        <v>0</v>
      </c>
      <c r="R56" s="2" t="inlineStr"/>
    </row>
    <row r="57" ht="15" customHeight="1">
      <c r="A57" t="inlineStr">
        <is>
          <t>A 22138-2021</t>
        </is>
      </c>
      <c r="B57" s="1" t="n">
        <v>44324.67472222223</v>
      </c>
      <c r="C57" s="1" t="n">
        <v>45931</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45931</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35148-2021</t>
        </is>
      </c>
      <c r="B59" s="1" t="n">
        <v>44384</v>
      </c>
      <c r="C59" s="1" t="n">
        <v>45931</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45931</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45931</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66893-2021</t>
        </is>
      </c>
      <c r="B62" s="1" t="n">
        <v>44522.49439814815</v>
      </c>
      <c r="C62" s="1" t="n">
        <v>45931</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12445-2022</t>
        </is>
      </c>
      <c r="B63" s="1" t="n">
        <v>44638</v>
      </c>
      <c r="C63" s="1" t="n">
        <v>45931</v>
      </c>
      <c r="D63" t="inlineStr">
        <is>
          <t>VÄSTRA GÖTALANDS LÄN</t>
        </is>
      </c>
      <c r="E63" t="inlineStr">
        <is>
          <t>ALE</t>
        </is>
      </c>
      <c r="G63" t="n">
        <v>1</v>
      </c>
      <c r="H63" t="n">
        <v>0</v>
      </c>
      <c r="I63" t="n">
        <v>0</v>
      </c>
      <c r="J63" t="n">
        <v>0</v>
      </c>
      <c r="K63" t="n">
        <v>0</v>
      </c>
      <c r="L63" t="n">
        <v>0</v>
      </c>
      <c r="M63" t="n">
        <v>0</v>
      </c>
      <c r="N63" t="n">
        <v>0</v>
      </c>
      <c r="O63" t="n">
        <v>0</v>
      </c>
      <c r="P63" t="n">
        <v>0</v>
      </c>
      <c r="Q63" t="n">
        <v>0</v>
      </c>
      <c r="R63" s="2" t="inlineStr"/>
    </row>
    <row r="64" ht="15" customHeight="1">
      <c r="A64" t="inlineStr">
        <is>
          <t>A 14751-2022</t>
        </is>
      </c>
      <c r="B64" s="1" t="n">
        <v>44656.3837037037</v>
      </c>
      <c r="C64" s="1" t="n">
        <v>45931</v>
      </c>
      <c r="D64" t="inlineStr">
        <is>
          <t>VÄSTRA GÖTALANDS LÄN</t>
        </is>
      </c>
      <c r="E64" t="inlineStr">
        <is>
          <t>ALE</t>
        </is>
      </c>
      <c r="G64" t="n">
        <v>1.6</v>
      </c>
      <c r="H64" t="n">
        <v>0</v>
      </c>
      <c r="I64" t="n">
        <v>0</v>
      </c>
      <c r="J64" t="n">
        <v>0</v>
      </c>
      <c r="K64" t="n">
        <v>0</v>
      </c>
      <c r="L64" t="n">
        <v>0</v>
      </c>
      <c r="M64" t="n">
        <v>0</v>
      </c>
      <c r="N64" t="n">
        <v>0</v>
      </c>
      <c r="O64" t="n">
        <v>0</v>
      </c>
      <c r="P64" t="n">
        <v>0</v>
      </c>
      <c r="Q64" t="n">
        <v>0</v>
      </c>
      <c r="R64" s="2" t="inlineStr"/>
    </row>
    <row r="65" ht="15" customHeight="1">
      <c r="A65" t="inlineStr">
        <is>
          <t>A 34104-2024</t>
        </is>
      </c>
      <c r="B65" s="1" t="n">
        <v>45523.79202546296</v>
      </c>
      <c r="C65" s="1" t="n">
        <v>45931</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53476-2023</t>
        </is>
      </c>
      <c r="B66" s="1" t="n">
        <v>45230.33737268519</v>
      </c>
      <c r="C66" s="1" t="n">
        <v>45931</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48257-2022</t>
        </is>
      </c>
      <c r="B67" s="1" t="n">
        <v>44858.47591435185</v>
      </c>
      <c r="C67" s="1" t="n">
        <v>45931</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18999-2021</t>
        </is>
      </c>
      <c r="B68" s="1" t="n">
        <v>44308</v>
      </c>
      <c r="C68" s="1" t="n">
        <v>45931</v>
      </c>
      <c r="D68" t="inlineStr">
        <is>
          <t>VÄSTRA GÖTALANDS LÄN</t>
        </is>
      </c>
      <c r="E68" t="inlineStr">
        <is>
          <t>ALE</t>
        </is>
      </c>
      <c r="G68" t="n">
        <v>3.7</v>
      </c>
      <c r="H68" t="n">
        <v>0</v>
      </c>
      <c r="I68" t="n">
        <v>0</v>
      </c>
      <c r="J68" t="n">
        <v>0</v>
      </c>
      <c r="K68" t="n">
        <v>0</v>
      </c>
      <c r="L68" t="n">
        <v>0</v>
      </c>
      <c r="M68" t="n">
        <v>0</v>
      </c>
      <c r="N68" t="n">
        <v>0</v>
      </c>
      <c r="O68" t="n">
        <v>0</v>
      </c>
      <c r="P68" t="n">
        <v>0</v>
      </c>
      <c r="Q68" t="n">
        <v>0</v>
      </c>
      <c r="R68" s="2" t="inlineStr"/>
    </row>
    <row r="69" ht="15" customHeight="1">
      <c r="A69" t="inlineStr">
        <is>
          <t>A 1687-2024</t>
        </is>
      </c>
      <c r="B69" s="1" t="n">
        <v>45306</v>
      </c>
      <c r="C69" s="1" t="n">
        <v>45931</v>
      </c>
      <c r="D69" t="inlineStr">
        <is>
          <t>VÄSTRA GÖTALANDS LÄN</t>
        </is>
      </c>
      <c r="E69" t="inlineStr">
        <is>
          <t>ALE</t>
        </is>
      </c>
      <c r="G69" t="n">
        <v>3.4</v>
      </c>
      <c r="H69" t="n">
        <v>0</v>
      </c>
      <c r="I69" t="n">
        <v>0</v>
      </c>
      <c r="J69" t="n">
        <v>0</v>
      </c>
      <c r="K69" t="n">
        <v>0</v>
      </c>
      <c r="L69" t="n">
        <v>0</v>
      </c>
      <c r="M69" t="n">
        <v>0</v>
      </c>
      <c r="N69" t="n">
        <v>0</v>
      </c>
      <c r="O69" t="n">
        <v>0</v>
      </c>
      <c r="P69" t="n">
        <v>0</v>
      </c>
      <c r="Q69" t="n">
        <v>0</v>
      </c>
      <c r="R69" s="2" t="inlineStr"/>
    </row>
    <row r="70" ht="15" customHeight="1">
      <c r="A70" t="inlineStr">
        <is>
          <t>A 4363-2024</t>
        </is>
      </c>
      <c r="B70" s="1" t="n">
        <v>45325</v>
      </c>
      <c r="C70" s="1" t="n">
        <v>45931</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50451-2024</t>
        </is>
      </c>
      <c r="B71" s="1" t="n">
        <v>45601.44248842593</v>
      </c>
      <c r="C71" s="1" t="n">
        <v>45931</v>
      </c>
      <c r="D71" t="inlineStr">
        <is>
          <t>VÄSTRA GÖTALANDS LÄN</t>
        </is>
      </c>
      <c r="E71" t="inlineStr">
        <is>
          <t>ALE</t>
        </is>
      </c>
      <c r="G71" t="n">
        <v>2.9</v>
      </c>
      <c r="H71" t="n">
        <v>0</v>
      </c>
      <c r="I71" t="n">
        <v>0</v>
      </c>
      <c r="J71" t="n">
        <v>0</v>
      </c>
      <c r="K71" t="n">
        <v>0</v>
      </c>
      <c r="L71" t="n">
        <v>0</v>
      </c>
      <c r="M71" t="n">
        <v>0</v>
      </c>
      <c r="N71" t="n">
        <v>0</v>
      </c>
      <c r="O71" t="n">
        <v>0</v>
      </c>
      <c r="P71" t="n">
        <v>0</v>
      </c>
      <c r="Q71" t="n">
        <v>0</v>
      </c>
      <c r="R71" s="2" t="inlineStr"/>
    </row>
    <row r="72" ht="15" customHeight="1">
      <c r="A72" t="inlineStr">
        <is>
          <t>A 41607-2022</t>
        </is>
      </c>
      <c r="B72" s="1" t="n">
        <v>44827.46658564815</v>
      </c>
      <c r="C72" s="1" t="n">
        <v>45931</v>
      </c>
      <c r="D72" t="inlineStr">
        <is>
          <t>VÄSTRA GÖTALANDS LÄN</t>
        </is>
      </c>
      <c r="E72" t="inlineStr">
        <is>
          <t>ALE</t>
        </is>
      </c>
      <c r="G72" t="n">
        <v>3.6</v>
      </c>
      <c r="H72" t="n">
        <v>0</v>
      </c>
      <c r="I72" t="n">
        <v>0</v>
      </c>
      <c r="J72" t="n">
        <v>0</v>
      </c>
      <c r="K72" t="n">
        <v>0</v>
      </c>
      <c r="L72" t="n">
        <v>0</v>
      </c>
      <c r="M72" t="n">
        <v>0</v>
      </c>
      <c r="N72" t="n">
        <v>0</v>
      </c>
      <c r="O72" t="n">
        <v>0</v>
      </c>
      <c r="P72" t="n">
        <v>0</v>
      </c>
      <c r="Q72" t="n">
        <v>0</v>
      </c>
      <c r="R72" s="2" t="inlineStr"/>
    </row>
    <row r="73" ht="15" customHeight="1">
      <c r="A73" t="inlineStr">
        <is>
          <t>A 49680-2024</t>
        </is>
      </c>
      <c r="B73" s="1" t="n">
        <v>45596.66880787037</v>
      </c>
      <c r="C73" s="1" t="n">
        <v>45931</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26157-2023</t>
        </is>
      </c>
      <c r="B74" s="1" t="n">
        <v>45091.50479166667</v>
      </c>
      <c r="C74" s="1" t="n">
        <v>45931</v>
      </c>
      <c r="D74" t="inlineStr">
        <is>
          <t>VÄSTRA GÖTALANDS LÄN</t>
        </is>
      </c>
      <c r="E74" t="inlineStr">
        <is>
          <t>ALE</t>
        </is>
      </c>
      <c r="G74" t="n">
        <v>2.6</v>
      </c>
      <c r="H74" t="n">
        <v>0</v>
      </c>
      <c r="I74" t="n">
        <v>0</v>
      </c>
      <c r="J74" t="n">
        <v>0</v>
      </c>
      <c r="K74" t="n">
        <v>0</v>
      </c>
      <c r="L74" t="n">
        <v>0</v>
      </c>
      <c r="M74" t="n">
        <v>0</v>
      </c>
      <c r="N74" t="n">
        <v>0</v>
      </c>
      <c r="O74" t="n">
        <v>0</v>
      </c>
      <c r="P74" t="n">
        <v>0</v>
      </c>
      <c r="Q74" t="n">
        <v>0</v>
      </c>
      <c r="R74" s="2" t="inlineStr"/>
    </row>
    <row r="75" ht="15" customHeight="1">
      <c r="A75" t="inlineStr">
        <is>
          <t>A 16601-2025</t>
        </is>
      </c>
      <c r="B75" s="1" t="n">
        <v>45753.53189814815</v>
      </c>
      <c r="C75" s="1" t="n">
        <v>45931</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20067-2023</t>
        </is>
      </c>
      <c r="B76" s="1" t="n">
        <v>45054</v>
      </c>
      <c r="C76" s="1" t="n">
        <v>45931</v>
      </c>
      <c r="D76" t="inlineStr">
        <is>
          <t>VÄSTRA GÖTALANDS LÄN</t>
        </is>
      </c>
      <c r="E76" t="inlineStr">
        <is>
          <t>ALE</t>
        </is>
      </c>
      <c r="G76" t="n">
        <v>0.4</v>
      </c>
      <c r="H76" t="n">
        <v>0</v>
      </c>
      <c r="I76" t="n">
        <v>0</v>
      </c>
      <c r="J76" t="n">
        <v>0</v>
      </c>
      <c r="K76" t="n">
        <v>0</v>
      </c>
      <c r="L76" t="n">
        <v>0</v>
      </c>
      <c r="M76" t="n">
        <v>0</v>
      </c>
      <c r="N76" t="n">
        <v>0</v>
      </c>
      <c r="O76" t="n">
        <v>0</v>
      </c>
      <c r="P76" t="n">
        <v>0</v>
      </c>
      <c r="Q76" t="n">
        <v>0</v>
      </c>
      <c r="R76" s="2" t="inlineStr"/>
    </row>
    <row r="77" ht="15" customHeight="1">
      <c r="A77" t="inlineStr">
        <is>
          <t>A 14493-2024</t>
        </is>
      </c>
      <c r="B77" s="1" t="n">
        <v>45394.58491898148</v>
      </c>
      <c r="C77" s="1" t="n">
        <v>45931</v>
      </c>
      <c r="D77" t="inlineStr">
        <is>
          <t>VÄSTRA GÖTALANDS LÄN</t>
        </is>
      </c>
      <c r="E77" t="inlineStr">
        <is>
          <t>ALE</t>
        </is>
      </c>
      <c r="G77" t="n">
        <v>2.3</v>
      </c>
      <c r="H77" t="n">
        <v>0</v>
      </c>
      <c r="I77" t="n">
        <v>0</v>
      </c>
      <c r="J77" t="n">
        <v>0</v>
      </c>
      <c r="K77" t="n">
        <v>0</v>
      </c>
      <c r="L77" t="n">
        <v>0</v>
      </c>
      <c r="M77" t="n">
        <v>0</v>
      </c>
      <c r="N77" t="n">
        <v>0</v>
      </c>
      <c r="O77" t="n">
        <v>0</v>
      </c>
      <c r="P77" t="n">
        <v>0</v>
      </c>
      <c r="Q77" t="n">
        <v>0</v>
      </c>
      <c r="R77" s="2" t="inlineStr"/>
    </row>
    <row r="78" ht="15" customHeight="1">
      <c r="A78" t="inlineStr">
        <is>
          <t>A 1500-2024</t>
        </is>
      </c>
      <c r="B78" s="1" t="n">
        <v>45306</v>
      </c>
      <c r="C78" s="1" t="n">
        <v>45931</v>
      </c>
      <c r="D78" t="inlineStr">
        <is>
          <t>VÄSTRA GÖTALANDS LÄN</t>
        </is>
      </c>
      <c r="E78" t="inlineStr">
        <is>
          <t>ALE</t>
        </is>
      </c>
      <c r="G78" t="n">
        <v>1.3</v>
      </c>
      <c r="H78" t="n">
        <v>0</v>
      </c>
      <c r="I78" t="n">
        <v>0</v>
      </c>
      <c r="J78" t="n">
        <v>0</v>
      </c>
      <c r="K78" t="n">
        <v>0</v>
      </c>
      <c r="L78" t="n">
        <v>0</v>
      </c>
      <c r="M78" t="n">
        <v>0</v>
      </c>
      <c r="N78" t="n">
        <v>0</v>
      </c>
      <c r="O78" t="n">
        <v>0</v>
      </c>
      <c r="P78" t="n">
        <v>0</v>
      </c>
      <c r="Q78" t="n">
        <v>0</v>
      </c>
      <c r="R78" s="2" t="inlineStr"/>
    </row>
    <row r="79" ht="15" customHeight="1">
      <c r="A79" t="inlineStr">
        <is>
          <t>A 36763-2022</t>
        </is>
      </c>
      <c r="B79" s="1" t="n">
        <v>44805</v>
      </c>
      <c r="C79" s="1" t="n">
        <v>45931</v>
      </c>
      <c r="D79" t="inlineStr">
        <is>
          <t>VÄSTRA GÖTALANDS LÄN</t>
        </is>
      </c>
      <c r="E79" t="inlineStr">
        <is>
          <t>ALE</t>
        </is>
      </c>
      <c r="G79" t="n">
        <v>6.1</v>
      </c>
      <c r="H79" t="n">
        <v>0</v>
      </c>
      <c r="I79" t="n">
        <v>0</v>
      </c>
      <c r="J79" t="n">
        <v>0</v>
      </c>
      <c r="K79" t="n">
        <v>0</v>
      </c>
      <c r="L79" t="n">
        <v>0</v>
      </c>
      <c r="M79" t="n">
        <v>0</v>
      </c>
      <c r="N79" t="n">
        <v>0</v>
      </c>
      <c r="O79" t="n">
        <v>0</v>
      </c>
      <c r="P79" t="n">
        <v>0</v>
      </c>
      <c r="Q79" t="n">
        <v>0</v>
      </c>
      <c r="R79" s="2" t="inlineStr"/>
    </row>
    <row r="80" ht="15" customHeight="1">
      <c r="A80" t="inlineStr">
        <is>
          <t>A 57473-2022</t>
        </is>
      </c>
      <c r="B80" s="1" t="n">
        <v>44896</v>
      </c>
      <c r="C80" s="1" t="n">
        <v>45931</v>
      </c>
      <c r="D80" t="inlineStr">
        <is>
          <t>VÄSTRA GÖTALANDS LÄN</t>
        </is>
      </c>
      <c r="E80" t="inlineStr">
        <is>
          <t>ALE</t>
        </is>
      </c>
      <c r="G80" t="n">
        <v>0.7</v>
      </c>
      <c r="H80" t="n">
        <v>0</v>
      </c>
      <c r="I80" t="n">
        <v>0</v>
      </c>
      <c r="J80" t="n">
        <v>0</v>
      </c>
      <c r="K80" t="n">
        <v>0</v>
      </c>
      <c r="L80" t="n">
        <v>0</v>
      </c>
      <c r="M80" t="n">
        <v>0</v>
      </c>
      <c r="N80" t="n">
        <v>0</v>
      </c>
      <c r="O80" t="n">
        <v>0</v>
      </c>
      <c r="P80" t="n">
        <v>0</v>
      </c>
      <c r="Q80" t="n">
        <v>0</v>
      </c>
      <c r="R80" s="2" t="inlineStr"/>
    </row>
    <row r="81" ht="15" customHeight="1">
      <c r="A81" t="inlineStr">
        <is>
          <t>A 46226-2025</t>
        </is>
      </c>
      <c r="B81" s="1" t="n">
        <v>45924</v>
      </c>
      <c r="C81" s="1" t="n">
        <v>45931</v>
      </c>
      <c r="D81" t="inlineStr">
        <is>
          <t>VÄSTRA GÖTALANDS LÄN</t>
        </is>
      </c>
      <c r="E81" t="inlineStr">
        <is>
          <t>ALE</t>
        </is>
      </c>
      <c r="G81" t="n">
        <v>2.3</v>
      </c>
      <c r="H81" t="n">
        <v>0</v>
      </c>
      <c r="I81" t="n">
        <v>0</v>
      </c>
      <c r="J81" t="n">
        <v>0</v>
      </c>
      <c r="K81" t="n">
        <v>0</v>
      </c>
      <c r="L81" t="n">
        <v>0</v>
      </c>
      <c r="M81" t="n">
        <v>0</v>
      </c>
      <c r="N81" t="n">
        <v>0</v>
      </c>
      <c r="O81" t="n">
        <v>0</v>
      </c>
      <c r="P81" t="n">
        <v>0</v>
      </c>
      <c r="Q81" t="n">
        <v>0</v>
      </c>
      <c r="R81" s="2" t="inlineStr"/>
    </row>
    <row r="82" ht="15" customHeight="1">
      <c r="A82" t="inlineStr">
        <is>
          <t>A 7807-2023</t>
        </is>
      </c>
      <c r="B82" s="1" t="n">
        <v>44973</v>
      </c>
      <c r="C82" s="1" t="n">
        <v>45931</v>
      </c>
      <c r="D82" t="inlineStr">
        <is>
          <t>VÄSTRA GÖTALANDS LÄN</t>
        </is>
      </c>
      <c r="E82" t="inlineStr">
        <is>
          <t>ALE</t>
        </is>
      </c>
      <c r="G82" t="n">
        <v>10.5</v>
      </c>
      <c r="H82" t="n">
        <v>0</v>
      </c>
      <c r="I82" t="n">
        <v>0</v>
      </c>
      <c r="J82" t="n">
        <v>0</v>
      </c>
      <c r="K82" t="n">
        <v>0</v>
      </c>
      <c r="L82" t="n">
        <v>0</v>
      </c>
      <c r="M82" t="n">
        <v>0</v>
      </c>
      <c r="N82" t="n">
        <v>0</v>
      </c>
      <c r="O82" t="n">
        <v>0</v>
      </c>
      <c r="P82" t="n">
        <v>0</v>
      </c>
      <c r="Q82" t="n">
        <v>0</v>
      </c>
      <c r="R82" s="2" t="inlineStr"/>
    </row>
    <row r="83" ht="15" customHeight="1">
      <c r="A83" t="inlineStr">
        <is>
          <t>A 56493-2021</t>
        </is>
      </c>
      <c r="B83" s="1" t="n">
        <v>44480.57173611111</v>
      </c>
      <c r="C83" s="1" t="n">
        <v>45931</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45931</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55488-2022</t>
        </is>
      </c>
      <c r="B85" s="1" t="n">
        <v>44887</v>
      </c>
      <c r="C85" s="1" t="n">
        <v>45931</v>
      </c>
      <c r="D85" t="inlineStr">
        <is>
          <t>VÄSTRA GÖTALANDS LÄN</t>
        </is>
      </c>
      <c r="E85" t="inlineStr">
        <is>
          <t>ALE</t>
        </is>
      </c>
      <c r="G85" t="n">
        <v>2.5</v>
      </c>
      <c r="H85" t="n">
        <v>0</v>
      </c>
      <c r="I85" t="n">
        <v>0</v>
      </c>
      <c r="J85" t="n">
        <v>0</v>
      </c>
      <c r="K85" t="n">
        <v>0</v>
      </c>
      <c r="L85" t="n">
        <v>0</v>
      </c>
      <c r="M85" t="n">
        <v>0</v>
      </c>
      <c r="N85" t="n">
        <v>0</v>
      </c>
      <c r="O85" t="n">
        <v>0</v>
      </c>
      <c r="P85" t="n">
        <v>0</v>
      </c>
      <c r="Q85" t="n">
        <v>0</v>
      </c>
      <c r="R85" s="2" t="inlineStr"/>
    </row>
    <row r="86" ht="15" customHeight="1">
      <c r="A86" t="inlineStr">
        <is>
          <t>A 6916-2023</t>
        </is>
      </c>
      <c r="B86" s="1" t="n">
        <v>44967.53349537037</v>
      </c>
      <c r="C86" s="1" t="n">
        <v>45931</v>
      </c>
      <c r="D86" t="inlineStr">
        <is>
          <t>VÄSTRA GÖTALANDS LÄN</t>
        </is>
      </c>
      <c r="E86" t="inlineStr">
        <is>
          <t>ALE</t>
        </is>
      </c>
      <c r="G86" t="n">
        <v>1</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45931</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5875-2023</t>
        </is>
      </c>
      <c r="B88" s="1" t="n">
        <v>44963</v>
      </c>
      <c r="C88" s="1" t="n">
        <v>45931</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42446-2023</t>
        </is>
      </c>
      <c r="B89" s="1" t="n">
        <v>45180</v>
      </c>
      <c r="C89" s="1" t="n">
        <v>45931</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67160-2021</t>
        </is>
      </c>
      <c r="B90" s="1" t="n">
        <v>44523</v>
      </c>
      <c r="C90" s="1" t="n">
        <v>45931</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3407-2023</t>
        </is>
      </c>
      <c r="B91" s="1" t="n">
        <v>44949.54909722223</v>
      </c>
      <c r="C91" s="1" t="n">
        <v>45931</v>
      </c>
      <c r="D91" t="inlineStr">
        <is>
          <t>VÄSTRA GÖTALANDS LÄN</t>
        </is>
      </c>
      <c r="E91" t="inlineStr">
        <is>
          <t>ALE</t>
        </is>
      </c>
      <c r="G91" t="n">
        <v>1.2</v>
      </c>
      <c r="H91" t="n">
        <v>0</v>
      </c>
      <c r="I91" t="n">
        <v>0</v>
      </c>
      <c r="J91" t="n">
        <v>0</v>
      </c>
      <c r="K91" t="n">
        <v>0</v>
      </c>
      <c r="L91" t="n">
        <v>0</v>
      </c>
      <c r="M91" t="n">
        <v>0</v>
      </c>
      <c r="N91" t="n">
        <v>0</v>
      </c>
      <c r="O91" t="n">
        <v>0</v>
      </c>
      <c r="P91" t="n">
        <v>0</v>
      </c>
      <c r="Q91" t="n">
        <v>0</v>
      </c>
      <c r="R91" s="2" t="inlineStr"/>
    </row>
    <row r="92" ht="15" customHeight="1">
      <c r="A92" t="inlineStr">
        <is>
          <t>A 16344-2023</t>
        </is>
      </c>
      <c r="B92" s="1" t="n">
        <v>45028</v>
      </c>
      <c r="C92" s="1" t="n">
        <v>45931</v>
      </c>
      <c r="D92" t="inlineStr">
        <is>
          <t>VÄSTRA GÖTALANDS LÄN</t>
        </is>
      </c>
      <c r="E92" t="inlineStr">
        <is>
          <t>ALE</t>
        </is>
      </c>
      <c r="G92" t="n">
        <v>6.6</v>
      </c>
      <c r="H92" t="n">
        <v>0</v>
      </c>
      <c r="I92" t="n">
        <v>0</v>
      </c>
      <c r="J92" t="n">
        <v>0</v>
      </c>
      <c r="K92" t="n">
        <v>0</v>
      </c>
      <c r="L92" t="n">
        <v>0</v>
      </c>
      <c r="M92" t="n">
        <v>0</v>
      </c>
      <c r="N92" t="n">
        <v>0</v>
      </c>
      <c r="O92" t="n">
        <v>0</v>
      </c>
      <c r="P92" t="n">
        <v>0</v>
      </c>
      <c r="Q92" t="n">
        <v>0</v>
      </c>
      <c r="R92" s="2" t="inlineStr"/>
    </row>
    <row r="93" ht="15" customHeight="1">
      <c r="A93" t="inlineStr">
        <is>
          <t>A 32762-2023</t>
        </is>
      </c>
      <c r="B93" s="1" t="n">
        <v>45123.46649305556</v>
      </c>
      <c r="C93" s="1" t="n">
        <v>45931</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41598-2022</t>
        </is>
      </c>
      <c r="B94" s="1" t="n">
        <v>44827.4609837963</v>
      </c>
      <c r="C94" s="1" t="n">
        <v>45931</v>
      </c>
      <c r="D94" t="inlineStr">
        <is>
          <t>VÄSTRA GÖTALANDS LÄN</t>
        </is>
      </c>
      <c r="E94" t="inlineStr">
        <is>
          <t>ALE</t>
        </is>
      </c>
      <c r="G94" t="n">
        <v>2</v>
      </c>
      <c r="H94" t="n">
        <v>0</v>
      </c>
      <c r="I94" t="n">
        <v>0</v>
      </c>
      <c r="J94" t="n">
        <v>0</v>
      </c>
      <c r="K94" t="n">
        <v>0</v>
      </c>
      <c r="L94" t="n">
        <v>0</v>
      </c>
      <c r="M94" t="n">
        <v>0</v>
      </c>
      <c r="N94" t="n">
        <v>0</v>
      </c>
      <c r="O94" t="n">
        <v>0</v>
      </c>
      <c r="P94" t="n">
        <v>0</v>
      </c>
      <c r="Q94" t="n">
        <v>0</v>
      </c>
      <c r="R94" s="2" t="inlineStr"/>
    </row>
    <row r="95" ht="15" customHeight="1">
      <c r="A95" t="inlineStr">
        <is>
          <t>A 51564-2023</t>
        </is>
      </c>
      <c r="B95" s="1" t="n">
        <v>45222</v>
      </c>
      <c r="C95" s="1" t="n">
        <v>45931</v>
      </c>
      <c r="D95" t="inlineStr">
        <is>
          <t>VÄSTRA GÖTALANDS LÄN</t>
        </is>
      </c>
      <c r="E95" t="inlineStr">
        <is>
          <t>ALE</t>
        </is>
      </c>
      <c r="G95" t="n">
        <v>1.5</v>
      </c>
      <c r="H95" t="n">
        <v>0</v>
      </c>
      <c r="I95" t="n">
        <v>0</v>
      </c>
      <c r="J95" t="n">
        <v>0</v>
      </c>
      <c r="K95" t="n">
        <v>0</v>
      </c>
      <c r="L95" t="n">
        <v>0</v>
      </c>
      <c r="M95" t="n">
        <v>0</v>
      </c>
      <c r="N95" t="n">
        <v>0</v>
      </c>
      <c r="O95" t="n">
        <v>0</v>
      </c>
      <c r="P95" t="n">
        <v>0</v>
      </c>
      <c r="Q95" t="n">
        <v>0</v>
      </c>
      <c r="R95" s="2" t="inlineStr"/>
    </row>
    <row r="96" ht="15" customHeight="1">
      <c r="A96" t="inlineStr">
        <is>
          <t>A 14458-2024</t>
        </is>
      </c>
      <c r="B96" s="1" t="n">
        <v>45394</v>
      </c>
      <c r="C96" s="1" t="n">
        <v>45931</v>
      </c>
      <c r="D96" t="inlineStr">
        <is>
          <t>VÄSTRA GÖTALANDS LÄN</t>
        </is>
      </c>
      <c r="E96" t="inlineStr">
        <is>
          <t>ALE</t>
        </is>
      </c>
      <c r="G96" t="n">
        <v>0.5</v>
      </c>
      <c r="H96" t="n">
        <v>0</v>
      </c>
      <c r="I96" t="n">
        <v>0</v>
      </c>
      <c r="J96" t="n">
        <v>0</v>
      </c>
      <c r="K96" t="n">
        <v>0</v>
      </c>
      <c r="L96" t="n">
        <v>0</v>
      </c>
      <c r="M96" t="n">
        <v>0</v>
      </c>
      <c r="N96" t="n">
        <v>0</v>
      </c>
      <c r="O96" t="n">
        <v>0</v>
      </c>
      <c r="P96" t="n">
        <v>0</v>
      </c>
      <c r="Q96" t="n">
        <v>0</v>
      </c>
      <c r="R96" s="2" t="inlineStr"/>
    </row>
    <row r="97" ht="15" customHeight="1">
      <c r="A97" t="inlineStr">
        <is>
          <t>A 15582-2025</t>
        </is>
      </c>
      <c r="B97" s="1" t="n">
        <v>45747.81394675926</v>
      </c>
      <c r="C97" s="1" t="n">
        <v>45931</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47330-2025</t>
        </is>
      </c>
      <c r="B98" s="1" t="n">
        <v>45930.56170138889</v>
      </c>
      <c r="C98" s="1" t="n">
        <v>45931</v>
      </c>
      <c r="D98" t="inlineStr">
        <is>
          <t>VÄSTRA GÖTALANDS LÄN</t>
        </is>
      </c>
      <c r="E98" t="inlineStr">
        <is>
          <t>ALE</t>
        </is>
      </c>
      <c r="G98" t="n">
        <v>3.7</v>
      </c>
      <c r="H98" t="n">
        <v>0</v>
      </c>
      <c r="I98" t="n">
        <v>0</v>
      </c>
      <c r="J98" t="n">
        <v>0</v>
      </c>
      <c r="K98" t="n">
        <v>0</v>
      </c>
      <c r="L98" t="n">
        <v>0</v>
      </c>
      <c r="M98" t="n">
        <v>0</v>
      </c>
      <c r="N98" t="n">
        <v>0</v>
      </c>
      <c r="O98" t="n">
        <v>0</v>
      </c>
      <c r="P98" t="n">
        <v>0</v>
      </c>
      <c r="Q98" t="n">
        <v>0</v>
      </c>
      <c r="R98" s="2" t="inlineStr"/>
    </row>
    <row r="99" ht="15" customHeight="1">
      <c r="A99" t="inlineStr">
        <is>
          <t>A 47087-2023</t>
        </is>
      </c>
      <c r="B99" s="1" t="n">
        <v>45196</v>
      </c>
      <c r="C99" s="1" t="n">
        <v>45931</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4642-2024</t>
        </is>
      </c>
      <c r="B100" s="1" t="n">
        <v>45328.43502314815</v>
      </c>
      <c r="C100" s="1" t="n">
        <v>45931</v>
      </c>
      <c r="D100" t="inlineStr">
        <is>
          <t>VÄSTRA GÖTALANDS LÄN</t>
        </is>
      </c>
      <c r="E100" t="inlineStr">
        <is>
          <t>ALE</t>
        </is>
      </c>
      <c r="G100" t="n">
        <v>7.1</v>
      </c>
      <c r="H100" t="n">
        <v>0</v>
      </c>
      <c r="I100" t="n">
        <v>0</v>
      </c>
      <c r="J100" t="n">
        <v>0</v>
      </c>
      <c r="K100" t="n">
        <v>0</v>
      </c>
      <c r="L100" t="n">
        <v>0</v>
      </c>
      <c r="M100" t="n">
        <v>0</v>
      </c>
      <c r="N100" t="n">
        <v>0</v>
      </c>
      <c r="O100" t="n">
        <v>0</v>
      </c>
      <c r="P100" t="n">
        <v>0</v>
      </c>
      <c r="Q100" t="n">
        <v>0</v>
      </c>
      <c r="R100" s="2" t="inlineStr"/>
    </row>
    <row r="101" ht="15" customHeight="1">
      <c r="A101" t="inlineStr">
        <is>
          <t>A 36403-2024</t>
        </is>
      </c>
      <c r="B101" s="1" t="n">
        <v>45535.69445601852</v>
      </c>
      <c r="C101" s="1" t="n">
        <v>45931</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14731-2022</t>
        </is>
      </c>
      <c r="B102" s="1" t="n">
        <v>44656</v>
      </c>
      <c r="C102" s="1" t="n">
        <v>45931</v>
      </c>
      <c r="D102" t="inlineStr">
        <is>
          <t>VÄSTRA GÖTALANDS LÄN</t>
        </is>
      </c>
      <c r="E102" t="inlineStr">
        <is>
          <t>ALE</t>
        </is>
      </c>
      <c r="G102" t="n">
        <v>1.8</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44585.72818287037</v>
      </c>
      <c r="C103" s="1" t="n">
        <v>45931</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55405-2021</t>
        </is>
      </c>
      <c r="B104" s="1" t="n">
        <v>44475.53733796296</v>
      </c>
      <c r="C104" s="1" t="n">
        <v>45931</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22946-2025</t>
        </is>
      </c>
      <c r="B105" s="1" t="n">
        <v>45790.48229166667</v>
      </c>
      <c r="C105" s="1" t="n">
        <v>45931</v>
      </c>
      <c r="D105" t="inlineStr">
        <is>
          <t>VÄSTRA GÖTALANDS LÄN</t>
        </is>
      </c>
      <c r="E105" t="inlineStr">
        <is>
          <t>ALE</t>
        </is>
      </c>
      <c r="G105" t="n">
        <v>0.6</v>
      </c>
      <c r="H105" t="n">
        <v>0</v>
      </c>
      <c r="I105" t="n">
        <v>0</v>
      </c>
      <c r="J105" t="n">
        <v>0</v>
      </c>
      <c r="K105" t="n">
        <v>0</v>
      </c>
      <c r="L105" t="n">
        <v>0</v>
      </c>
      <c r="M105" t="n">
        <v>0</v>
      </c>
      <c r="N105" t="n">
        <v>0</v>
      </c>
      <c r="O105" t="n">
        <v>0</v>
      </c>
      <c r="P105" t="n">
        <v>0</v>
      </c>
      <c r="Q105" t="n">
        <v>0</v>
      </c>
      <c r="R105" s="2" t="inlineStr"/>
    </row>
    <row r="106" ht="15" customHeight="1">
      <c r="A106" t="inlineStr">
        <is>
          <t>A 66551-2020</t>
        </is>
      </c>
      <c r="B106" s="1" t="n">
        <v>44179</v>
      </c>
      <c r="C106" s="1" t="n">
        <v>45931</v>
      </c>
      <c r="D106" t="inlineStr">
        <is>
          <t>VÄSTRA GÖTALANDS LÄN</t>
        </is>
      </c>
      <c r="E106" t="inlineStr">
        <is>
          <t>ALE</t>
        </is>
      </c>
      <c r="G106" t="n">
        <v>4.5</v>
      </c>
      <c r="H106" t="n">
        <v>0</v>
      </c>
      <c r="I106" t="n">
        <v>0</v>
      </c>
      <c r="J106" t="n">
        <v>0</v>
      </c>
      <c r="K106" t="n">
        <v>0</v>
      </c>
      <c r="L106" t="n">
        <v>0</v>
      </c>
      <c r="M106" t="n">
        <v>0</v>
      </c>
      <c r="N106" t="n">
        <v>0</v>
      </c>
      <c r="O106" t="n">
        <v>0</v>
      </c>
      <c r="P106" t="n">
        <v>0</v>
      </c>
      <c r="Q106" t="n">
        <v>0</v>
      </c>
      <c r="R106" s="2" t="inlineStr"/>
    </row>
    <row r="107" ht="15" customHeight="1">
      <c r="A107" t="inlineStr">
        <is>
          <t>A 33237-2024</t>
        </is>
      </c>
      <c r="B107" s="1" t="n">
        <v>45518.59173611111</v>
      </c>
      <c r="C107" s="1" t="n">
        <v>45931</v>
      </c>
      <c r="D107" t="inlineStr">
        <is>
          <t>VÄSTRA GÖTALANDS LÄN</t>
        </is>
      </c>
      <c r="E107" t="inlineStr">
        <is>
          <t>ALE</t>
        </is>
      </c>
      <c r="G107" t="n">
        <v>0.6</v>
      </c>
      <c r="H107" t="n">
        <v>0</v>
      </c>
      <c r="I107" t="n">
        <v>0</v>
      </c>
      <c r="J107" t="n">
        <v>0</v>
      </c>
      <c r="K107" t="n">
        <v>0</v>
      </c>
      <c r="L107" t="n">
        <v>0</v>
      </c>
      <c r="M107" t="n">
        <v>0</v>
      </c>
      <c r="N107" t="n">
        <v>0</v>
      </c>
      <c r="O107" t="n">
        <v>0</v>
      </c>
      <c r="P107" t="n">
        <v>0</v>
      </c>
      <c r="Q107" t="n">
        <v>0</v>
      </c>
      <c r="R107" s="2" t="inlineStr"/>
    </row>
    <row r="108" ht="15" customHeight="1">
      <c r="A108" t="inlineStr">
        <is>
          <t>A 4971-2024</t>
        </is>
      </c>
      <c r="B108" s="1" t="n">
        <v>45329</v>
      </c>
      <c r="C108" s="1" t="n">
        <v>45931</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44429-2023</t>
        </is>
      </c>
      <c r="B109" s="1" t="n">
        <v>45189.35101851852</v>
      </c>
      <c r="C109" s="1" t="n">
        <v>45931</v>
      </c>
      <c r="D109" t="inlineStr">
        <is>
          <t>VÄSTRA GÖTALANDS LÄN</t>
        </is>
      </c>
      <c r="E109" t="inlineStr">
        <is>
          <t>ALE</t>
        </is>
      </c>
      <c r="G109" t="n">
        <v>0.1</v>
      </c>
      <c r="H109" t="n">
        <v>0</v>
      </c>
      <c r="I109" t="n">
        <v>0</v>
      </c>
      <c r="J109" t="n">
        <v>0</v>
      </c>
      <c r="K109" t="n">
        <v>0</v>
      </c>
      <c r="L109" t="n">
        <v>0</v>
      </c>
      <c r="M109" t="n">
        <v>0</v>
      </c>
      <c r="N109" t="n">
        <v>0</v>
      </c>
      <c r="O109" t="n">
        <v>0</v>
      </c>
      <c r="P109" t="n">
        <v>0</v>
      </c>
      <c r="Q109" t="n">
        <v>0</v>
      </c>
      <c r="R109" s="2" t="inlineStr"/>
    </row>
    <row r="110" ht="15" customHeight="1">
      <c r="A110" t="inlineStr">
        <is>
          <t>A 7892-2024</t>
        </is>
      </c>
      <c r="B110" s="1" t="n">
        <v>45350.40921296296</v>
      </c>
      <c r="C110" s="1" t="n">
        <v>45931</v>
      </c>
      <c r="D110" t="inlineStr">
        <is>
          <t>VÄSTRA GÖTALANDS LÄN</t>
        </is>
      </c>
      <c r="E110" t="inlineStr">
        <is>
          <t>ALE</t>
        </is>
      </c>
      <c r="G110" t="n">
        <v>3.6</v>
      </c>
      <c r="H110" t="n">
        <v>0</v>
      </c>
      <c r="I110" t="n">
        <v>0</v>
      </c>
      <c r="J110" t="n">
        <v>0</v>
      </c>
      <c r="K110" t="n">
        <v>0</v>
      </c>
      <c r="L110" t="n">
        <v>0</v>
      </c>
      <c r="M110" t="n">
        <v>0</v>
      </c>
      <c r="N110" t="n">
        <v>0</v>
      </c>
      <c r="O110" t="n">
        <v>0</v>
      </c>
      <c r="P110" t="n">
        <v>0</v>
      </c>
      <c r="Q110" t="n">
        <v>0</v>
      </c>
      <c r="R110" s="2" t="inlineStr"/>
    </row>
    <row r="111" ht="15" customHeight="1">
      <c r="A111" t="inlineStr">
        <is>
          <t>A 51164-2024</t>
        </is>
      </c>
      <c r="B111" s="1" t="n">
        <v>45603.5830787037</v>
      </c>
      <c r="C111" s="1" t="n">
        <v>45931</v>
      </c>
      <c r="D111" t="inlineStr">
        <is>
          <t>VÄSTRA GÖTALANDS LÄN</t>
        </is>
      </c>
      <c r="E111" t="inlineStr">
        <is>
          <t>ALE</t>
        </is>
      </c>
      <c r="G111" t="n">
        <v>1.1</v>
      </c>
      <c r="H111" t="n">
        <v>0</v>
      </c>
      <c r="I111" t="n">
        <v>0</v>
      </c>
      <c r="J111" t="n">
        <v>0</v>
      </c>
      <c r="K111" t="n">
        <v>0</v>
      </c>
      <c r="L111" t="n">
        <v>0</v>
      </c>
      <c r="M111" t="n">
        <v>0</v>
      </c>
      <c r="N111" t="n">
        <v>0</v>
      </c>
      <c r="O111" t="n">
        <v>0</v>
      </c>
      <c r="P111" t="n">
        <v>0</v>
      </c>
      <c r="Q111" t="n">
        <v>0</v>
      </c>
      <c r="R111" s="2" t="inlineStr"/>
    </row>
    <row r="112" ht="15" customHeight="1">
      <c r="A112" t="inlineStr">
        <is>
          <t>A 37461-2024</t>
        </is>
      </c>
      <c r="B112" s="1" t="n">
        <v>45540.72516203704</v>
      </c>
      <c r="C112" s="1" t="n">
        <v>45931</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4444-2024</t>
        </is>
      </c>
      <c r="B113" s="1" t="n">
        <v>45327</v>
      </c>
      <c r="C113" s="1" t="n">
        <v>45931</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72801-2021</t>
        </is>
      </c>
      <c r="B114" s="1" t="n">
        <v>44546</v>
      </c>
      <c r="C114" s="1" t="n">
        <v>45931</v>
      </c>
      <c r="D114" t="inlineStr">
        <is>
          <t>VÄSTRA GÖTALANDS LÄN</t>
        </is>
      </c>
      <c r="E114" t="inlineStr">
        <is>
          <t>ALE</t>
        </is>
      </c>
      <c r="F114" t="inlineStr">
        <is>
          <t>Naturvårdsverket</t>
        </is>
      </c>
      <c r="G114" t="n">
        <v>1.4</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44727.59578703704</v>
      </c>
      <c r="C115" s="1" t="n">
        <v>45931</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25849-2025</t>
        </is>
      </c>
      <c r="B116" s="1" t="n">
        <v>45804</v>
      </c>
      <c r="C116" s="1" t="n">
        <v>45931</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25848-2025</t>
        </is>
      </c>
      <c r="B117" s="1" t="n">
        <v>45804</v>
      </c>
      <c r="C117" s="1" t="n">
        <v>45931</v>
      </c>
      <c r="D117" t="inlineStr">
        <is>
          <t>VÄSTRA GÖTALANDS LÄN</t>
        </is>
      </c>
      <c r="E117" t="inlineStr">
        <is>
          <t>ALE</t>
        </is>
      </c>
      <c r="G117" t="n">
        <v>1.1</v>
      </c>
      <c r="H117" t="n">
        <v>0</v>
      </c>
      <c r="I117" t="n">
        <v>0</v>
      </c>
      <c r="J117" t="n">
        <v>0</v>
      </c>
      <c r="K117" t="n">
        <v>0</v>
      </c>
      <c r="L117" t="n">
        <v>0</v>
      </c>
      <c r="M117" t="n">
        <v>0</v>
      </c>
      <c r="N117" t="n">
        <v>0</v>
      </c>
      <c r="O117" t="n">
        <v>0</v>
      </c>
      <c r="P117" t="n">
        <v>0</v>
      </c>
      <c r="Q117" t="n">
        <v>0</v>
      </c>
      <c r="R117" s="2" t="inlineStr"/>
    </row>
    <row r="118" ht="15" customHeight="1">
      <c r="A118" t="inlineStr">
        <is>
          <t>A 25840-2025</t>
        </is>
      </c>
      <c r="B118" s="1" t="n">
        <v>45804</v>
      </c>
      <c r="C118" s="1" t="n">
        <v>45931</v>
      </c>
      <c r="D118" t="inlineStr">
        <is>
          <t>VÄSTRA GÖTALANDS LÄN</t>
        </is>
      </c>
      <c r="E118" t="inlineStr">
        <is>
          <t>ALE</t>
        </is>
      </c>
      <c r="G118" t="n">
        <v>3.8</v>
      </c>
      <c r="H118" t="n">
        <v>0</v>
      </c>
      <c r="I118" t="n">
        <v>0</v>
      </c>
      <c r="J118" t="n">
        <v>0</v>
      </c>
      <c r="K118" t="n">
        <v>0</v>
      </c>
      <c r="L118" t="n">
        <v>0</v>
      </c>
      <c r="M118" t="n">
        <v>0</v>
      </c>
      <c r="N118" t="n">
        <v>0</v>
      </c>
      <c r="O118" t="n">
        <v>0</v>
      </c>
      <c r="P118" t="n">
        <v>0</v>
      </c>
      <c r="Q118" t="n">
        <v>0</v>
      </c>
      <c r="R118" s="2" t="inlineStr"/>
    </row>
    <row r="119" ht="15" customHeight="1">
      <c r="A119" t="inlineStr">
        <is>
          <t>A 8956-2025</t>
        </is>
      </c>
      <c r="B119" s="1" t="n">
        <v>45713.46825231481</v>
      </c>
      <c r="C119" s="1" t="n">
        <v>45931</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8659-2025</t>
        </is>
      </c>
      <c r="B120" s="1" t="n">
        <v>45712</v>
      </c>
      <c r="C120" s="1" t="n">
        <v>45931</v>
      </c>
      <c r="D120" t="inlineStr">
        <is>
          <t>VÄSTRA GÖTALANDS LÄN</t>
        </is>
      </c>
      <c r="E120" t="inlineStr">
        <is>
          <t>ALE</t>
        </is>
      </c>
      <c r="G120" t="n">
        <v>5.7</v>
      </c>
      <c r="H120" t="n">
        <v>0</v>
      </c>
      <c r="I120" t="n">
        <v>0</v>
      </c>
      <c r="J120" t="n">
        <v>0</v>
      </c>
      <c r="K120" t="n">
        <v>0</v>
      </c>
      <c r="L120" t="n">
        <v>0</v>
      </c>
      <c r="M120" t="n">
        <v>0</v>
      </c>
      <c r="N120" t="n">
        <v>0</v>
      </c>
      <c r="O120" t="n">
        <v>0</v>
      </c>
      <c r="P120" t="n">
        <v>0</v>
      </c>
      <c r="Q120" t="n">
        <v>0</v>
      </c>
      <c r="R120" s="2" t="inlineStr"/>
    </row>
    <row r="121" ht="15" customHeight="1">
      <c r="A121" t="inlineStr">
        <is>
          <t>A 5344-2024</t>
        </is>
      </c>
      <c r="B121" s="1" t="n">
        <v>45331</v>
      </c>
      <c r="C121" s="1" t="n">
        <v>45931</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18637-2023</t>
        </is>
      </c>
      <c r="B122" s="1" t="n">
        <v>45043</v>
      </c>
      <c r="C122" s="1" t="n">
        <v>45931</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59933-2023</t>
        </is>
      </c>
      <c r="B123" s="1" t="n">
        <v>45257</v>
      </c>
      <c r="C123" s="1" t="n">
        <v>45931</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1822-2024</t>
        </is>
      </c>
      <c r="B124" s="1" t="n">
        <v>45307.6205787037</v>
      </c>
      <c r="C124" s="1" t="n">
        <v>45931</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26083-2023</t>
        </is>
      </c>
      <c r="B125" s="1" t="n">
        <v>45091</v>
      </c>
      <c r="C125" s="1" t="n">
        <v>45931</v>
      </c>
      <c r="D125" t="inlineStr">
        <is>
          <t>VÄSTRA GÖTALANDS LÄN</t>
        </is>
      </c>
      <c r="E125" t="inlineStr">
        <is>
          <t>ALE</t>
        </is>
      </c>
      <c r="G125" t="n">
        <v>1.6</v>
      </c>
      <c r="H125" t="n">
        <v>0</v>
      </c>
      <c r="I125" t="n">
        <v>0</v>
      </c>
      <c r="J125" t="n">
        <v>0</v>
      </c>
      <c r="K125" t="n">
        <v>0</v>
      </c>
      <c r="L125" t="n">
        <v>0</v>
      </c>
      <c r="M125" t="n">
        <v>0</v>
      </c>
      <c r="N125" t="n">
        <v>0</v>
      </c>
      <c r="O125" t="n">
        <v>0</v>
      </c>
      <c r="P125" t="n">
        <v>0</v>
      </c>
      <c r="Q125" t="n">
        <v>0</v>
      </c>
      <c r="R125" s="2" t="inlineStr"/>
    </row>
    <row r="126" ht="15" customHeight="1">
      <c r="A126" t="inlineStr">
        <is>
          <t>A 15241-2025</t>
        </is>
      </c>
      <c r="B126" s="1" t="n">
        <v>45744.61255787037</v>
      </c>
      <c r="C126" s="1" t="n">
        <v>45931</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29373-2025</t>
        </is>
      </c>
      <c r="B127" s="1" t="n">
        <v>45824.579375</v>
      </c>
      <c r="C127" s="1" t="n">
        <v>45931</v>
      </c>
      <c r="D127" t="inlineStr">
        <is>
          <t>VÄSTRA GÖTALANDS LÄN</t>
        </is>
      </c>
      <c r="E127" t="inlineStr">
        <is>
          <t>ALE</t>
        </is>
      </c>
      <c r="G127" t="n">
        <v>4.6</v>
      </c>
      <c r="H127" t="n">
        <v>0</v>
      </c>
      <c r="I127" t="n">
        <v>0</v>
      </c>
      <c r="J127" t="n">
        <v>0</v>
      </c>
      <c r="K127" t="n">
        <v>0</v>
      </c>
      <c r="L127" t="n">
        <v>0</v>
      </c>
      <c r="M127" t="n">
        <v>0</v>
      </c>
      <c r="N127" t="n">
        <v>0</v>
      </c>
      <c r="O127" t="n">
        <v>0</v>
      </c>
      <c r="P127" t="n">
        <v>0</v>
      </c>
      <c r="Q127" t="n">
        <v>0</v>
      </c>
      <c r="R127" s="2" t="inlineStr"/>
    </row>
    <row r="128" ht="15" customHeight="1">
      <c r="A128" t="inlineStr">
        <is>
          <t>A 13382-2025</t>
        </is>
      </c>
      <c r="B128" s="1" t="n">
        <v>45735.67928240741</v>
      </c>
      <c r="C128" s="1" t="n">
        <v>45931</v>
      </c>
      <c r="D128" t="inlineStr">
        <is>
          <t>VÄSTRA GÖTALANDS LÄN</t>
        </is>
      </c>
      <c r="E128" t="inlineStr">
        <is>
          <t>ALE</t>
        </is>
      </c>
      <c r="G128" t="n">
        <v>0.9</v>
      </c>
      <c r="H128" t="n">
        <v>0</v>
      </c>
      <c r="I128" t="n">
        <v>0</v>
      </c>
      <c r="J128" t="n">
        <v>0</v>
      </c>
      <c r="K128" t="n">
        <v>0</v>
      </c>
      <c r="L128" t="n">
        <v>0</v>
      </c>
      <c r="M128" t="n">
        <v>0</v>
      </c>
      <c r="N128" t="n">
        <v>0</v>
      </c>
      <c r="O128" t="n">
        <v>0</v>
      </c>
      <c r="P128" t="n">
        <v>0</v>
      </c>
      <c r="Q128" t="n">
        <v>0</v>
      </c>
      <c r="R128" s="2" t="inlineStr"/>
    </row>
    <row r="129" ht="15" customHeight="1">
      <c r="A129" t="inlineStr">
        <is>
          <t>A 13426-2025</t>
        </is>
      </c>
      <c r="B129" s="1" t="n">
        <v>45736.32780092592</v>
      </c>
      <c r="C129" s="1" t="n">
        <v>45931</v>
      </c>
      <c r="D129" t="inlineStr">
        <is>
          <t>VÄSTRA GÖTALANDS LÄN</t>
        </is>
      </c>
      <c r="E129" t="inlineStr">
        <is>
          <t>ALE</t>
        </is>
      </c>
      <c r="G129" t="n">
        <v>1.5</v>
      </c>
      <c r="H129" t="n">
        <v>0</v>
      </c>
      <c r="I129" t="n">
        <v>0</v>
      </c>
      <c r="J129" t="n">
        <v>0</v>
      </c>
      <c r="K129" t="n">
        <v>0</v>
      </c>
      <c r="L129" t="n">
        <v>0</v>
      </c>
      <c r="M129" t="n">
        <v>0</v>
      </c>
      <c r="N129" t="n">
        <v>0</v>
      </c>
      <c r="O129" t="n">
        <v>0</v>
      </c>
      <c r="P129" t="n">
        <v>0</v>
      </c>
      <c r="Q129" t="n">
        <v>0</v>
      </c>
      <c r="R129" s="2" t="inlineStr"/>
    </row>
    <row r="130" ht="15" customHeight="1">
      <c r="A130" t="inlineStr">
        <is>
          <t>A 13903-2025</t>
        </is>
      </c>
      <c r="B130" s="1" t="n">
        <v>45737.63481481482</v>
      </c>
      <c r="C130" s="1" t="n">
        <v>45931</v>
      </c>
      <c r="D130" t="inlineStr">
        <is>
          <t>VÄSTRA GÖTALANDS LÄN</t>
        </is>
      </c>
      <c r="E130" t="inlineStr">
        <is>
          <t>ALE</t>
        </is>
      </c>
      <c r="G130" t="n">
        <v>0.5</v>
      </c>
      <c r="H130" t="n">
        <v>0</v>
      </c>
      <c r="I130" t="n">
        <v>0</v>
      </c>
      <c r="J130" t="n">
        <v>0</v>
      </c>
      <c r="K130" t="n">
        <v>0</v>
      </c>
      <c r="L130" t="n">
        <v>0</v>
      </c>
      <c r="M130" t="n">
        <v>0</v>
      </c>
      <c r="N130" t="n">
        <v>0</v>
      </c>
      <c r="O130" t="n">
        <v>0</v>
      </c>
      <c r="P130" t="n">
        <v>0</v>
      </c>
      <c r="Q130" t="n">
        <v>0</v>
      </c>
      <c r="R130" s="2" t="inlineStr"/>
    </row>
    <row r="131" ht="15" customHeight="1">
      <c r="A131" t="inlineStr">
        <is>
          <t>A 6947-2024</t>
        </is>
      </c>
      <c r="B131" s="1" t="n">
        <v>45343</v>
      </c>
      <c r="C131" s="1" t="n">
        <v>45931</v>
      </c>
      <c r="D131" t="inlineStr">
        <is>
          <t>VÄSTRA GÖTALANDS LÄN</t>
        </is>
      </c>
      <c r="E131" t="inlineStr">
        <is>
          <t>ALE</t>
        </is>
      </c>
      <c r="G131" t="n">
        <v>3.7</v>
      </c>
      <c r="H131" t="n">
        <v>0</v>
      </c>
      <c r="I131" t="n">
        <v>0</v>
      </c>
      <c r="J131" t="n">
        <v>0</v>
      </c>
      <c r="K131" t="n">
        <v>0</v>
      </c>
      <c r="L131" t="n">
        <v>0</v>
      </c>
      <c r="M131" t="n">
        <v>0</v>
      </c>
      <c r="N131" t="n">
        <v>0</v>
      </c>
      <c r="O131" t="n">
        <v>0</v>
      </c>
      <c r="P131" t="n">
        <v>0</v>
      </c>
      <c r="Q131" t="n">
        <v>0</v>
      </c>
      <c r="R131" s="2" t="inlineStr"/>
    </row>
    <row r="132" ht="15" customHeight="1">
      <c r="A132" t="inlineStr">
        <is>
          <t>A 31407-2025</t>
        </is>
      </c>
      <c r="B132" s="1" t="n">
        <v>45833</v>
      </c>
      <c r="C132" s="1" t="n">
        <v>45931</v>
      </c>
      <c r="D132" t="inlineStr">
        <is>
          <t>VÄSTRA GÖTALANDS LÄN</t>
        </is>
      </c>
      <c r="E132" t="inlineStr">
        <is>
          <t>ALE</t>
        </is>
      </c>
      <c r="G132" t="n">
        <v>0.8</v>
      </c>
      <c r="H132" t="n">
        <v>0</v>
      </c>
      <c r="I132" t="n">
        <v>0</v>
      </c>
      <c r="J132" t="n">
        <v>0</v>
      </c>
      <c r="K132" t="n">
        <v>0</v>
      </c>
      <c r="L132" t="n">
        <v>0</v>
      </c>
      <c r="M132" t="n">
        <v>0</v>
      </c>
      <c r="N132" t="n">
        <v>0</v>
      </c>
      <c r="O132" t="n">
        <v>0</v>
      </c>
      <c r="P132" t="n">
        <v>0</v>
      </c>
      <c r="Q132" t="n">
        <v>0</v>
      </c>
      <c r="R132" s="2" t="inlineStr"/>
    </row>
    <row r="133" ht="15" customHeight="1">
      <c r="A133" t="inlineStr">
        <is>
          <t>A 31409-2025</t>
        </is>
      </c>
      <c r="B133" s="1" t="n">
        <v>45833</v>
      </c>
      <c r="C133" s="1" t="n">
        <v>45931</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31533-2025</t>
        </is>
      </c>
      <c r="B134" s="1" t="n">
        <v>45833</v>
      </c>
      <c r="C134" s="1" t="n">
        <v>45931</v>
      </c>
      <c r="D134" t="inlineStr">
        <is>
          <t>VÄSTRA GÖTALANDS LÄN</t>
        </is>
      </c>
      <c r="E134" t="inlineStr">
        <is>
          <t>ALE</t>
        </is>
      </c>
      <c r="G134" t="n">
        <v>1.6</v>
      </c>
      <c r="H134" t="n">
        <v>0</v>
      </c>
      <c r="I134" t="n">
        <v>0</v>
      </c>
      <c r="J134" t="n">
        <v>0</v>
      </c>
      <c r="K134" t="n">
        <v>0</v>
      </c>
      <c r="L134" t="n">
        <v>0</v>
      </c>
      <c r="M134" t="n">
        <v>0</v>
      </c>
      <c r="N134" t="n">
        <v>0</v>
      </c>
      <c r="O134" t="n">
        <v>0</v>
      </c>
      <c r="P134" t="n">
        <v>0</v>
      </c>
      <c r="Q134" t="n">
        <v>0</v>
      </c>
      <c r="R134" s="2" t="inlineStr"/>
    </row>
    <row r="135" ht="15" customHeight="1">
      <c r="A135" t="inlineStr">
        <is>
          <t>A 31488-2025</t>
        </is>
      </c>
      <c r="B135" s="1" t="n">
        <v>45833</v>
      </c>
      <c r="C135" s="1" t="n">
        <v>45931</v>
      </c>
      <c r="D135" t="inlineStr">
        <is>
          <t>VÄSTRA GÖTALANDS LÄN</t>
        </is>
      </c>
      <c r="E135" t="inlineStr">
        <is>
          <t>ALE</t>
        </is>
      </c>
      <c r="G135" t="n">
        <v>1.8</v>
      </c>
      <c r="H135" t="n">
        <v>0</v>
      </c>
      <c r="I135" t="n">
        <v>0</v>
      </c>
      <c r="J135" t="n">
        <v>0</v>
      </c>
      <c r="K135" t="n">
        <v>0</v>
      </c>
      <c r="L135" t="n">
        <v>0</v>
      </c>
      <c r="M135" t="n">
        <v>0</v>
      </c>
      <c r="N135" t="n">
        <v>0</v>
      </c>
      <c r="O135" t="n">
        <v>0</v>
      </c>
      <c r="P135" t="n">
        <v>0</v>
      </c>
      <c r="Q135" t="n">
        <v>0</v>
      </c>
      <c r="R135" s="2" t="inlineStr"/>
    </row>
    <row r="136" ht="15" customHeight="1">
      <c r="A136" t="inlineStr">
        <is>
          <t>A 34153-2024</t>
        </is>
      </c>
      <c r="B136" s="1" t="n">
        <v>45524.38400462963</v>
      </c>
      <c r="C136" s="1" t="n">
        <v>45931</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41309-2024</t>
        </is>
      </c>
      <c r="B137" s="1" t="n">
        <v>45559</v>
      </c>
      <c r="C137" s="1" t="n">
        <v>45931</v>
      </c>
      <c r="D137" t="inlineStr">
        <is>
          <t>VÄSTRA GÖTALANDS LÄN</t>
        </is>
      </c>
      <c r="E137" t="inlineStr">
        <is>
          <t>ALE</t>
        </is>
      </c>
      <c r="G137" t="n">
        <v>8.4</v>
      </c>
      <c r="H137" t="n">
        <v>0</v>
      </c>
      <c r="I137" t="n">
        <v>0</v>
      </c>
      <c r="J137" t="n">
        <v>0</v>
      </c>
      <c r="K137" t="n">
        <v>0</v>
      </c>
      <c r="L137" t="n">
        <v>0</v>
      </c>
      <c r="M137" t="n">
        <v>0</v>
      </c>
      <c r="N137" t="n">
        <v>0</v>
      </c>
      <c r="O137" t="n">
        <v>0</v>
      </c>
      <c r="P137" t="n">
        <v>0</v>
      </c>
      <c r="Q137" t="n">
        <v>0</v>
      </c>
      <c r="R137" s="2" t="inlineStr"/>
    </row>
    <row r="138" ht="15" customHeight="1">
      <c r="A138" t="inlineStr">
        <is>
          <t>A 40074-2025</t>
        </is>
      </c>
      <c r="B138" s="1" t="n">
        <v>45894.44685185186</v>
      </c>
      <c r="C138" s="1" t="n">
        <v>45931</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15499-2022</t>
        </is>
      </c>
      <c r="B139" s="1" t="n">
        <v>44662</v>
      </c>
      <c r="C139" s="1" t="n">
        <v>45931</v>
      </c>
      <c r="D139" t="inlineStr">
        <is>
          <t>VÄSTRA GÖTALANDS LÄN</t>
        </is>
      </c>
      <c r="E139" t="inlineStr">
        <is>
          <t>ALE</t>
        </is>
      </c>
      <c r="G139" t="n">
        <v>4.7</v>
      </c>
      <c r="H139" t="n">
        <v>0</v>
      </c>
      <c r="I139" t="n">
        <v>0</v>
      </c>
      <c r="J139" t="n">
        <v>0</v>
      </c>
      <c r="K139" t="n">
        <v>0</v>
      </c>
      <c r="L139" t="n">
        <v>0</v>
      </c>
      <c r="M139" t="n">
        <v>0</v>
      </c>
      <c r="N139" t="n">
        <v>0</v>
      </c>
      <c r="O139" t="n">
        <v>0</v>
      </c>
      <c r="P139" t="n">
        <v>0</v>
      </c>
      <c r="Q139" t="n">
        <v>0</v>
      </c>
      <c r="R139" s="2" t="inlineStr"/>
    </row>
    <row r="140" ht="15" customHeight="1">
      <c r="A140" t="inlineStr">
        <is>
          <t>A 35959-2022</t>
        </is>
      </c>
      <c r="B140" s="1" t="n">
        <v>44802.57002314815</v>
      </c>
      <c r="C140" s="1" t="n">
        <v>45931</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200-2022</t>
        </is>
      </c>
      <c r="B141" s="1" t="n">
        <v>44564</v>
      </c>
      <c r="C141" s="1" t="n">
        <v>45931</v>
      </c>
      <c r="D141" t="inlineStr">
        <is>
          <t>VÄSTRA GÖTALANDS LÄN</t>
        </is>
      </c>
      <c r="E141" t="inlineStr">
        <is>
          <t>ALE</t>
        </is>
      </c>
      <c r="G141" t="n">
        <v>6.8</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45931</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27314-2021</t>
        </is>
      </c>
      <c r="B143" s="1" t="n">
        <v>44351.36537037037</v>
      </c>
      <c r="C143" s="1" t="n">
        <v>45931</v>
      </c>
      <c r="D143" t="inlineStr">
        <is>
          <t>VÄSTRA GÖTALANDS LÄN</t>
        </is>
      </c>
      <c r="E143" t="inlineStr">
        <is>
          <t>ALE</t>
        </is>
      </c>
      <c r="G143" t="n">
        <v>11.3</v>
      </c>
      <c r="H143" t="n">
        <v>0</v>
      </c>
      <c r="I143" t="n">
        <v>0</v>
      </c>
      <c r="J143" t="n">
        <v>0</v>
      </c>
      <c r="K143" t="n">
        <v>0</v>
      </c>
      <c r="L143" t="n">
        <v>0</v>
      </c>
      <c r="M143" t="n">
        <v>0</v>
      </c>
      <c r="N143" t="n">
        <v>0</v>
      </c>
      <c r="O143" t="n">
        <v>0</v>
      </c>
      <c r="P143" t="n">
        <v>0</v>
      </c>
      <c r="Q143" t="n">
        <v>0</v>
      </c>
      <c r="R143" s="2" t="inlineStr"/>
    </row>
    <row r="144" ht="15" customHeight="1">
      <c r="A144" t="inlineStr">
        <is>
          <t>A 17044-2025</t>
        </is>
      </c>
      <c r="B144" s="1" t="n">
        <v>45755.58891203703</v>
      </c>
      <c r="C144" s="1" t="n">
        <v>45931</v>
      </c>
      <c r="D144" t="inlineStr">
        <is>
          <t>VÄSTRA GÖTALANDS LÄN</t>
        </is>
      </c>
      <c r="E144" t="inlineStr">
        <is>
          <t>ALE</t>
        </is>
      </c>
      <c r="G144" t="n">
        <v>1.5</v>
      </c>
      <c r="H144" t="n">
        <v>0</v>
      </c>
      <c r="I144" t="n">
        <v>0</v>
      </c>
      <c r="J144" t="n">
        <v>0</v>
      </c>
      <c r="K144" t="n">
        <v>0</v>
      </c>
      <c r="L144" t="n">
        <v>0</v>
      </c>
      <c r="M144" t="n">
        <v>0</v>
      </c>
      <c r="N144" t="n">
        <v>0</v>
      </c>
      <c r="O144" t="n">
        <v>0</v>
      </c>
      <c r="P144" t="n">
        <v>0</v>
      </c>
      <c r="Q144" t="n">
        <v>0</v>
      </c>
      <c r="R144" s="2" t="inlineStr"/>
    </row>
    <row r="145" ht="15" customHeight="1">
      <c r="A145" t="inlineStr">
        <is>
          <t>A 1960-2024</t>
        </is>
      </c>
      <c r="B145" s="1" t="n">
        <v>45308.50962962963</v>
      </c>
      <c r="C145" s="1" t="n">
        <v>45931</v>
      </c>
      <c r="D145" t="inlineStr">
        <is>
          <t>VÄSTRA GÖTALANDS LÄN</t>
        </is>
      </c>
      <c r="E145" t="inlineStr">
        <is>
          <t>ALE</t>
        </is>
      </c>
      <c r="G145" t="n">
        <v>1.9</v>
      </c>
      <c r="H145" t="n">
        <v>0</v>
      </c>
      <c r="I145" t="n">
        <v>0</v>
      </c>
      <c r="J145" t="n">
        <v>0</v>
      </c>
      <c r="K145" t="n">
        <v>0</v>
      </c>
      <c r="L145" t="n">
        <v>0</v>
      </c>
      <c r="M145" t="n">
        <v>0</v>
      </c>
      <c r="N145" t="n">
        <v>0</v>
      </c>
      <c r="O145" t="n">
        <v>0</v>
      </c>
      <c r="P145" t="n">
        <v>0</v>
      </c>
      <c r="Q145" t="n">
        <v>0</v>
      </c>
      <c r="R145" s="2" t="inlineStr"/>
    </row>
    <row r="146" ht="15" customHeight="1">
      <c r="A146" t="inlineStr">
        <is>
          <t>A 3418-2023</t>
        </is>
      </c>
      <c r="B146" s="1" t="n">
        <v>44949.56182870371</v>
      </c>
      <c r="C146" s="1" t="n">
        <v>45931</v>
      </c>
      <c r="D146" t="inlineStr">
        <is>
          <t>VÄSTRA GÖTALANDS LÄN</t>
        </is>
      </c>
      <c r="E146" t="inlineStr">
        <is>
          <t>ALE</t>
        </is>
      </c>
      <c r="G146" t="n">
        <v>1.1</v>
      </c>
      <c r="H146" t="n">
        <v>0</v>
      </c>
      <c r="I146" t="n">
        <v>0</v>
      </c>
      <c r="J146" t="n">
        <v>0</v>
      </c>
      <c r="K146" t="n">
        <v>0</v>
      </c>
      <c r="L146" t="n">
        <v>0</v>
      </c>
      <c r="M146" t="n">
        <v>0</v>
      </c>
      <c r="N146" t="n">
        <v>0</v>
      </c>
      <c r="O146" t="n">
        <v>0</v>
      </c>
      <c r="P146" t="n">
        <v>0</v>
      </c>
      <c r="Q146" t="n">
        <v>0</v>
      </c>
      <c r="R146" s="2" t="inlineStr"/>
    </row>
    <row r="147" ht="15" customHeight="1">
      <c r="A147" t="inlineStr">
        <is>
          <t>A 65226-2021</t>
        </is>
      </c>
      <c r="B147" s="1" t="n">
        <v>44515</v>
      </c>
      <c r="C147" s="1" t="n">
        <v>45931</v>
      </c>
      <c r="D147" t="inlineStr">
        <is>
          <t>VÄSTRA GÖTALANDS LÄN</t>
        </is>
      </c>
      <c r="E147" t="inlineStr">
        <is>
          <t>ALE</t>
        </is>
      </c>
      <c r="G147" t="n">
        <v>0.7</v>
      </c>
      <c r="H147" t="n">
        <v>0</v>
      </c>
      <c r="I147" t="n">
        <v>0</v>
      </c>
      <c r="J147" t="n">
        <v>0</v>
      </c>
      <c r="K147" t="n">
        <v>0</v>
      </c>
      <c r="L147" t="n">
        <v>0</v>
      </c>
      <c r="M147" t="n">
        <v>0</v>
      </c>
      <c r="N147" t="n">
        <v>0</v>
      </c>
      <c r="O147" t="n">
        <v>0</v>
      </c>
      <c r="P147" t="n">
        <v>0</v>
      </c>
      <c r="Q147" t="n">
        <v>0</v>
      </c>
      <c r="R147" s="2" t="inlineStr"/>
    </row>
    <row r="148" ht="15" customHeight="1">
      <c r="A148" t="inlineStr">
        <is>
          <t>A 12055-2022</t>
        </is>
      </c>
      <c r="B148" s="1" t="n">
        <v>44636</v>
      </c>
      <c r="C148" s="1" t="n">
        <v>45931</v>
      </c>
      <c r="D148" t="inlineStr">
        <is>
          <t>VÄSTRA GÖTALANDS LÄN</t>
        </is>
      </c>
      <c r="E148" t="inlineStr">
        <is>
          <t>ALE</t>
        </is>
      </c>
      <c r="G148" t="n">
        <v>0.2</v>
      </c>
      <c r="H148" t="n">
        <v>0</v>
      </c>
      <c r="I148" t="n">
        <v>0</v>
      </c>
      <c r="J148" t="n">
        <v>0</v>
      </c>
      <c r="K148" t="n">
        <v>0</v>
      </c>
      <c r="L148" t="n">
        <v>0</v>
      </c>
      <c r="M148" t="n">
        <v>0</v>
      </c>
      <c r="N148" t="n">
        <v>0</v>
      </c>
      <c r="O148" t="n">
        <v>0</v>
      </c>
      <c r="P148" t="n">
        <v>0</v>
      </c>
      <c r="Q148" t="n">
        <v>0</v>
      </c>
      <c r="R148" s="2" t="inlineStr"/>
    </row>
    <row r="149" ht="15" customHeight="1">
      <c r="A149" t="inlineStr">
        <is>
          <t>A 43732-2025</t>
        </is>
      </c>
      <c r="B149" s="1" t="n">
        <v>45912.43576388889</v>
      </c>
      <c r="C149" s="1" t="n">
        <v>45931</v>
      </c>
      <c r="D149" t="inlineStr">
        <is>
          <t>VÄSTRA GÖTALANDS LÄN</t>
        </is>
      </c>
      <c r="E149" t="inlineStr">
        <is>
          <t>ALE</t>
        </is>
      </c>
      <c r="G149" t="n">
        <v>2.9</v>
      </c>
      <c r="H149" t="n">
        <v>0</v>
      </c>
      <c r="I149" t="n">
        <v>0</v>
      </c>
      <c r="J149" t="n">
        <v>0</v>
      </c>
      <c r="K149" t="n">
        <v>0</v>
      </c>
      <c r="L149" t="n">
        <v>0</v>
      </c>
      <c r="M149" t="n">
        <v>0</v>
      </c>
      <c r="N149" t="n">
        <v>0</v>
      </c>
      <c r="O149" t="n">
        <v>0</v>
      </c>
      <c r="P149" t="n">
        <v>0</v>
      </c>
      <c r="Q149" t="n">
        <v>0</v>
      </c>
      <c r="R149" s="2" t="inlineStr"/>
    </row>
    <row r="150" ht="15" customHeight="1">
      <c r="A150" t="inlineStr">
        <is>
          <t>A 3457-2022</t>
        </is>
      </c>
      <c r="B150" s="1" t="n">
        <v>44585</v>
      </c>
      <c r="C150" s="1" t="n">
        <v>45931</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69325-2020</t>
        </is>
      </c>
      <c r="B151" s="1" t="n">
        <v>44193</v>
      </c>
      <c r="C151" s="1" t="n">
        <v>45931</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5916-2023</t>
        </is>
      </c>
      <c r="B152" s="1" t="n">
        <v>44963</v>
      </c>
      <c r="C152" s="1" t="n">
        <v>45931</v>
      </c>
      <c r="D152" t="inlineStr">
        <is>
          <t>VÄSTRA GÖTALANDS LÄN</t>
        </is>
      </c>
      <c r="E152" t="inlineStr">
        <is>
          <t>ALE</t>
        </is>
      </c>
      <c r="G152" t="n">
        <v>4.2</v>
      </c>
      <c r="H152" t="n">
        <v>0</v>
      </c>
      <c r="I152" t="n">
        <v>0</v>
      </c>
      <c r="J152" t="n">
        <v>0</v>
      </c>
      <c r="K152" t="n">
        <v>0</v>
      </c>
      <c r="L152" t="n">
        <v>0</v>
      </c>
      <c r="M152" t="n">
        <v>0</v>
      </c>
      <c r="N152" t="n">
        <v>0</v>
      </c>
      <c r="O152" t="n">
        <v>0</v>
      </c>
      <c r="P152" t="n">
        <v>0</v>
      </c>
      <c r="Q152" t="n">
        <v>0</v>
      </c>
      <c r="R152" s="2" t="inlineStr"/>
    </row>
    <row r="153" ht="15" customHeight="1">
      <c r="A153" t="inlineStr">
        <is>
          <t>A 46227-2025</t>
        </is>
      </c>
      <c r="B153" s="1" t="n">
        <v>45924.90386574074</v>
      </c>
      <c r="C153" s="1" t="n">
        <v>45931</v>
      </c>
      <c r="D153" t="inlineStr">
        <is>
          <t>VÄSTRA GÖTALANDS LÄN</t>
        </is>
      </c>
      <c r="E153" t="inlineStr">
        <is>
          <t>ALE</t>
        </is>
      </c>
      <c r="G153" t="n">
        <v>0.3</v>
      </c>
      <c r="H153" t="n">
        <v>0</v>
      </c>
      <c r="I153" t="n">
        <v>0</v>
      </c>
      <c r="J153" t="n">
        <v>0</v>
      </c>
      <c r="K153" t="n">
        <v>0</v>
      </c>
      <c r="L153" t="n">
        <v>0</v>
      </c>
      <c r="M153" t="n">
        <v>0</v>
      </c>
      <c r="N153" t="n">
        <v>0</v>
      </c>
      <c r="O153" t="n">
        <v>0</v>
      </c>
      <c r="P153" t="n">
        <v>0</v>
      </c>
      <c r="Q153" t="n">
        <v>0</v>
      </c>
      <c r="R153" s="2" t="inlineStr"/>
    </row>
    <row r="154" ht="15" customHeight="1">
      <c r="A154" t="inlineStr">
        <is>
          <t>A 46084-2025</t>
        </is>
      </c>
      <c r="B154" s="1" t="n">
        <v>45924.51282407407</v>
      </c>
      <c r="C154" s="1" t="n">
        <v>45931</v>
      </c>
      <c r="D154" t="inlineStr">
        <is>
          <t>VÄSTRA GÖTALANDS LÄN</t>
        </is>
      </c>
      <c r="E154" t="inlineStr">
        <is>
          <t>ALE</t>
        </is>
      </c>
      <c r="G154" t="n">
        <v>4.2</v>
      </c>
      <c r="H154" t="n">
        <v>0</v>
      </c>
      <c r="I154" t="n">
        <v>0</v>
      </c>
      <c r="J154" t="n">
        <v>0</v>
      </c>
      <c r="K154" t="n">
        <v>0</v>
      </c>
      <c r="L154" t="n">
        <v>0</v>
      </c>
      <c r="M154" t="n">
        <v>0</v>
      </c>
      <c r="N154" t="n">
        <v>0</v>
      </c>
      <c r="O154" t="n">
        <v>0</v>
      </c>
      <c r="P154" t="n">
        <v>0</v>
      </c>
      <c r="Q154" t="n">
        <v>0</v>
      </c>
      <c r="R154" s="2" t="inlineStr"/>
    </row>
    <row r="155">
      <c r="A155" t="inlineStr">
        <is>
          <t>A 49955-2021</t>
        </is>
      </c>
      <c r="B155" s="1" t="n">
        <v>44456</v>
      </c>
      <c r="C155" s="1" t="n">
        <v>45931</v>
      </c>
      <c r="D155" t="inlineStr">
        <is>
          <t>VÄSTRA GÖTALANDS LÄN</t>
        </is>
      </c>
      <c r="E155" t="inlineStr">
        <is>
          <t>ALE</t>
        </is>
      </c>
      <c r="G155" t="n">
        <v>2.2</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2025-10-01T12:55:27Z</dcterms:created>
  <dcterms:modified xmlns:dcterms="http://purl.org/dc/terms/" xmlns:xsi="http://www.w3.org/2001/XMLSchema-instance" xsi:type="dcterms:W3CDTF">2025-10-01T12:55:27Z</dcterms:modified>
</cp:coreProperties>
</file>