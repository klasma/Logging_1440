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46050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46050</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46050</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46050</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46050</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46010.52755787037</v>
      </c>
      <c r="C7" s="1" t="n">
        <v>46050</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22637-2025</t>
        </is>
      </c>
      <c r="B8" s="1" t="n">
        <v>45789</v>
      </c>
      <c r="C8" s="1" t="n">
        <v>46050</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46050</v>
      </c>
      <c r="D9" t="inlineStr">
        <is>
          <t>VÄSTRA GÖTALANDS LÄN</t>
        </is>
      </c>
      <c r="E9" t="inlineStr">
        <is>
          <t>ALE</t>
        </is>
      </c>
      <c r="G9" t="n">
        <v>5.6</v>
      </c>
      <c r="H9" t="n">
        <v>4</v>
      </c>
      <c r="I9" t="n">
        <v>7</v>
      </c>
      <c r="J9" t="n">
        <v>2</v>
      </c>
      <c r="K9" t="n">
        <v>0</v>
      </c>
      <c r="L9" t="n">
        <v>0</v>
      </c>
      <c r="M9" t="n">
        <v>0</v>
      </c>
      <c r="N9" t="n">
        <v>0</v>
      </c>
      <c r="O9" t="n">
        <v>2</v>
      </c>
      <c r="P9" t="n">
        <v>0</v>
      </c>
      <c r="Q9" t="n">
        <v>12</v>
      </c>
      <c r="R9" s="2" t="inlineStr">
        <is>
          <t>Motaggsvamp
Spillkråka
Blåmossa
Dropptaggsvamp
Kornknutmossa
Sotriska
Stor revmossa
Stubbspretmossa
Västlig hakmossa
Kungsfågel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46050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46050</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45952.58069444444</v>
      </c>
      <c r="C12" s="1" t="n">
        <v>46050</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37005-2025</t>
        </is>
      </c>
      <c r="B13" s="1" t="n">
        <v>45874.69311342593</v>
      </c>
      <c r="C13" s="1" t="n">
        <v>46050</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46050</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46050</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24162-2025</t>
        </is>
      </c>
      <c r="B16" s="1" t="n">
        <v>45796.66684027778</v>
      </c>
      <c r="C16" s="1" t="n">
        <v>46050</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563-2024</t>
        </is>
      </c>
      <c r="B17" s="1" t="n">
        <v>45299</v>
      </c>
      <c r="C17" s="1" t="n">
        <v>46050</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26491-2024</t>
        </is>
      </c>
      <c r="B18" s="1" t="n">
        <v>45469</v>
      </c>
      <c r="C18" s="1" t="n">
        <v>46050</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7903-2024</t>
        </is>
      </c>
      <c r="B19" s="1" t="n">
        <v>45350</v>
      </c>
      <c r="C19" s="1" t="n">
        <v>46050</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19934-2025</t>
        </is>
      </c>
      <c r="B20" s="1" t="n">
        <v>45771</v>
      </c>
      <c r="C20" s="1" t="n">
        <v>46050</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60293-2025</t>
        </is>
      </c>
      <c r="B21" s="1" t="n">
        <v>45994.65568287037</v>
      </c>
      <c r="C21" s="1" t="n">
        <v>46050</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63575-2023</t>
        </is>
      </c>
      <c r="B22" s="1" t="n">
        <v>45275.39715277778</v>
      </c>
      <c r="C22" s="1" t="n">
        <v>46050</v>
      </c>
      <c r="D22" t="inlineStr">
        <is>
          <t>VÄSTRA GÖTALANDS LÄN</t>
        </is>
      </c>
      <c r="E22" t="inlineStr">
        <is>
          <t>ALE</t>
        </is>
      </c>
      <c r="G22" t="n">
        <v>1.2</v>
      </c>
      <c r="H22" t="n">
        <v>3</v>
      </c>
      <c r="I22" t="n">
        <v>0</v>
      </c>
      <c r="J22" t="n">
        <v>3</v>
      </c>
      <c r="K22" t="n">
        <v>0</v>
      </c>
      <c r="L22" t="n">
        <v>0</v>
      </c>
      <c r="M22" t="n">
        <v>0</v>
      </c>
      <c r="N22" t="n">
        <v>0</v>
      </c>
      <c r="O22" t="n">
        <v>3</v>
      </c>
      <c r="P22" t="n">
        <v>0</v>
      </c>
      <c r="Q22" t="n">
        <v>3</v>
      </c>
      <c r="R22" s="2" t="inlineStr">
        <is>
          <t>Gulsparv
Spillkråka
Talltita</t>
        </is>
      </c>
      <c r="S22">
        <f>HYPERLINK("https://klasma.github.io/Logging_1440/artfynd/A 63575-2023 artfynd.xlsx", "A 63575-2023")</f>
        <v/>
      </c>
      <c r="T22">
        <f>HYPERLINK("https://klasma.github.io/Logging_1440/kartor/A 63575-2023 karta.png", "A 63575-2023")</f>
        <v/>
      </c>
      <c r="V22">
        <f>HYPERLINK("https://klasma.github.io/Logging_1440/klagomål/A 63575-2023 FSC-klagomål.docx", "A 63575-2023")</f>
        <v/>
      </c>
      <c r="W22">
        <f>HYPERLINK("https://klasma.github.io/Logging_1440/klagomålsmail/A 63575-2023 FSC-klagomål mail.docx", "A 63575-2023")</f>
        <v/>
      </c>
      <c r="X22">
        <f>HYPERLINK("https://klasma.github.io/Logging_1440/tillsyn/A 63575-2023 tillsynsbegäran.docx", "A 63575-2023")</f>
        <v/>
      </c>
      <c r="Y22">
        <f>HYPERLINK("https://klasma.github.io/Logging_1440/tillsynsmail/A 63575-2023 tillsynsbegäran mail.docx", "A 63575-2023")</f>
        <v/>
      </c>
      <c r="Z22">
        <f>HYPERLINK("https://klasma.github.io/Logging_1440/fåglar/A 63575-2023 prioriterade fågelarter.docx", "A 63575-2023")</f>
        <v/>
      </c>
    </row>
    <row r="23" ht="15" customHeight="1">
      <c r="A23" t="inlineStr">
        <is>
          <t>A 40931-2025</t>
        </is>
      </c>
      <c r="B23" s="1" t="n">
        <v>45897.64783564815</v>
      </c>
      <c r="C23" s="1" t="n">
        <v>46050</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1503-2024</t>
        </is>
      </c>
      <c r="B24" s="1" t="n">
        <v>45306.35041666667</v>
      </c>
      <c r="C24" s="1" t="n">
        <v>46050</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45673.54403935185</v>
      </c>
      <c r="C25" s="1" t="n">
        <v>46050</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63569-2023</t>
        </is>
      </c>
      <c r="B26" s="1" t="n">
        <v>45275</v>
      </c>
      <c r="C26" s="1" t="n">
        <v>46050</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13380-2025</t>
        </is>
      </c>
      <c r="B27" s="1" t="n">
        <v>45735.6765162037</v>
      </c>
      <c r="C27" s="1" t="n">
        <v>46050</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46050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46050</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46050</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42660-2024</t>
        </is>
      </c>
      <c r="B31" s="1" t="n">
        <v>45566.33841435185</v>
      </c>
      <c r="C31" s="1" t="n">
        <v>46050</v>
      </c>
      <c r="D31" t="inlineStr">
        <is>
          <t>VÄSTRA GÖTALANDS LÄN</t>
        </is>
      </c>
      <c r="E31" t="inlineStr">
        <is>
          <t>ALE</t>
        </is>
      </c>
      <c r="G31" t="n">
        <v>2.5</v>
      </c>
      <c r="H31" t="n">
        <v>2</v>
      </c>
      <c r="I31" t="n">
        <v>0</v>
      </c>
      <c r="J31" t="n">
        <v>0</v>
      </c>
      <c r="K31" t="n">
        <v>0</v>
      </c>
      <c r="L31" t="n">
        <v>0</v>
      </c>
      <c r="M31" t="n">
        <v>0</v>
      </c>
      <c r="N31" t="n">
        <v>0</v>
      </c>
      <c r="O31" t="n">
        <v>0</v>
      </c>
      <c r="P31" t="n">
        <v>0</v>
      </c>
      <c r="Q31" t="n">
        <v>2</v>
      </c>
      <c r="R31" s="2" t="inlineStr">
        <is>
          <t>Mattlummer
Revlummer</t>
        </is>
      </c>
      <c r="S31">
        <f>HYPERLINK("https://klasma.github.io/Logging_1440/artfynd/A 42660-2024 artfynd.xlsx", "A 42660-2024")</f>
        <v/>
      </c>
      <c r="T31">
        <f>HYPERLINK("https://klasma.github.io/Logging_1440/kartor/A 42660-2024 karta.png", "A 42660-2024")</f>
        <v/>
      </c>
      <c r="V31">
        <f>HYPERLINK("https://klasma.github.io/Logging_1440/klagomål/A 42660-2024 FSC-klagomål.docx", "A 42660-2024")</f>
        <v/>
      </c>
      <c r="W31">
        <f>HYPERLINK("https://klasma.github.io/Logging_1440/klagomålsmail/A 42660-2024 FSC-klagomål mail.docx", "A 42660-2024")</f>
        <v/>
      </c>
      <c r="X31">
        <f>HYPERLINK("https://klasma.github.io/Logging_1440/tillsyn/A 42660-2024 tillsynsbegäran.docx", "A 42660-2024")</f>
        <v/>
      </c>
      <c r="Y31">
        <f>HYPERLINK("https://klasma.github.io/Logging_1440/tillsynsmail/A 42660-2024 tillsynsbegäran mail.docx", "A 42660-2024")</f>
        <v/>
      </c>
    </row>
    <row r="32" ht="15" customHeight="1">
      <c r="A32" t="inlineStr">
        <is>
          <t>A 58954-2022</t>
        </is>
      </c>
      <c r="B32" s="1" t="n">
        <v>44903</v>
      </c>
      <c r="C32" s="1" t="n">
        <v>46050</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8955-2025</t>
        </is>
      </c>
      <c r="B33" s="1" t="n">
        <v>45713.46528935185</v>
      </c>
      <c r="C33" s="1" t="n">
        <v>46050</v>
      </c>
      <c r="D33" t="inlineStr">
        <is>
          <t>VÄSTRA GÖTALANDS LÄN</t>
        </is>
      </c>
      <c r="E33" t="inlineStr">
        <is>
          <t>ALE</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HYPERLINK("https://klasma.github.io/Logging_1440/artfynd/A 8955-2025 artfynd.xlsx", "A 8955-2025")</f>
        <v/>
      </c>
      <c r="T33">
        <f>HYPERLINK("https://klasma.github.io/Logging_1440/kartor/A 8955-2025 karta.png", "A 8955-2025")</f>
        <v/>
      </c>
      <c r="V33">
        <f>HYPERLINK("https://klasma.github.io/Logging_1440/klagomål/A 8955-2025 FSC-klagomål.docx", "A 8955-2025")</f>
        <v/>
      </c>
      <c r="W33">
        <f>HYPERLINK("https://klasma.github.io/Logging_1440/klagomålsmail/A 8955-2025 FSC-klagomål mail.docx", "A 8955-2025")</f>
        <v/>
      </c>
      <c r="X33">
        <f>HYPERLINK("https://klasma.github.io/Logging_1440/tillsyn/A 8955-2025 tillsynsbegäran.docx", "A 8955-2025")</f>
        <v/>
      </c>
      <c r="Y33">
        <f>HYPERLINK("https://klasma.github.io/Logging_1440/tillsynsmail/A 8955-2025 tillsynsbegäran mail.docx", "A 8955-2025")</f>
        <v/>
      </c>
      <c r="Z33">
        <f>HYPERLINK("https://klasma.github.io/Logging_1440/fåglar/A 8955-2025 prioriterade fågelarter.docx", "A 8955-2025")</f>
        <v/>
      </c>
    </row>
    <row r="34" ht="15" customHeight="1">
      <c r="A34" t="inlineStr">
        <is>
          <t>A 26677-2025</t>
        </is>
      </c>
      <c r="B34" s="1" t="n">
        <v>45810.42446759259</v>
      </c>
      <c r="C34" s="1" t="n">
        <v>46050</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13902-2025</t>
        </is>
      </c>
      <c r="B35" s="1" t="n">
        <v>45737.63446759259</v>
      </c>
      <c r="C35" s="1" t="n">
        <v>46050</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58412-2025</t>
        </is>
      </c>
      <c r="B36" s="1" t="n">
        <v>45985.57564814815</v>
      </c>
      <c r="C36" s="1" t="n">
        <v>46050</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62524-2025</t>
        </is>
      </c>
      <c r="B37" s="1" t="n">
        <v>46007.6247337963</v>
      </c>
      <c r="C37" s="1" t="n">
        <v>46050</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12084-2025</t>
        </is>
      </c>
      <c r="B38" s="1" t="n">
        <v>45728.95387731482</v>
      </c>
      <c r="C38" s="1" t="n">
        <v>46050</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46050</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46050</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46050</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46050</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46050</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46050</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46050</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46050</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46050</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46050</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46050</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46050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46050</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46050</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46050</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46050</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46050</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46050</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46050</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46050</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46050</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46050</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46050</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46050</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46050</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1822-2024</t>
        </is>
      </c>
      <c r="B64" s="1" t="n">
        <v>45307.6205787037</v>
      </c>
      <c r="C64" s="1" t="n">
        <v>46050</v>
      </c>
      <c r="D64" t="inlineStr">
        <is>
          <t>VÄSTRA GÖTALANDS LÄN</t>
        </is>
      </c>
      <c r="E64" t="inlineStr">
        <is>
          <t>ALE</t>
        </is>
      </c>
      <c r="G64" t="n">
        <v>2</v>
      </c>
      <c r="H64" t="n">
        <v>0</v>
      </c>
      <c r="I64" t="n">
        <v>0</v>
      </c>
      <c r="J64" t="n">
        <v>0</v>
      </c>
      <c r="K64" t="n">
        <v>0</v>
      </c>
      <c r="L64" t="n">
        <v>0</v>
      </c>
      <c r="M64" t="n">
        <v>0</v>
      </c>
      <c r="N64" t="n">
        <v>0</v>
      </c>
      <c r="O64" t="n">
        <v>0</v>
      </c>
      <c r="P64" t="n">
        <v>0</v>
      </c>
      <c r="Q64" t="n">
        <v>0</v>
      </c>
      <c r="R64" s="2" t="inlineStr"/>
    </row>
    <row r="65" ht="15" customHeight="1">
      <c r="A65" t="inlineStr">
        <is>
          <t>A 3418-2023</t>
        </is>
      </c>
      <c r="B65" s="1" t="n">
        <v>44949.56182870371</v>
      </c>
      <c r="C65" s="1" t="n">
        <v>46050</v>
      </c>
      <c r="D65" t="inlineStr">
        <is>
          <t>VÄSTRA GÖTALANDS LÄN</t>
        </is>
      </c>
      <c r="E65" t="inlineStr">
        <is>
          <t>ALE</t>
        </is>
      </c>
      <c r="G65" t="n">
        <v>1.1</v>
      </c>
      <c r="H65" t="n">
        <v>0</v>
      </c>
      <c r="I65" t="n">
        <v>0</v>
      </c>
      <c r="J65" t="n">
        <v>0</v>
      </c>
      <c r="K65" t="n">
        <v>0</v>
      </c>
      <c r="L65" t="n">
        <v>0</v>
      </c>
      <c r="M65" t="n">
        <v>0</v>
      </c>
      <c r="N65" t="n">
        <v>0</v>
      </c>
      <c r="O65" t="n">
        <v>0</v>
      </c>
      <c r="P65" t="n">
        <v>0</v>
      </c>
      <c r="Q65" t="n">
        <v>0</v>
      </c>
      <c r="R65" s="2" t="inlineStr"/>
    </row>
    <row r="66" ht="15" customHeight="1">
      <c r="A66" t="inlineStr">
        <is>
          <t>A 37461-2024</t>
        </is>
      </c>
      <c r="B66" s="1" t="n">
        <v>45540.72516203704</v>
      </c>
      <c r="C66" s="1" t="n">
        <v>46050</v>
      </c>
      <c r="D66" t="inlineStr">
        <is>
          <t>VÄSTRA GÖTALANDS LÄN</t>
        </is>
      </c>
      <c r="E66" t="inlineStr">
        <is>
          <t>ALE</t>
        </is>
      </c>
      <c r="G66" t="n">
        <v>1.6</v>
      </c>
      <c r="H66" t="n">
        <v>0</v>
      </c>
      <c r="I66" t="n">
        <v>0</v>
      </c>
      <c r="J66" t="n">
        <v>0</v>
      </c>
      <c r="K66" t="n">
        <v>0</v>
      </c>
      <c r="L66" t="n">
        <v>0</v>
      </c>
      <c r="M66" t="n">
        <v>0</v>
      </c>
      <c r="N66" t="n">
        <v>0</v>
      </c>
      <c r="O66" t="n">
        <v>0</v>
      </c>
      <c r="P66" t="n">
        <v>0</v>
      </c>
      <c r="Q66" t="n">
        <v>0</v>
      </c>
      <c r="R66" s="2" t="inlineStr"/>
    </row>
    <row r="67" ht="15" customHeight="1">
      <c r="A67" t="inlineStr">
        <is>
          <t>A 1960-2024</t>
        </is>
      </c>
      <c r="B67" s="1" t="n">
        <v>45308.50962962963</v>
      </c>
      <c r="C67" s="1" t="n">
        <v>46050</v>
      </c>
      <c r="D67" t="inlineStr">
        <is>
          <t>VÄSTRA GÖTALANDS LÄN</t>
        </is>
      </c>
      <c r="E67" t="inlineStr">
        <is>
          <t>ALE</t>
        </is>
      </c>
      <c r="G67" t="n">
        <v>1.9</v>
      </c>
      <c r="H67" t="n">
        <v>0</v>
      </c>
      <c r="I67" t="n">
        <v>0</v>
      </c>
      <c r="J67" t="n">
        <v>0</v>
      </c>
      <c r="K67" t="n">
        <v>0</v>
      </c>
      <c r="L67" t="n">
        <v>0</v>
      </c>
      <c r="M67" t="n">
        <v>0</v>
      </c>
      <c r="N67" t="n">
        <v>0</v>
      </c>
      <c r="O67" t="n">
        <v>0</v>
      </c>
      <c r="P67" t="n">
        <v>0</v>
      </c>
      <c r="Q67" t="n">
        <v>0</v>
      </c>
      <c r="R67" s="2" t="inlineStr"/>
    </row>
    <row r="68" ht="15" customHeight="1">
      <c r="A68" t="inlineStr">
        <is>
          <t>A 41607-2022</t>
        </is>
      </c>
      <c r="B68" s="1" t="n">
        <v>44827.46658564815</v>
      </c>
      <c r="C68" s="1" t="n">
        <v>46050</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15499-2022</t>
        </is>
      </c>
      <c r="B69" s="1" t="n">
        <v>44662</v>
      </c>
      <c r="C69" s="1" t="n">
        <v>46050</v>
      </c>
      <c r="D69" t="inlineStr">
        <is>
          <t>VÄSTRA GÖTALANDS LÄN</t>
        </is>
      </c>
      <c r="E69" t="inlineStr">
        <is>
          <t>ALE</t>
        </is>
      </c>
      <c r="G69" t="n">
        <v>4.7</v>
      </c>
      <c r="H69" t="n">
        <v>0</v>
      </c>
      <c r="I69" t="n">
        <v>0</v>
      </c>
      <c r="J69" t="n">
        <v>0</v>
      </c>
      <c r="K69" t="n">
        <v>0</v>
      </c>
      <c r="L69" t="n">
        <v>0</v>
      </c>
      <c r="M69" t="n">
        <v>0</v>
      </c>
      <c r="N69" t="n">
        <v>0</v>
      </c>
      <c r="O69" t="n">
        <v>0</v>
      </c>
      <c r="P69" t="n">
        <v>0</v>
      </c>
      <c r="Q69" t="n">
        <v>0</v>
      </c>
      <c r="R69" s="2" t="inlineStr"/>
    </row>
    <row r="70" ht="15" customHeight="1">
      <c r="A70" t="inlineStr">
        <is>
          <t>A 49955-2021</t>
        </is>
      </c>
      <c r="B70" s="1" t="n">
        <v>44456</v>
      </c>
      <c r="C70" s="1" t="n">
        <v>46050</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53476-2023</t>
        </is>
      </c>
      <c r="B71" s="1" t="n">
        <v>45230.33737268519</v>
      </c>
      <c r="C71" s="1" t="n">
        <v>46050</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55405-2021</t>
        </is>
      </c>
      <c r="B72" s="1" t="n">
        <v>44475.53733796296</v>
      </c>
      <c r="C72" s="1" t="n">
        <v>46050</v>
      </c>
      <c r="D72" t="inlineStr">
        <is>
          <t>VÄSTRA GÖTALANDS LÄN</t>
        </is>
      </c>
      <c r="E72" t="inlineStr">
        <is>
          <t>ALE</t>
        </is>
      </c>
      <c r="G72" t="n">
        <v>0.5</v>
      </c>
      <c r="H72" t="n">
        <v>0</v>
      </c>
      <c r="I72" t="n">
        <v>0</v>
      </c>
      <c r="J72" t="n">
        <v>0</v>
      </c>
      <c r="K72" t="n">
        <v>0</v>
      </c>
      <c r="L72" t="n">
        <v>0</v>
      </c>
      <c r="M72" t="n">
        <v>0</v>
      </c>
      <c r="N72" t="n">
        <v>0</v>
      </c>
      <c r="O72" t="n">
        <v>0</v>
      </c>
      <c r="P72" t="n">
        <v>0</v>
      </c>
      <c r="Q72" t="n">
        <v>0</v>
      </c>
      <c r="R72" s="2" t="inlineStr"/>
    </row>
    <row r="73" ht="15" customHeight="1">
      <c r="A73" t="inlineStr">
        <is>
          <t>A 51164-2024</t>
        </is>
      </c>
      <c r="B73" s="1" t="n">
        <v>45603.5830787037</v>
      </c>
      <c r="C73" s="1" t="n">
        <v>46050</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25849-2025</t>
        </is>
      </c>
      <c r="B74" s="1" t="n">
        <v>45804</v>
      </c>
      <c r="C74" s="1" t="n">
        <v>46050</v>
      </c>
      <c r="D74" t="inlineStr">
        <is>
          <t>VÄSTRA GÖTALANDS LÄN</t>
        </is>
      </c>
      <c r="E74" t="inlineStr">
        <is>
          <t>ALE</t>
        </is>
      </c>
      <c r="G74" t="n">
        <v>0.8</v>
      </c>
      <c r="H74" t="n">
        <v>0</v>
      </c>
      <c r="I74" t="n">
        <v>0</v>
      </c>
      <c r="J74" t="n">
        <v>0</v>
      </c>
      <c r="K74" t="n">
        <v>0</v>
      </c>
      <c r="L74" t="n">
        <v>0</v>
      </c>
      <c r="M74" t="n">
        <v>0</v>
      </c>
      <c r="N74" t="n">
        <v>0</v>
      </c>
      <c r="O74" t="n">
        <v>0</v>
      </c>
      <c r="P74" t="n">
        <v>0</v>
      </c>
      <c r="Q74" t="n">
        <v>0</v>
      </c>
      <c r="R74" s="2" t="inlineStr"/>
    </row>
    <row r="75" ht="15" customHeight="1">
      <c r="A75" t="inlineStr">
        <is>
          <t>A 25848-2025</t>
        </is>
      </c>
      <c r="B75" s="1" t="n">
        <v>45804</v>
      </c>
      <c r="C75" s="1" t="n">
        <v>46050</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25840-2025</t>
        </is>
      </c>
      <c r="B76" s="1" t="n">
        <v>45804</v>
      </c>
      <c r="C76" s="1" t="n">
        <v>46050</v>
      </c>
      <c r="D76" t="inlineStr">
        <is>
          <t>VÄSTRA GÖTALANDS LÄN</t>
        </is>
      </c>
      <c r="E76" t="inlineStr">
        <is>
          <t>ALE</t>
        </is>
      </c>
      <c r="G76" t="n">
        <v>3.8</v>
      </c>
      <c r="H76" t="n">
        <v>0</v>
      </c>
      <c r="I76" t="n">
        <v>0</v>
      </c>
      <c r="J76" t="n">
        <v>0</v>
      </c>
      <c r="K76" t="n">
        <v>0</v>
      </c>
      <c r="L76" t="n">
        <v>0</v>
      </c>
      <c r="M76" t="n">
        <v>0</v>
      </c>
      <c r="N76" t="n">
        <v>0</v>
      </c>
      <c r="O76" t="n">
        <v>0</v>
      </c>
      <c r="P76" t="n">
        <v>0</v>
      </c>
      <c r="Q76" t="n">
        <v>0</v>
      </c>
      <c r="R76" s="2" t="inlineStr"/>
    </row>
    <row r="77" ht="15" customHeight="1">
      <c r="A77" t="inlineStr">
        <is>
          <t>A 56493-2021</t>
        </is>
      </c>
      <c r="B77" s="1" t="n">
        <v>44480.57173611111</v>
      </c>
      <c r="C77" s="1" t="n">
        <v>46050</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40074-2025</t>
        </is>
      </c>
      <c r="B78" s="1" t="n">
        <v>45894.44685185186</v>
      </c>
      <c r="C78" s="1" t="n">
        <v>46050</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24642-2022</t>
        </is>
      </c>
      <c r="B79" s="1" t="n">
        <v>44727.59578703704</v>
      </c>
      <c r="C79" s="1" t="n">
        <v>46050</v>
      </c>
      <c r="D79" t="inlineStr">
        <is>
          <t>VÄSTRA GÖTALANDS LÄN</t>
        </is>
      </c>
      <c r="E79" t="inlineStr">
        <is>
          <t>ALE</t>
        </is>
      </c>
      <c r="G79" t="n">
        <v>10</v>
      </c>
      <c r="H79" t="n">
        <v>0</v>
      </c>
      <c r="I79" t="n">
        <v>0</v>
      </c>
      <c r="J79" t="n">
        <v>0</v>
      </c>
      <c r="K79" t="n">
        <v>0</v>
      </c>
      <c r="L79" t="n">
        <v>0</v>
      </c>
      <c r="M79" t="n">
        <v>0</v>
      </c>
      <c r="N79" t="n">
        <v>0</v>
      </c>
      <c r="O79" t="n">
        <v>0</v>
      </c>
      <c r="P79" t="n">
        <v>0</v>
      </c>
      <c r="Q79" t="n">
        <v>0</v>
      </c>
      <c r="R79" s="2" t="inlineStr"/>
    </row>
    <row r="80" ht="15" customHeight="1">
      <c r="A80" t="inlineStr">
        <is>
          <t>A 18637-2023</t>
        </is>
      </c>
      <c r="B80" s="1" t="n">
        <v>45043</v>
      </c>
      <c r="C80" s="1" t="n">
        <v>46050</v>
      </c>
      <c r="D80" t="inlineStr">
        <is>
          <t>VÄSTRA GÖTALANDS LÄN</t>
        </is>
      </c>
      <c r="E80" t="inlineStr">
        <is>
          <t>ALE</t>
        </is>
      </c>
      <c r="G80" t="n">
        <v>3.6</v>
      </c>
      <c r="H80" t="n">
        <v>0</v>
      </c>
      <c r="I80" t="n">
        <v>0</v>
      </c>
      <c r="J80" t="n">
        <v>0</v>
      </c>
      <c r="K80" t="n">
        <v>0</v>
      </c>
      <c r="L80" t="n">
        <v>0</v>
      </c>
      <c r="M80" t="n">
        <v>0</v>
      </c>
      <c r="N80" t="n">
        <v>0</v>
      </c>
      <c r="O80" t="n">
        <v>0</v>
      </c>
      <c r="P80" t="n">
        <v>0</v>
      </c>
      <c r="Q80" t="n">
        <v>0</v>
      </c>
      <c r="R80" s="2" t="inlineStr"/>
    </row>
    <row r="81" ht="15" customHeight="1">
      <c r="A81" t="inlineStr">
        <is>
          <t>A 59933-2023</t>
        </is>
      </c>
      <c r="B81" s="1" t="n">
        <v>45257</v>
      </c>
      <c r="C81" s="1" t="n">
        <v>46050</v>
      </c>
      <c r="D81" t="inlineStr">
        <is>
          <t>VÄSTRA GÖTALANDS LÄN</t>
        </is>
      </c>
      <c r="E81" t="inlineStr">
        <is>
          <t>ALE</t>
        </is>
      </c>
      <c r="G81" t="n">
        <v>2.7</v>
      </c>
      <c r="H81" t="n">
        <v>0</v>
      </c>
      <c r="I81" t="n">
        <v>0</v>
      </c>
      <c r="J81" t="n">
        <v>0</v>
      </c>
      <c r="K81" t="n">
        <v>0</v>
      </c>
      <c r="L81" t="n">
        <v>0</v>
      </c>
      <c r="M81" t="n">
        <v>0</v>
      </c>
      <c r="N81" t="n">
        <v>0</v>
      </c>
      <c r="O81" t="n">
        <v>0</v>
      </c>
      <c r="P81" t="n">
        <v>0</v>
      </c>
      <c r="Q81" t="n">
        <v>0</v>
      </c>
      <c r="R81" s="2" t="inlineStr"/>
    </row>
    <row r="82" ht="15" customHeight="1">
      <c r="A82" t="inlineStr">
        <is>
          <t>A 8659-2025</t>
        </is>
      </c>
      <c r="B82" s="1" t="n">
        <v>45712</v>
      </c>
      <c r="C82" s="1" t="n">
        <v>46050</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5344-2024</t>
        </is>
      </c>
      <c r="B83" s="1" t="n">
        <v>45331</v>
      </c>
      <c r="C83" s="1" t="n">
        <v>46050</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32762-2023</t>
        </is>
      </c>
      <c r="B84" s="1" t="n">
        <v>45123.46649305556</v>
      </c>
      <c r="C84" s="1" t="n">
        <v>46050</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46050</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13382-2025</t>
        </is>
      </c>
      <c r="B86" s="1" t="n">
        <v>45735.67928240741</v>
      </c>
      <c r="C86" s="1" t="n">
        <v>46050</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51564-2023</t>
        </is>
      </c>
      <c r="B87" s="1" t="n">
        <v>45222</v>
      </c>
      <c r="C87" s="1" t="n">
        <v>46050</v>
      </c>
      <c r="D87" t="inlineStr">
        <is>
          <t>VÄSTRA GÖTALANDS LÄN</t>
        </is>
      </c>
      <c r="E87" t="inlineStr">
        <is>
          <t>ALE</t>
        </is>
      </c>
      <c r="G87" t="n">
        <v>1.5</v>
      </c>
      <c r="H87" t="n">
        <v>0</v>
      </c>
      <c r="I87" t="n">
        <v>0</v>
      </c>
      <c r="J87" t="n">
        <v>0</v>
      </c>
      <c r="K87" t="n">
        <v>0</v>
      </c>
      <c r="L87" t="n">
        <v>0</v>
      </c>
      <c r="M87" t="n">
        <v>0</v>
      </c>
      <c r="N87" t="n">
        <v>0</v>
      </c>
      <c r="O87" t="n">
        <v>0</v>
      </c>
      <c r="P87" t="n">
        <v>0</v>
      </c>
      <c r="Q87" t="n">
        <v>0</v>
      </c>
      <c r="R87" s="2" t="inlineStr"/>
    </row>
    <row r="88" ht="15" customHeight="1">
      <c r="A88" t="inlineStr">
        <is>
          <t>A 13903-2025</t>
        </is>
      </c>
      <c r="B88" s="1" t="n">
        <v>45737.63481481482</v>
      </c>
      <c r="C88" s="1" t="n">
        <v>46050</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13426-2025</t>
        </is>
      </c>
      <c r="B89" s="1" t="n">
        <v>45736.32780092592</v>
      </c>
      <c r="C89" s="1" t="n">
        <v>46050</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31409-2025</t>
        </is>
      </c>
      <c r="B90" s="1" t="n">
        <v>45833</v>
      </c>
      <c r="C90" s="1" t="n">
        <v>46050</v>
      </c>
      <c r="D90" t="inlineStr">
        <is>
          <t>VÄSTRA GÖTALANDS LÄN</t>
        </is>
      </c>
      <c r="E90" t="inlineStr">
        <is>
          <t>ALE</t>
        </is>
      </c>
      <c r="G90" t="n">
        <v>0.8</v>
      </c>
      <c r="H90" t="n">
        <v>0</v>
      </c>
      <c r="I90" t="n">
        <v>0</v>
      </c>
      <c r="J90" t="n">
        <v>0</v>
      </c>
      <c r="K90" t="n">
        <v>0</v>
      </c>
      <c r="L90" t="n">
        <v>0</v>
      </c>
      <c r="M90" t="n">
        <v>0</v>
      </c>
      <c r="N90" t="n">
        <v>0</v>
      </c>
      <c r="O90" t="n">
        <v>0</v>
      </c>
      <c r="P90" t="n">
        <v>0</v>
      </c>
      <c r="Q90" t="n">
        <v>0</v>
      </c>
      <c r="R90" s="2" t="inlineStr"/>
    </row>
    <row r="91" ht="15" customHeight="1">
      <c r="A91" t="inlineStr">
        <is>
          <t>A 31488-2025</t>
        </is>
      </c>
      <c r="B91" s="1" t="n">
        <v>45833</v>
      </c>
      <c r="C91" s="1" t="n">
        <v>46050</v>
      </c>
      <c r="D91" t="inlineStr">
        <is>
          <t>VÄSTRA GÖTALANDS LÄN</t>
        </is>
      </c>
      <c r="E91" t="inlineStr">
        <is>
          <t>ALE</t>
        </is>
      </c>
      <c r="G91" t="n">
        <v>1.8</v>
      </c>
      <c r="H91" t="n">
        <v>0</v>
      </c>
      <c r="I91" t="n">
        <v>0</v>
      </c>
      <c r="J91" t="n">
        <v>0</v>
      </c>
      <c r="K91" t="n">
        <v>0</v>
      </c>
      <c r="L91" t="n">
        <v>0</v>
      </c>
      <c r="M91" t="n">
        <v>0</v>
      </c>
      <c r="N91" t="n">
        <v>0</v>
      </c>
      <c r="O91" t="n">
        <v>0</v>
      </c>
      <c r="P91" t="n">
        <v>0</v>
      </c>
      <c r="Q91" t="n">
        <v>0</v>
      </c>
      <c r="R91" s="2" t="inlineStr"/>
    </row>
    <row r="92" ht="15" customHeight="1">
      <c r="A92" t="inlineStr">
        <is>
          <t>A 31533-2025</t>
        </is>
      </c>
      <c r="B92" s="1" t="n">
        <v>45833</v>
      </c>
      <c r="C92" s="1" t="n">
        <v>46050</v>
      </c>
      <c r="D92" t="inlineStr">
        <is>
          <t>VÄSTRA GÖTALANDS LÄN</t>
        </is>
      </c>
      <c r="E92" t="inlineStr">
        <is>
          <t>ALE</t>
        </is>
      </c>
      <c r="G92" t="n">
        <v>1.6</v>
      </c>
      <c r="H92" t="n">
        <v>0</v>
      </c>
      <c r="I92" t="n">
        <v>0</v>
      </c>
      <c r="J92" t="n">
        <v>0</v>
      </c>
      <c r="K92" t="n">
        <v>0</v>
      </c>
      <c r="L92" t="n">
        <v>0</v>
      </c>
      <c r="M92" t="n">
        <v>0</v>
      </c>
      <c r="N92" t="n">
        <v>0</v>
      </c>
      <c r="O92" t="n">
        <v>0</v>
      </c>
      <c r="P92" t="n">
        <v>0</v>
      </c>
      <c r="Q92" t="n">
        <v>0</v>
      </c>
      <c r="R92" s="2" t="inlineStr"/>
    </row>
    <row r="93" ht="15" customHeight="1">
      <c r="A93" t="inlineStr">
        <is>
          <t>A 46226-2025</t>
        </is>
      </c>
      <c r="B93" s="1" t="n">
        <v>45924</v>
      </c>
      <c r="C93" s="1" t="n">
        <v>46050</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46227-2025</t>
        </is>
      </c>
      <c r="B94" s="1" t="n">
        <v>45924.90386574074</v>
      </c>
      <c r="C94" s="1" t="n">
        <v>46050</v>
      </c>
      <c r="D94" t="inlineStr">
        <is>
          <t>VÄSTRA GÖTALANDS LÄN</t>
        </is>
      </c>
      <c r="E94" t="inlineStr">
        <is>
          <t>ALE</t>
        </is>
      </c>
      <c r="G94" t="n">
        <v>0.3</v>
      </c>
      <c r="H94" t="n">
        <v>0</v>
      </c>
      <c r="I94" t="n">
        <v>0</v>
      </c>
      <c r="J94" t="n">
        <v>0</v>
      </c>
      <c r="K94" t="n">
        <v>0</v>
      </c>
      <c r="L94" t="n">
        <v>0</v>
      </c>
      <c r="M94" t="n">
        <v>0</v>
      </c>
      <c r="N94" t="n">
        <v>0</v>
      </c>
      <c r="O94" t="n">
        <v>0</v>
      </c>
      <c r="P94" t="n">
        <v>0</v>
      </c>
      <c r="Q94" t="n">
        <v>0</v>
      </c>
      <c r="R94" s="2" t="inlineStr"/>
    </row>
    <row r="95" ht="15" customHeight="1">
      <c r="A95" t="inlineStr">
        <is>
          <t>A 26157-2023</t>
        </is>
      </c>
      <c r="B95" s="1" t="n">
        <v>45091.50479166667</v>
      </c>
      <c r="C95" s="1" t="n">
        <v>46050</v>
      </c>
      <c r="D95" t="inlineStr">
        <is>
          <t>VÄSTRA GÖTALANDS LÄN</t>
        </is>
      </c>
      <c r="E95" t="inlineStr">
        <is>
          <t>ALE</t>
        </is>
      </c>
      <c r="G95" t="n">
        <v>2.6</v>
      </c>
      <c r="H95" t="n">
        <v>0</v>
      </c>
      <c r="I95" t="n">
        <v>0</v>
      </c>
      <c r="J95" t="n">
        <v>0</v>
      </c>
      <c r="K95" t="n">
        <v>0</v>
      </c>
      <c r="L95" t="n">
        <v>0</v>
      </c>
      <c r="M95" t="n">
        <v>0</v>
      </c>
      <c r="N95" t="n">
        <v>0</v>
      </c>
      <c r="O95" t="n">
        <v>0</v>
      </c>
      <c r="P95" t="n">
        <v>0</v>
      </c>
      <c r="Q95" t="n">
        <v>0</v>
      </c>
      <c r="R95" s="2" t="inlineStr"/>
    </row>
    <row r="96" ht="15" customHeight="1">
      <c r="A96" t="inlineStr">
        <is>
          <t>A 47087-2023</t>
        </is>
      </c>
      <c r="B96" s="1" t="n">
        <v>45196</v>
      </c>
      <c r="C96" s="1" t="n">
        <v>46050</v>
      </c>
      <c r="D96" t="inlineStr">
        <is>
          <t>VÄSTRA GÖTALANDS LÄN</t>
        </is>
      </c>
      <c r="E96" t="inlineStr">
        <is>
          <t>ALE</t>
        </is>
      </c>
      <c r="G96" t="n">
        <v>1.6</v>
      </c>
      <c r="H96" t="n">
        <v>0</v>
      </c>
      <c r="I96" t="n">
        <v>0</v>
      </c>
      <c r="J96" t="n">
        <v>0</v>
      </c>
      <c r="K96" t="n">
        <v>0</v>
      </c>
      <c r="L96" t="n">
        <v>0</v>
      </c>
      <c r="M96" t="n">
        <v>0</v>
      </c>
      <c r="N96" t="n">
        <v>0</v>
      </c>
      <c r="O96" t="n">
        <v>0</v>
      </c>
      <c r="P96" t="n">
        <v>0</v>
      </c>
      <c r="Q96" t="n">
        <v>0</v>
      </c>
      <c r="R96" s="2" t="inlineStr"/>
    </row>
    <row r="97" ht="15" customHeight="1">
      <c r="A97" t="inlineStr">
        <is>
          <t>A 47592-2025</t>
        </is>
      </c>
      <c r="B97" s="1" t="n">
        <v>45931.44649305556</v>
      </c>
      <c r="C97" s="1" t="n">
        <v>46050</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47330-2025</t>
        </is>
      </c>
      <c r="B98" s="1" t="n">
        <v>45930.56170138889</v>
      </c>
      <c r="C98" s="1" t="n">
        <v>46050</v>
      </c>
      <c r="D98" t="inlineStr">
        <is>
          <t>VÄSTRA GÖTALANDS LÄN</t>
        </is>
      </c>
      <c r="E98" t="inlineStr">
        <is>
          <t>ALE</t>
        </is>
      </c>
      <c r="G98" t="n">
        <v>3.7</v>
      </c>
      <c r="H98" t="n">
        <v>0</v>
      </c>
      <c r="I98" t="n">
        <v>0</v>
      </c>
      <c r="J98" t="n">
        <v>0</v>
      </c>
      <c r="K98" t="n">
        <v>0</v>
      </c>
      <c r="L98" t="n">
        <v>0</v>
      </c>
      <c r="M98" t="n">
        <v>0</v>
      </c>
      <c r="N98" t="n">
        <v>0</v>
      </c>
      <c r="O98" t="n">
        <v>0</v>
      </c>
      <c r="P98" t="n">
        <v>0</v>
      </c>
      <c r="Q98" t="n">
        <v>0</v>
      </c>
      <c r="R98" s="2" t="inlineStr"/>
    </row>
    <row r="99" ht="15" customHeight="1">
      <c r="A99" t="inlineStr">
        <is>
          <t>A 47593-2025</t>
        </is>
      </c>
      <c r="B99" s="1" t="n">
        <v>45931.4480787037</v>
      </c>
      <c r="C99" s="1" t="n">
        <v>46050</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47728-2025</t>
        </is>
      </c>
      <c r="B100" s="1" t="n">
        <v>45931.63186342592</v>
      </c>
      <c r="C100" s="1" t="n">
        <v>46050</v>
      </c>
      <c r="D100" t="inlineStr">
        <is>
          <t>VÄSTRA GÖTALANDS LÄN</t>
        </is>
      </c>
      <c r="E100" t="inlineStr">
        <is>
          <t>ALE</t>
        </is>
      </c>
      <c r="G100" t="n">
        <v>1.1</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46050</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46050</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57473-2022</t>
        </is>
      </c>
      <c r="B103" s="1" t="n">
        <v>44896</v>
      </c>
      <c r="C103" s="1" t="n">
        <v>46050</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48213-2025</t>
        </is>
      </c>
      <c r="B104" s="1" t="n">
        <v>45933</v>
      </c>
      <c r="C104" s="1" t="n">
        <v>46050</v>
      </c>
      <c r="D104" t="inlineStr">
        <is>
          <t>VÄSTRA GÖTALANDS LÄN</t>
        </is>
      </c>
      <c r="E104" t="inlineStr">
        <is>
          <t>ALE</t>
        </is>
      </c>
      <c r="G104" t="n">
        <v>3.3</v>
      </c>
      <c r="H104" t="n">
        <v>0</v>
      </c>
      <c r="I104" t="n">
        <v>0</v>
      </c>
      <c r="J104" t="n">
        <v>0</v>
      </c>
      <c r="K104" t="n">
        <v>0</v>
      </c>
      <c r="L104" t="n">
        <v>0</v>
      </c>
      <c r="M104" t="n">
        <v>0</v>
      </c>
      <c r="N104" t="n">
        <v>0</v>
      </c>
      <c r="O104" t="n">
        <v>0</v>
      </c>
      <c r="P104" t="n">
        <v>0</v>
      </c>
      <c r="Q104" t="n">
        <v>0</v>
      </c>
      <c r="R104" s="2" t="inlineStr"/>
    </row>
    <row r="105" ht="15" customHeight="1">
      <c r="A105" t="inlineStr">
        <is>
          <t>A 48218-2025</t>
        </is>
      </c>
      <c r="B105" s="1" t="n">
        <v>45933</v>
      </c>
      <c r="C105" s="1" t="n">
        <v>46050</v>
      </c>
      <c r="D105" t="inlineStr">
        <is>
          <t>VÄSTRA GÖTALANDS LÄN</t>
        </is>
      </c>
      <c r="E105" t="inlineStr">
        <is>
          <t>ALE</t>
        </is>
      </c>
      <c r="G105" t="n">
        <v>1.4</v>
      </c>
      <c r="H105" t="n">
        <v>0</v>
      </c>
      <c r="I105" t="n">
        <v>0</v>
      </c>
      <c r="J105" t="n">
        <v>0</v>
      </c>
      <c r="K105" t="n">
        <v>0</v>
      </c>
      <c r="L105" t="n">
        <v>0</v>
      </c>
      <c r="M105" t="n">
        <v>0</v>
      </c>
      <c r="N105" t="n">
        <v>0</v>
      </c>
      <c r="O105" t="n">
        <v>0</v>
      </c>
      <c r="P105" t="n">
        <v>0</v>
      </c>
      <c r="Q105" t="n">
        <v>0</v>
      </c>
      <c r="R105" s="2" t="inlineStr"/>
    </row>
    <row r="106" ht="15" customHeight="1">
      <c r="A106" t="inlineStr">
        <is>
          <t>A 27314-2021</t>
        </is>
      </c>
      <c r="B106" s="1" t="n">
        <v>44351.36537037037</v>
      </c>
      <c r="C106" s="1" t="n">
        <v>46050</v>
      </c>
      <c r="D106" t="inlineStr">
        <is>
          <t>VÄSTRA GÖTALANDS LÄN</t>
        </is>
      </c>
      <c r="E106" t="inlineStr">
        <is>
          <t>ALE</t>
        </is>
      </c>
      <c r="G106" t="n">
        <v>11.3</v>
      </c>
      <c r="H106" t="n">
        <v>0</v>
      </c>
      <c r="I106" t="n">
        <v>0</v>
      </c>
      <c r="J106" t="n">
        <v>0</v>
      </c>
      <c r="K106" t="n">
        <v>0</v>
      </c>
      <c r="L106" t="n">
        <v>0</v>
      </c>
      <c r="M106" t="n">
        <v>0</v>
      </c>
      <c r="N106" t="n">
        <v>0</v>
      </c>
      <c r="O106" t="n">
        <v>0</v>
      </c>
      <c r="P106" t="n">
        <v>0</v>
      </c>
      <c r="Q106" t="n">
        <v>0</v>
      </c>
      <c r="R106" s="2" t="inlineStr"/>
    </row>
    <row r="107" ht="15" customHeight="1">
      <c r="A107" t="inlineStr">
        <is>
          <t>A 5875-2023</t>
        </is>
      </c>
      <c r="B107" s="1" t="n">
        <v>44963</v>
      </c>
      <c r="C107" s="1" t="n">
        <v>46050</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50189-2025</t>
        </is>
      </c>
      <c r="B108" s="1" t="n">
        <v>45943.63476851852</v>
      </c>
      <c r="C108" s="1" t="n">
        <v>46050</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64199-2021</t>
        </is>
      </c>
      <c r="B109" s="1" t="n">
        <v>44510</v>
      </c>
      <c r="C109" s="1" t="n">
        <v>46050</v>
      </c>
      <c r="D109" t="inlineStr">
        <is>
          <t>VÄSTRA GÖTALANDS LÄN</t>
        </is>
      </c>
      <c r="E109" t="inlineStr">
        <is>
          <t>ALE</t>
        </is>
      </c>
      <c r="G109" t="n">
        <v>5.7</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46050</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50973-2025</t>
        </is>
      </c>
      <c r="B111" s="1" t="n">
        <v>45947.31263888889</v>
      </c>
      <c r="C111" s="1" t="n">
        <v>46050</v>
      </c>
      <c r="D111" t="inlineStr">
        <is>
          <t>VÄSTRA GÖTALANDS LÄN</t>
        </is>
      </c>
      <c r="E111" t="inlineStr">
        <is>
          <t>ALE</t>
        </is>
      </c>
      <c r="G111" t="n">
        <v>12</v>
      </c>
      <c r="H111" t="n">
        <v>0</v>
      </c>
      <c r="I111" t="n">
        <v>0</v>
      </c>
      <c r="J111" t="n">
        <v>0</v>
      </c>
      <c r="K111" t="n">
        <v>0</v>
      </c>
      <c r="L111" t="n">
        <v>0</v>
      </c>
      <c r="M111" t="n">
        <v>0</v>
      </c>
      <c r="N111" t="n">
        <v>0</v>
      </c>
      <c r="O111" t="n">
        <v>0</v>
      </c>
      <c r="P111" t="n">
        <v>0</v>
      </c>
      <c r="Q111" t="n">
        <v>0</v>
      </c>
      <c r="R111" s="2" t="inlineStr"/>
    </row>
    <row r="112" ht="15" customHeight="1">
      <c r="A112" t="inlineStr">
        <is>
          <t>A 51976-2025</t>
        </is>
      </c>
      <c r="B112" s="1" t="n">
        <v>45952.56412037037</v>
      </c>
      <c r="C112" s="1" t="n">
        <v>46050</v>
      </c>
      <c r="D112" t="inlineStr">
        <is>
          <t>VÄSTRA GÖTALANDS LÄN</t>
        </is>
      </c>
      <c r="E112" t="inlineStr">
        <is>
          <t>ALE</t>
        </is>
      </c>
      <c r="G112" t="n">
        <v>5.2</v>
      </c>
      <c r="H112" t="n">
        <v>0</v>
      </c>
      <c r="I112" t="n">
        <v>0</v>
      </c>
      <c r="J112" t="n">
        <v>0</v>
      </c>
      <c r="K112" t="n">
        <v>0</v>
      </c>
      <c r="L112" t="n">
        <v>0</v>
      </c>
      <c r="M112" t="n">
        <v>0</v>
      </c>
      <c r="N112" t="n">
        <v>0</v>
      </c>
      <c r="O112" t="n">
        <v>0</v>
      </c>
      <c r="P112" t="n">
        <v>0</v>
      </c>
      <c r="Q112" t="n">
        <v>0</v>
      </c>
      <c r="R112" s="2" t="inlineStr"/>
    </row>
    <row r="113" ht="15" customHeight="1">
      <c r="A113" t="inlineStr">
        <is>
          <t>A 52423-2025</t>
        </is>
      </c>
      <c r="B113" s="1" t="n">
        <v>45954.37650462963</v>
      </c>
      <c r="C113" s="1" t="n">
        <v>46050</v>
      </c>
      <c r="D113" t="inlineStr">
        <is>
          <t>VÄSTRA GÖTALANDS LÄN</t>
        </is>
      </c>
      <c r="E113" t="inlineStr">
        <is>
          <t>ALE</t>
        </is>
      </c>
      <c r="G113" t="n">
        <v>4.1</v>
      </c>
      <c r="H113" t="n">
        <v>0</v>
      </c>
      <c r="I113" t="n">
        <v>0</v>
      </c>
      <c r="J113" t="n">
        <v>0</v>
      </c>
      <c r="K113" t="n">
        <v>0</v>
      </c>
      <c r="L113" t="n">
        <v>0</v>
      </c>
      <c r="M113" t="n">
        <v>0</v>
      </c>
      <c r="N113" t="n">
        <v>0</v>
      </c>
      <c r="O113" t="n">
        <v>0</v>
      </c>
      <c r="P113" t="n">
        <v>0</v>
      </c>
      <c r="Q113" t="n">
        <v>0</v>
      </c>
      <c r="R113" s="2" t="inlineStr"/>
    </row>
    <row r="114" ht="15" customHeight="1">
      <c r="A114" t="inlineStr">
        <is>
          <t>A 52391-2025</t>
        </is>
      </c>
      <c r="B114" s="1" t="n">
        <v>45954.34305555555</v>
      </c>
      <c r="C114" s="1" t="n">
        <v>46050</v>
      </c>
      <c r="D114" t="inlineStr">
        <is>
          <t>VÄSTRA GÖTALANDS LÄN</t>
        </is>
      </c>
      <c r="E114" t="inlineStr">
        <is>
          <t>ALE</t>
        </is>
      </c>
      <c r="G114" t="n">
        <v>10.6</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44585.72818287037</v>
      </c>
      <c r="C115" s="1" t="n">
        <v>46050</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65226-2021</t>
        </is>
      </c>
      <c r="B116" s="1" t="n">
        <v>44515</v>
      </c>
      <c r="C116" s="1" t="n">
        <v>46050</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62828-2025</t>
        </is>
      </c>
      <c r="B117" s="1" t="n">
        <v>46008.66553240741</v>
      </c>
      <c r="C117" s="1" t="n">
        <v>46050</v>
      </c>
      <c r="D117" t="inlineStr">
        <is>
          <t>VÄSTRA GÖTALANDS LÄN</t>
        </is>
      </c>
      <c r="E117" t="inlineStr">
        <is>
          <t>ALE</t>
        </is>
      </c>
      <c r="G117" t="n">
        <v>2.6</v>
      </c>
      <c r="H117" t="n">
        <v>0</v>
      </c>
      <c r="I117" t="n">
        <v>0</v>
      </c>
      <c r="J117" t="n">
        <v>0</v>
      </c>
      <c r="K117" t="n">
        <v>0</v>
      </c>
      <c r="L117" t="n">
        <v>0</v>
      </c>
      <c r="M117" t="n">
        <v>0</v>
      </c>
      <c r="N117" t="n">
        <v>0</v>
      </c>
      <c r="O117" t="n">
        <v>0</v>
      </c>
      <c r="P117" t="n">
        <v>0</v>
      </c>
      <c r="Q117" t="n">
        <v>0</v>
      </c>
      <c r="R117" s="2" t="inlineStr"/>
    </row>
    <row r="118" ht="15" customHeight="1">
      <c r="A118" t="inlineStr">
        <is>
          <t>A 18999-2021</t>
        </is>
      </c>
      <c r="B118" s="1" t="n">
        <v>44308</v>
      </c>
      <c r="C118" s="1" t="n">
        <v>46050</v>
      </c>
      <c r="D118" t="inlineStr">
        <is>
          <t>VÄSTRA GÖTALANDS LÄN</t>
        </is>
      </c>
      <c r="E118" t="inlineStr">
        <is>
          <t>ALE</t>
        </is>
      </c>
      <c r="G118" t="n">
        <v>3.7</v>
      </c>
      <c r="H118" t="n">
        <v>0</v>
      </c>
      <c r="I118" t="n">
        <v>0</v>
      </c>
      <c r="J118" t="n">
        <v>0</v>
      </c>
      <c r="K118" t="n">
        <v>0</v>
      </c>
      <c r="L118" t="n">
        <v>0</v>
      </c>
      <c r="M118" t="n">
        <v>0</v>
      </c>
      <c r="N118" t="n">
        <v>0</v>
      </c>
      <c r="O118" t="n">
        <v>0</v>
      </c>
      <c r="P118" t="n">
        <v>0</v>
      </c>
      <c r="Q118" t="n">
        <v>0</v>
      </c>
      <c r="R118" s="2" t="inlineStr"/>
    </row>
    <row r="119" ht="15" customHeight="1">
      <c r="A119" t="inlineStr">
        <is>
          <t>A 17044-2025</t>
        </is>
      </c>
      <c r="B119" s="1" t="n">
        <v>45755.58891203703</v>
      </c>
      <c r="C119" s="1" t="n">
        <v>46050</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55488-2022</t>
        </is>
      </c>
      <c r="B120" s="1" t="n">
        <v>44887</v>
      </c>
      <c r="C120" s="1" t="n">
        <v>46050</v>
      </c>
      <c r="D120" t="inlineStr">
        <is>
          <t>VÄSTRA GÖTALANDS LÄN</t>
        </is>
      </c>
      <c r="E120" t="inlineStr">
        <is>
          <t>ALE</t>
        </is>
      </c>
      <c r="G120" t="n">
        <v>2.5</v>
      </c>
      <c r="H120" t="n">
        <v>0</v>
      </c>
      <c r="I120" t="n">
        <v>0</v>
      </c>
      <c r="J120" t="n">
        <v>0</v>
      </c>
      <c r="K120" t="n">
        <v>0</v>
      </c>
      <c r="L120" t="n">
        <v>0</v>
      </c>
      <c r="M120" t="n">
        <v>0</v>
      </c>
      <c r="N120" t="n">
        <v>0</v>
      </c>
      <c r="O120" t="n">
        <v>0</v>
      </c>
      <c r="P120" t="n">
        <v>0</v>
      </c>
      <c r="Q120" t="n">
        <v>0</v>
      </c>
      <c r="R120" s="2" t="inlineStr"/>
    </row>
    <row r="121" ht="15" customHeight="1">
      <c r="A121" t="inlineStr">
        <is>
          <t>A 16601-2025</t>
        </is>
      </c>
      <c r="B121" s="1" t="n">
        <v>45753.53189814815</v>
      </c>
      <c r="C121" s="1" t="n">
        <v>46050</v>
      </c>
      <c r="D121" t="inlineStr">
        <is>
          <t>VÄSTRA GÖTALANDS LÄN</t>
        </is>
      </c>
      <c r="E121" t="inlineStr">
        <is>
          <t>ALE</t>
        </is>
      </c>
      <c r="G121" t="n">
        <v>1.7</v>
      </c>
      <c r="H121" t="n">
        <v>0</v>
      </c>
      <c r="I121" t="n">
        <v>0</v>
      </c>
      <c r="J121" t="n">
        <v>0</v>
      </c>
      <c r="K121" t="n">
        <v>0</v>
      </c>
      <c r="L121" t="n">
        <v>0</v>
      </c>
      <c r="M121" t="n">
        <v>0</v>
      </c>
      <c r="N121" t="n">
        <v>0</v>
      </c>
      <c r="O121" t="n">
        <v>0</v>
      </c>
      <c r="P121" t="n">
        <v>0</v>
      </c>
      <c r="Q121" t="n">
        <v>0</v>
      </c>
      <c r="R121" s="2" t="inlineStr"/>
    </row>
    <row r="122" ht="15" customHeight="1">
      <c r="A122" t="inlineStr">
        <is>
          <t>A 56905-2025</t>
        </is>
      </c>
      <c r="B122" s="1" t="n">
        <v>45978.57502314815</v>
      </c>
      <c r="C122" s="1" t="n">
        <v>46050</v>
      </c>
      <c r="D122" t="inlineStr">
        <is>
          <t>VÄSTRA GÖTALANDS LÄN</t>
        </is>
      </c>
      <c r="E122" t="inlineStr">
        <is>
          <t>ALE</t>
        </is>
      </c>
      <c r="G122" t="n">
        <v>5.2</v>
      </c>
      <c r="H122" t="n">
        <v>0</v>
      </c>
      <c r="I122" t="n">
        <v>0</v>
      </c>
      <c r="J122" t="n">
        <v>0</v>
      </c>
      <c r="K122" t="n">
        <v>0</v>
      </c>
      <c r="L122" t="n">
        <v>0</v>
      </c>
      <c r="M122" t="n">
        <v>0</v>
      </c>
      <c r="N122" t="n">
        <v>0</v>
      </c>
      <c r="O122" t="n">
        <v>0</v>
      </c>
      <c r="P122" t="n">
        <v>0</v>
      </c>
      <c r="Q122" t="n">
        <v>0</v>
      </c>
      <c r="R122" s="2" t="inlineStr"/>
    </row>
    <row r="123" ht="15" customHeight="1">
      <c r="A123" t="inlineStr">
        <is>
          <t>A 36403-2024</t>
        </is>
      </c>
      <c r="B123" s="1" t="n">
        <v>45535.69445601852</v>
      </c>
      <c r="C123" s="1" t="n">
        <v>46050</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200-2022</t>
        </is>
      </c>
      <c r="B124" s="1" t="n">
        <v>44564</v>
      </c>
      <c r="C124" s="1" t="n">
        <v>46050</v>
      </c>
      <c r="D124" t="inlineStr">
        <is>
          <t>VÄSTRA GÖTALANDS LÄN</t>
        </is>
      </c>
      <c r="E124" t="inlineStr">
        <is>
          <t>ALE</t>
        </is>
      </c>
      <c r="G124" t="n">
        <v>6.8</v>
      </c>
      <c r="H124" t="n">
        <v>0</v>
      </c>
      <c r="I124" t="n">
        <v>0</v>
      </c>
      <c r="J124" t="n">
        <v>0</v>
      </c>
      <c r="K124" t="n">
        <v>0</v>
      </c>
      <c r="L124" t="n">
        <v>0</v>
      </c>
      <c r="M124" t="n">
        <v>0</v>
      </c>
      <c r="N124" t="n">
        <v>0</v>
      </c>
      <c r="O124" t="n">
        <v>0</v>
      </c>
      <c r="P124" t="n">
        <v>0</v>
      </c>
      <c r="Q124" t="n">
        <v>0</v>
      </c>
      <c r="R124" s="2" t="inlineStr"/>
    </row>
    <row r="125" ht="15" customHeight="1">
      <c r="A125" t="inlineStr">
        <is>
          <t>A 58414-2025</t>
        </is>
      </c>
      <c r="B125" s="1" t="n">
        <v>45985.57778935185</v>
      </c>
      <c r="C125" s="1" t="n">
        <v>46050</v>
      </c>
      <c r="D125" t="inlineStr">
        <is>
          <t>VÄSTRA GÖTALANDS LÄN</t>
        </is>
      </c>
      <c r="E125" t="inlineStr">
        <is>
          <t>ALE</t>
        </is>
      </c>
      <c r="G125" t="n">
        <v>4.3</v>
      </c>
      <c r="H125" t="n">
        <v>0</v>
      </c>
      <c r="I125" t="n">
        <v>0</v>
      </c>
      <c r="J125" t="n">
        <v>0</v>
      </c>
      <c r="K125" t="n">
        <v>0</v>
      </c>
      <c r="L125" t="n">
        <v>0</v>
      </c>
      <c r="M125" t="n">
        <v>0</v>
      </c>
      <c r="N125" t="n">
        <v>0</v>
      </c>
      <c r="O125" t="n">
        <v>0</v>
      </c>
      <c r="P125" t="n">
        <v>0</v>
      </c>
      <c r="Q125" t="n">
        <v>0</v>
      </c>
      <c r="R125" s="2" t="inlineStr"/>
    </row>
    <row r="126" ht="15" customHeight="1">
      <c r="A126" t="inlineStr">
        <is>
          <t>A 15582-2025</t>
        </is>
      </c>
      <c r="B126" s="1" t="n">
        <v>45747.81394675926</v>
      </c>
      <c r="C126" s="1" t="n">
        <v>46050</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7892-2024</t>
        </is>
      </c>
      <c r="B127" s="1" t="n">
        <v>45350.40921296296</v>
      </c>
      <c r="C127" s="1" t="n">
        <v>46050</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31407-2025</t>
        </is>
      </c>
      <c r="B128" s="1" t="n">
        <v>45833</v>
      </c>
      <c r="C128" s="1" t="n">
        <v>46050</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59409-2025</t>
        </is>
      </c>
      <c r="B129" s="1" t="n">
        <v>45989.49545138889</v>
      </c>
      <c r="C129" s="1" t="n">
        <v>46050</v>
      </c>
      <c r="D129" t="inlineStr">
        <is>
          <t>VÄSTRA GÖTALANDS LÄN</t>
        </is>
      </c>
      <c r="E129" t="inlineStr">
        <is>
          <t>ALE</t>
        </is>
      </c>
      <c r="G129" t="n">
        <v>0.3</v>
      </c>
      <c r="H129" t="n">
        <v>0</v>
      </c>
      <c r="I129" t="n">
        <v>0</v>
      </c>
      <c r="J129" t="n">
        <v>0</v>
      </c>
      <c r="K129" t="n">
        <v>0</v>
      </c>
      <c r="L129" t="n">
        <v>0</v>
      </c>
      <c r="M129" t="n">
        <v>0</v>
      </c>
      <c r="N129" t="n">
        <v>0</v>
      </c>
      <c r="O129" t="n">
        <v>0</v>
      </c>
      <c r="P129" t="n">
        <v>0</v>
      </c>
      <c r="Q129" t="n">
        <v>0</v>
      </c>
      <c r="R129" s="2" t="inlineStr"/>
    </row>
    <row r="130" ht="15" customHeight="1">
      <c r="A130" t="inlineStr">
        <is>
          <t>A 6947-2024</t>
        </is>
      </c>
      <c r="B130" s="1" t="n">
        <v>45343</v>
      </c>
      <c r="C130" s="1" t="n">
        <v>46050</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4444-2024</t>
        </is>
      </c>
      <c r="B131" s="1" t="n">
        <v>45327</v>
      </c>
      <c r="C131" s="1" t="n">
        <v>46050</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1291-2026</t>
        </is>
      </c>
      <c r="B132" s="1" t="n">
        <v>46031.50569444444</v>
      </c>
      <c r="C132" s="1" t="n">
        <v>46050</v>
      </c>
      <c r="D132" t="inlineStr">
        <is>
          <t>VÄSTRA GÖTALANDS LÄN</t>
        </is>
      </c>
      <c r="E132" t="inlineStr">
        <is>
          <t>ALE</t>
        </is>
      </c>
      <c r="G132" t="n">
        <v>0.9</v>
      </c>
      <c r="H132" t="n">
        <v>0</v>
      </c>
      <c r="I132" t="n">
        <v>0</v>
      </c>
      <c r="J132" t="n">
        <v>0</v>
      </c>
      <c r="K132" t="n">
        <v>0</v>
      </c>
      <c r="L132" t="n">
        <v>0</v>
      </c>
      <c r="M132" t="n">
        <v>0</v>
      </c>
      <c r="N132" t="n">
        <v>0</v>
      </c>
      <c r="O132" t="n">
        <v>0</v>
      </c>
      <c r="P132" t="n">
        <v>0</v>
      </c>
      <c r="Q132" t="n">
        <v>0</v>
      </c>
      <c r="R132" s="2" t="inlineStr"/>
    </row>
    <row r="133" ht="15" customHeight="1">
      <c r="A133" t="inlineStr">
        <is>
          <t>A 72801-2021</t>
        </is>
      </c>
      <c r="B133" s="1" t="n">
        <v>44546</v>
      </c>
      <c r="C133" s="1" t="n">
        <v>46050</v>
      </c>
      <c r="D133" t="inlineStr">
        <is>
          <t>VÄSTRA GÖTALANDS LÄN</t>
        </is>
      </c>
      <c r="E133" t="inlineStr">
        <is>
          <t>ALE</t>
        </is>
      </c>
      <c r="F133" t="inlineStr">
        <is>
          <t>Naturvårdsverket</t>
        </is>
      </c>
      <c r="G133" t="n">
        <v>1.4</v>
      </c>
      <c r="H133" t="n">
        <v>0</v>
      </c>
      <c r="I133" t="n">
        <v>0</v>
      </c>
      <c r="J133" t="n">
        <v>0</v>
      </c>
      <c r="K133" t="n">
        <v>0</v>
      </c>
      <c r="L133" t="n">
        <v>0</v>
      </c>
      <c r="M133" t="n">
        <v>0</v>
      </c>
      <c r="N133" t="n">
        <v>0</v>
      </c>
      <c r="O133" t="n">
        <v>0</v>
      </c>
      <c r="P133" t="n">
        <v>0</v>
      </c>
      <c r="Q133" t="n">
        <v>0</v>
      </c>
      <c r="R133" s="2" t="inlineStr"/>
    </row>
    <row r="134" ht="15" customHeight="1">
      <c r="A134" t="inlineStr">
        <is>
          <t>A 26083-2023</t>
        </is>
      </c>
      <c r="B134" s="1" t="n">
        <v>45091</v>
      </c>
      <c r="C134" s="1" t="n">
        <v>46050</v>
      </c>
      <c r="D134" t="inlineStr">
        <is>
          <t>VÄSTRA GÖTALANDS LÄN</t>
        </is>
      </c>
      <c r="E134" t="inlineStr">
        <is>
          <t>ALE</t>
        </is>
      </c>
      <c r="G134" t="n">
        <v>1.6</v>
      </c>
      <c r="H134" t="n">
        <v>0</v>
      </c>
      <c r="I134" t="n">
        <v>0</v>
      </c>
      <c r="J134" t="n">
        <v>0</v>
      </c>
      <c r="K134" t="n">
        <v>0</v>
      </c>
      <c r="L134" t="n">
        <v>0</v>
      </c>
      <c r="M134" t="n">
        <v>0</v>
      </c>
      <c r="N134" t="n">
        <v>0</v>
      </c>
      <c r="O134" t="n">
        <v>0</v>
      </c>
      <c r="P134" t="n">
        <v>0</v>
      </c>
      <c r="Q134" t="n">
        <v>0</v>
      </c>
      <c r="R134" s="2" t="inlineStr"/>
    </row>
    <row r="135" ht="15" customHeight="1">
      <c r="A135" t="inlineStr">
        <is>
          <t>A 2414-2026</t>
        </is>
      </c>
      <c r="B135" s="1" t="n">
        <v>46036.74319444445</v>
      </c>
      <c r="C135" s="1" t="n">
        <v>46050</v>
      </c>
      <c r="D135" t="inlineStr">
        <is>
          <t>VÄSTRA GÖTALANDS LÄN</t>
        </is>
      </c>
      <c r="E135" t="inlineStr">
        <is>
          <t>ALE</t>
        </is>
      </c>
      <c r="G135" t="n">
        <v>3.3</v>
      </c>
      <c r="H135" t="n">
        <v>0</v>
      </c>
      <c r="I135" t="n">
        <v>0</v>
      </c>
      <c r="J135" t="n">
        <v>0</v>
      </c>
      <c r="K135" t="n">
        <v>0</v>
      </c>
      <c r="L135" t="n">
        <v>0</v>
      </c>
      <c r="M135" t="n">
        <v>0</v>
      </c>
      <c r="N135" t="n">
        <v>0</v>
      </c>
      <c r="O135" t="n">
        <v>0</v>
      </c>
      <c r="P135" t="n">
        <v>0</v>
      </c>
      <c r="Q135" t="n">
        <v>0</v>
      </c>
      <c r="R135" s="2" t="inlineStr"/>
    </row>
    <row r="136" ht="15" customHeight="1">
      <c r="A136" t="inlineStr">
        <is>
          <t>A 60287-2025</t>
        </is>
      </c>
      <c r="B136" s="1" t="n">
        <v>45994.64711805555</v>
      </c>
      <c r="C136" s="1" t="n">
        <v>46050</v>
      </c>
      <c r="D136" t="inlineStr">
        <is>
          <t>VÄSTRA GÖTALANDS LÄN</t>
        </is>
      </c>
      <c r="E136" t="inlineStr">
        <is>
          <t>ALE</t>
        </is>
      </c>
      <c r="G136" t="n">
        <v>1.2</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46050</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3261-2026</t>
        </is>
      </c>
      <c r="B138" s="1" t="n">
        <v>46041.5952662037</v>
      </c>
      <c r="C138" s="1" t="n">
        <v>46050</v>
      </c>
      <c r="D138" t="inlineStr">
        <is>
          <t>VÄSTRA GÖTALANDS LÄN</t>
        </is>
      </c>
      <c r="E138" t="inlineStr">
        <is>
          <t>ALE</t>
        </is>
      </c>
      <c r="G138" t="n">
        <v>3.4</v>
      </c>
      <c r="H138" t="n">
        <v>0</v>
      </c>
      <c r="I138" t="n">
        <v>0</v>
      </c>
      <c r="J138" t="n">
        <v>0</v>
      </c>
      <c r="K138" t="n">
        <v>0</v>
      </c>
      <c r="L138" t="n">
        <v>0</v>
      </c>
      <c r="M138" t="n">
        <v>0</v>
      </c>
      <c r="N138" t="n">
        <v>0</v>
      </c>
      <c r="O138" t="n">
        <v>0</v>
      </c>
      <c r="P138" t="n">
        <v>0</v>
      </c>
      <c r="Q138" t="n">
        <v>0</v>
      </c>
      <c r="R138" s="2" t="inlineStr"/>
    </row>
    <row r="139" ht="15" customHeight="1">
      <c r="A139" t="inlineStr">
        <is>
          <t>A 4363-2024</t>
        </is>
      </c>
      <c r="B139" s="1" t="n">
        <v>45325</v>
      </c>
      <c r="C139" s="1" t="n">
        <v>46050</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45988-2021</t>
        </is>
      </c>
      <c r="B140" s="1" t="n">
        <v>44441</v>
      </c>
      <c r="C140" s="1" t="n">
        <v>46050</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61771-2025</t>
        </is>
      </c>
      <c r="B141" s="1" t="n">
        <v>46002.6478587963</v>
      </c>
      <c r="C141" s="1" t="n">
        <v>46050</v>
      </c>
      <c r="D141" t="inlineStr">
        <is>
          <t>VÄSTRA GÖTALANDS LÄN</t>
        </is>
      </c>
      <c r="E141" t="inlineStr">
        <is>
          <t>ALE</t>
        </is>
      </c>
      <c r="G141" t="n">
        <v>3.9</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46050</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61744-2025</t>
        </is>
      </c>
      <c r="B143" s="1" t="n">
        <v>46002.60298611111</v>
      </c>
      <c r="C143" s="1" t="n">
        <v>46050</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61819-2025</t>
        </is>
      </c>
      <c r="B144" s="1" t="n">
        <v>46003.3241087963</v>
      </c>
      <c r="C144" s="1" t="n">
        <v>46050</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48257-2022</t>
        </is>
      </c>
      <c r="B145" s="1" t="n">
        <v>44858.47591435185</v>
      </c>
      <c r="C145" s="1" t="n">
        <v>46050</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41309-2024</t>
        </is>
      </c>
      <c r="B146" s="1" t="n">
        <v>45559</v>
      </c>
      <c r="C146" s="1" t="n">
        <v>46050</v>
      </c>
      <c r="D146" t="inlineStr">
        <is>
          <t>VÄSTRA GÖTALANDS LÄN</t>
        </is>
      </c>
      <c r="E146" t="inlineStr">
        <is>
          <t>ALE</t>
        </is>
      </c>
      <c r="G146" t="n">
        <v>8.4</v>
      </c>
      <c r="H146" t="n">
        <v>0</v>
      </c>
      <c r="I146" t="n">
        <v>0</v>
      </c>
      <c r="J146" t="n">
        <v>0</v>
      </c>
      <c r="K146" t="n">
        <v>0</v>
      </c>
      <c r="L146" t="n">
        <v>0</v>
      </c>
      <c r="M146" t="n">
        <v>0</v>
      </c>
      <c r="N146" t="n">
        <v>0</v>
      </c>
      <c r="O146" t="n">
        <v>0</v>
      </c>
      <c r="P146" t="n">
        <v>0</v>
      </c>
      <c r="Q146" t="n">
        <v>0</v>
      </c>
      <c r="R146" s="2" t="inlineStr"/>
    </row>
    <row r="147" ht="15" customHeight="1">
      <c r="A147" t="inlineStr">
        <is>
          <t>A 7807-2023</t>
        </is>
      </c>
      <c r="B147" s="1" t="n">
        <v>44973</v>
      </c>
      <c r="C147" s="1" t="n">
        <v>46050</v>
      </c>
      <c r="D147" t="inlineStr">
        <is>
          <t>VÄSTRA GÖTALANDS LÄN</t>
        </is>
      </c>
      <c r="E147" t="inlineStr">
        <is>
          <t>ALE</t>
        </is>
      </c>
      <c r="G147" t="n">
        <v>10.5</v>
      </c>
      <c r="H147" t="n">
        <v>0</v>
      </c>
      <c r="I147" t="n">
        <v>0</v>
      </c>
      <c r="J147" t="n">
        <v>0</v>
      </c>
      <c r="K147" t="n">
        <v>0</v>
      </c>
      <c r="L147" t="n">
        <v>0</v>
      </c>
      <c r="M147" t="n">
        <v>0</v>
      </c>
      <c r="N147" t="n">
        <v>0</v>
      </c>
      <c r="O147" t="n">
        <v>0</v>
      </c>
      <c r="P147" t="n">
        <v>0</v>
      </c>
      <c r="Q147" t="n">
        <v>0</v>
      </c>
      <c r="R147" s="2" t="inlineStr"/>
    </row>
    <row r="148" ht="15" customHeight="1">
      <c r="A148" t="inlineStr">
        <is>
          <t>A 3413-2023</t>
        </is>
      </c>
      <c r="B148" s="1" t="n">
        <v>44949</v>
      </c>
      <c r="C148" s="1" t="n">
        <v>46050</v>
      </c>
      <c r="D148" t="inlineStr">
        <is>
          <t>VÄSTRA GÖTALANDS LÄN</t>
        </is>
      </c>
      <c r="E148" t="inlineStr">
        <is>
          <t>ALE</t>
        </is>
      </c>
      <c r="G148" t="n">
        <v>2.3</v>
      </c>
      <c r="H148" t="n">
        <v>0</v>
      </c>
      <c r="I148" t="n">
        <v>0</v>
      </c>
      <c r="J148" t="n">
        <v>0</v>
      </c>
      <c r="K148" t="n">
        <v>0</v>
      </c>
      <c r="L148" t="n">
        <v>0</v>
      </c>
      <c r="M148" t="n">
        <v>0</v>
      </c>
      <c r="N148" t="n">
        <v>0</v>
      </c>
      <c r="O148" t="n">
        <v>0</v>
      </c>
      <c r="P148" t="n">
        <v>0</v>
      </c>
      <c r="Q148" t="n">
        <v>0</v>
      </c>
      <c r="R148" s="2" t="inlineStr"/>
    </row>
    <row r="149" ht="15" customHeight="1">
      <c r="A149" t="inlineStr">
        <is>
          <t>A 35959-2022</t>
        </is>
      </c>
      <c r="B149" s="1" t="n">
        <v>44802.57002314815</v>
      </c>
      <c r="C149" s="1" t="n">
        <v>46050</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14493-2024</t>
        </is>
      </c>
      <c r="B150" s="1" t="n">
        <v>45394.58491898148</v>
      </c>
      <c r="C150" s="1" t="n">
        <v>46050</v>
      </c>
      <c r="D150" t="inlineStr">
        <is>
          <t>VÄSTRA GÖTALANDS LÄN</t>
        </is>
      </c>
      <c r="E150" t="inlineStr">
        <is>
          <t>ALE</t>
        </is>
      </c>
      <c r="G150" t="n">
        <v>2.3</v>
      </c>
      <c r="H150" t="n">
        <v>0</v>
      </c>
      <c r="I150" t="n">
        <v>0</v>
      </c>
      <c r="J150" t="n">
        <v>0</v>
      </c>
      <c r="K150" t="n">
        <v>0</v>
      </c>
      <c r="L150" t="n">
        <v>0</v>
      </c>
      <c r="M150" t="n">
        <v>0</v>
      </c>
      <c r="N150" t="n">
        <v>0</v>
      </c>
      <c r="O150" t="n">
        <v>0</v>
      </c>
      <c r="P150" t="n">
        <v>0</v>
      </c>
      <c r="Q150" t="n">
        <v>0</v>
      </c>
      <c r="R150" s="2" t="inlineStr"/>
    </row>
    <row r="151" ht="15" customHeight="1">
      <c r="A151" t="inlineStr">
        <is>
          <t>A 1500-2024</t>
        </is>
      </c>
      <c r="B151" s="1" t="n">
        <v>45306</v>
      </c>
      <c r="C151" s="1" t="n">
        <v>46050</v>
      </c>
      <c r="D151" t="inlineStr">
        <is>
          <t>VÄSTRA GÖTALANDS LÄN</t>
        </is>
      </c>
      <c r="E151" t="inlineStr">
        <is>
          <t>ALE</t>
        </is>
      </c>
      <c r="G151" t="n">
        <v>1.3</v>
      </c>
      <c r="H151" t="n">
        <v>0</v>
      </c>
      <c r="I151" t="n">
        <v>0</v>
      </c>
      <c r="J151" t="n">
        <v>0</v>
      </c>
      <c r="K151" t="n">
        <v>0</v>
      </c>
      <c r="L151" t="n">
        <v>0</v>
      </c>
      <c r="M151" t="n">
        <v>0</v>
      </c>
      <c r="N151" t="n">
        <v>0</v>
      </c>
      <c r="O151" t="n">
        <v>0</v>
      </c>
      <c r="P151" t="n">
        <v>0</v>
      </c>
      <c r="Q151" t="n">
        <v>0</v>
      </c>
      <c r="R151" s="2" t="inlineStr"/>
    </row>
    <row r="152" ht="15" customHeight="1">
      <c r="A152" t="inlineStr">
        <is>
          <t>A 1687-2024</t>
        </is>
      </c>
      <c r="B152" s="1" t="n">
        <v>45306</v>
      </c>
      <c r="C152" s="1" t="n">
        <v>46050</v>
      </c>
      <c r="D152" t="inlineStr">
        <is>
          <t>VÄSTRA GÖTALANDS LÄN</t>
        </is>
      </c>
      <c r="E152" t="inlineStr">
        <is>
          <t>ALE</t>
        </is>
      </c>
      <c r="G152" t="n">
        <v>3.4</v>
      </c>
      <c r="H152" t="n">
        <v>0</v>
      </c>
      <c r="I152" t="n">
        <v>0</v>
      </c>
      <c r="J152" t="n">
        <v>0</v>
      </c>
      <c r="K152" t="n">
        <v>0</v>
      </c>
      <c r="L152" t="n">
        <v>0</v>
      </c>
      <c r="M152" t="n">
        <v>0</v>
      </c>
      <c r="N152" t="n">
        <v>0</v>
      </c>
      <c r="O152" t="n">
        <v>0</v>
      </c>
      <c r="P152" t="n">
        <v>0</v>
      </c>
      <c r="Q152" t="n">
        <v>0</v>
      </c>
      <c r="R152" s="2" t="inlineStr"/>
    </row>
    <row r="153" ht="15" customHeight="1">
      <c r="A153" t="inlineStr">
        <is>
          <t>A 14458-2024</t>
        </is>
      </c>
      <c r="B153" s="1" t="n">
        <v>45394</v>
      </c>
      <c r="C153" s="1" t="n">
        <v>46050</v>
      </c>
      <c r="D153" t="inlineStr">
        <is>
          <t>VÄSTRA GÖTALANDS LÄN</t>
        </is>
      </c>
      <c r="E153" t="inlineStr">
        <is>
          <t>ALE</t>
        </is>
      </c>
      <c r="G153" t="n">
        <v>0.5</v>
      </c>
      <c r="H153" t="n">
        <v>0</v>
      </c>
      <c r="I153" t="n">
        <v>0</v>
      </c>
      <c r="J153" t="n">
        <v>0</v>
      </c>
      <c r="K153" t="n">
        <v>0</v>
      </c>
      <c r="L153" t="n">
        <v>0</v>
      </c>
      <c r="M153" t="n">
        <v>0</v>
      </c>
      <c r="N153" t="n">
        <v>0</v>
      </c>
      <c r="O153" t="n">
        <v>0</v>
      </c>
      <c r="P153" t="n">
        <v>0</v>
      </c>
      <c r="Q153" t="n">
        <v>0</v>
      </c>
      <c r="R153" s="2" t="inlineStr"/>
    </row>
    <row r="154" ht="15" customHeight="1">
      <c r="A154" t="inlineStr">
        <is>
          <t>A 42446-2023</t>
        </is>
      </c>
      <c r="B154" s="1" t="n">
        <v>45180</v>
      </c>
      <c r="C154" s="1" t="n">
        <v>46050</v>
      </c>
      <c r="D154" t="inlineStr">
        <is>
          <t>VÄSTRA GÖTALANDS LÄN</t>
        </is>
      </c>
      <c r="E154" t="inlineStr">
        <is>
          <t>ALE</t>
        </is>
      </c>
      <c r="G154" t="n">
        <v>0.8</v>
      </c>
      <c r="H154" t="n">
        <v>0</v>
      </c>
      <c r="I154" t="n">
        <v>0</v>
      </c>
      <c r="J154" t="n">
        <v>0</v>
      </c>
      <c r="K154" t="n">
        <v>0</v>
      </c>
      <c r="L154" t="n">
        <v>0</v>
      </c>
      <c r="M154" t="n">
        <v>0</v>
      </c>
      <c r="N154" t="n">
        <v>0</v>
      </c>
      <c r="O154" t="n">
        <v>0</v>
      </c>
      <c r="P154" t="n">
        <v>0</v>
      </c>
      <c r="Q154" t="n">
        <v>0</v>
      </c>
      <c r="R154" s="2" t="inlineStr"/>
    </row>
    <row r="155" ht="15" customHeight="1">
      <c r="A155" t="inlineStr">
        <is>
          <t>A 33237-2024</t>
        </is>
      </c>
      <c r="B155" s="1" t="n">
        <v>45518.59173611111</v>
      </c>
      <c r="C155" s="1" t="n">
        <v>46050</v>
      </c>
      <c r="D155" t="inlineStr">
        <is>
          <t>VÄSTRA GÖTALANDS LÄN</t>
        </is>
      </c>
      <c r="E155" t="inlineStr">
        <is>
          <t>ALE</t>
        </is>
      </c>
      <c r="G155" t="n">
        <v>0.6</v>
      </c>
      <c r="H155" t="n">
        <v>0</v>
      </c>
      <c r="I155" t="n">
        <v>0</v>
      </c>
      <c r="J155" t="n">
        <v>0</v>
      </c>
      <c r="K155" t="n">
        <v>0</v>
      </c>
      <c r="L155" t="n">
        <v>0</v>
      </c>
      <c r="M155" t="n">
        <v>0</v>
      </c>
      <c r="N155" t="n">
        <v>0</v>
      </c>
      <c r="O155" t="n">
        <v>0</v>
      </c>
      <c r="P155" t="n">
        <v>0</v>
      </c>
      <c r="Q155" t="n">
        <v>0</v>
      </c>
      <c r="R155" s="2" t="inlineStr"/>
    </row>
    <row r="156" ht="15" customHeight="1">
      <c r="A156" t="inlineStr">
        <is>
          <t>A 12055-2022</t>
        </is>
      </c>
      <c r="B156" s="1" t="n">
        <v>44636</v>
      </c>
      <c r="C156" s="1" t="n">
        <v>46050</v>
      </c>
      <c r="D156" t="inlineStr">
        <is>
          <t>VÄSTRA GÖTALANDS LÄN</t>
        </is>
      </c>
      <c r="E156" t="inlineStr">
        <is>
          <t>ALE</t>
        </is>
      </c>
      <c r="G156" t="n">
        <v>0.2</v>
      </c>
      <c r="H156" t="n">
        <v>0</v>
      </c>
      <c r="I156" t="n">
        <v>0</v>
      </c>
      <c r="J156" t="n">
        <v>0</v>
      </c>
      <c r="K156" t="n">
        <v>0</v>
      </c>
      <c r="L156" t="n">
        <v>0</v>
      </c>
      <c r="M156" t="n">
        <v>0</v>
      </c>
      <c r="N156" t="n">
        <v>0</v>
      </c>
      <c r="O156" t="n">
        <v>0</v>
      </c>
      <c r="P156" t="n">
        <v>0</v>
      </c>
      <c r="Q156" t="n">
        <v>0</v>
      </c>
      <c r="R156" s="2" t="inlineStr"/>
    </row>
    <row r="157" ht="15" customHeight="1">
      <c r="A157" t="inlineStr">
        <is>
          <t>A 36763-2022</t>
        </is>
      </c>
      <c r="B157" s="1" t="n">
        <v>44805</v>
      </c>
      <c r="C157" s="1" t="n">
        <v>46050</v>
      </c>
      <c r="D157" t="inlineStr">
        <is>
          <t>VÄSTRA GÖTALANDS LÄN</t>
        </is>
      </c>
      <c r="E157" t="inlineStr">
        <is>
          <t>ALE</t>
        </is>
      </c>
      <c r="G157" t="n">
        <v>6.1</v>
      </c>
      <c r="H157" t="n">
        <v>0</v>
      </c>
      <c r="I157" t="n">
        <v>0</v>
      </c>
      <c r="J157" t="n">
        <v>0</v>
      </c>
      <c r="K157" t="n">
        <v>0</v>
      </c>
      <c r="L157" t="n">
        <v>0</v>
      </c>
      <c r="M157" t="n">
        <v>0</v>
      </c>
      <c r="N157" t="n">
        <v>0</v>
      </c>
      <c r="O157" t="n">
        <v>0</v>
      </c>
      <c r="P157" t="n">
        <v>0</v>
      </c>
      <c r="Q157" t="n">
        <v>0</v>
      </c>
      <c r="R157" s="2" t="inlineStr"/>
    </row>
    <row r="158" ht="15" customHeight="1">
      <c r="A158" t="inlineStr">
        <is>
          <t>A 3407-2023</t>
        </is>
      </c>
      <c r="B158" s="1" t="n">
        <v>44949.54909722223</v>
      </c>
      <c r="C158" s="1" t="n">
        <v>46050</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15241-2025</t>
        </is>
      </c>
      <c r="B159" s="1" t="n">
        <v>45744.61255787037</v>
      </c>
      <c r="C159" s="1" t="n">
        <v>46050</v>
      </c>
      <c r="D159" t="inlineStr">
        <is>
          <t>VÄSTRA GÖTALANDS LÄN</t>
        </is>
      </c>
      <c r="E159" t="inlineStr">
        <is>
          <t>ALE</t>
        </is>
      </c>
      <c r="G159" t="n">
        <v>2.2</v>
      </c>
      <c r="H159" t="n">
        <v>0</v>
      </c>
      <c r="I159" t="n">
        <v>0</v>
      </c>
      <c r="J159" t="n">
        <v>0</v>
      </c>
      <c r="K159" t="n">
        <v>0</v>
      </c>
      <c r="L159" t="n">
        <v>0</v>
      </c>
      <c r="M159" t="n">
        <v>0</v>
      </c>
      <c r="N159" t="n">
        <v>0</v>
      </c>
      <c r="O159" t="n">
        <v>0</v>
      </c>
      <c r="P159" t="n">
        <v>0</v>
      </c>
      <c r="Q159" t="n">
        <v>0</v>
      </c>
      <c r="R159" s="2" t="inlineStr"/>
    </row>
    <row r="160" ht="15" customHeight="1">
      <c r="A160" t="inlineStr">
        <is>
          <t>A 49680-2024</t>
        </is>
      </c>
      <c r="B160" s="1" t="n">
        <v>45596.66880787037</v>
      </c>
      <c r="C160" s="1" t="n">
        <v>46050</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34153-2024</t>
        </is>
      </c>
      <c r="B161" s="1" t="n">
        <v>45524.38400462963</v>
      </c>
      <c r="C161" s="1" t="n">
        <v>46050</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14731-2022</t>
        </is>
      </c>
      <c r="B162" s="1" t="n">
        <v>44656</v>
      </c>
      <c r="C162" s="1" t="n">
        <v>46050</v>
      </c>
      <c r="D162" t="inlineStr">
        <is>
          <t>VÄSTRA GÖTALANDS LÄN</t>
        </is>
      </c>
      <c r="E162" t="inlineStr">
        <is>
          <t>ALE</t>
        </is>
      </c>
      <c r="G162" t="n">
        <v>1.8</v>
      </c>
      <c r="H162" t="n">
        <v>0</v>
      </c>
      <c r="I162" t="n">
        <v>0</v>
      </c>
      <c r="J162" t="n">
        <v>0</v>
      </c>
      <c r="K162" t="n">
        <v>0</v>
      </c>
      <c r="L162" t="n">
        <v>0</v>
      </c>
      <c r="M162" t="n">
        <v>0</v>
      </c>
      <c r="N162" t="n">
        <v>0</v>
      </c>
      <c r="O162" t="n">
        <v>0</v>
      </c>
      <c r="P162" t="n">
        <v>0</v>
      </c>
      <c r="Q162" t="n">
        <v>0</v>
      </c>
      <c r="R162" s="2" t="inlineStr"/>
    </row>
    <row r="163" ht="15" customHeight="1">
      <c r="A163" t="inlineStr">
        <is>
          <t>A 41598-2022</t>
        </is>
      </c>
      <c r="B163" s="1" t="n">
        <v>44827.4609837963</v>
      </c>
      <c r="C163" s="1" t="n">
        <v>46050</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4642-2024</t>
        </is>
      </c>
      <c r="B164" s="1" t="n">
        <v>45328.43502314815</v>
      </c>
      <c r="C164" s="1" t="n">
        <v>46050</v>
      </c>
      <c r="D164" t="inlineStr">
        <is>
          <t>VÄSTRA GÖTALANDS LÄN</t>
        </is>
      </c>
      <c r="E164" t="inlineStr">
        <is>
          <t>ALE</t>
        </is>
      </c>
      <c r="G164" t="n">
        <v>7.1</v>
      </c>
      <c r="H164" t="n">
        <v>0</v>
      </c>
      <c r="I164" t="n">
        <v>0</v>
      </c>
      <c r="J164" t="n">
        <v>0</v>
      </c>
      <c r="K164" t="n">
        <v>0</v>
      </c>
      <c r="L164" t="n">
        <v>0</v>
      </c>
      <c r="M164" t="n">
        <v>0</v>
      </c>
      <c r="N164" t="n">
        <v>0</v>
      </c>
      <c r="O164" t="n">
        <v>0</v>
      </c>
      <c r="P164" t="n">
        <v>0</v>
      </c>
      <c r="Q164" t="n">
        <v>0</v>
      </c>
      <c r="R164" s="2" t="inlineStr"/>
    </row>
    <row r="165" ht="15" customHeight="1">
      <c r="A165" t="inlineStr">
        <is>
          <t>A 5916-2023</t>
        </is>
      </c>
      <c r="B165" s="1" t="n">
        <v>44963</v>
      </c>
      <c r="C165" s="1" t="n">
        <v>46050</v>
      </c>
      <c r="D165" t="inlineStr">
        <is>
          <t>VÄSTRA GÖTALANDS LÄN</t>
        </is>
      </c>
      <c r="E165" t="inlineStr">
        <is>
          <t>ALE</t>
        </is>
      </c>
      <c r="G165" t="n">
        <v>4.2</v>
      </c>
      <c r="H165" t="n">
        <v>0</v>
      </c>
      <c r="I165" t="n">
        <v>0</v>
      </c>
      <c r="J165" t="n">
        <v>0</v>
      </c>
      <c r="K165" t="n">
        <v>0</v>
      </c>
      <c r="L165" t="n">
        <v>0</v>
      </c>
      <c r="M165" t="n">
        <v>0</v>
      </c>
      <c r="N165" t="n">
        <v>0</v>
      </c>
      <c r="O165" t="n">
        <v>0</v>
      </c>
      <c r="P165" t="n">
        <v>0</v>
      </c>
      <c r="Q165" t="n">
        <v>0</v>
      </c>
      <c r="R165" s="2" t="inlineStr"/>
    </row>
    <row r="166" ht="15" customHeight="1">
      <c r="A166" t="inlineStr">
        <is>
          <t>A 3457-2022</t>
        </is>
      </c>
      <c r="B166" s="1" t="n">
        <v>44585</v>
      </c>
      <c r="C166" s="1" t="n">
        <v>46050</v>
      </c>
      <c r="D166" t="inlineStr">
        <is>
          <t>VÄSTRA GÖTALANDS LÄN</t>
        </is>
      </c>
      <c r="E166" t="inlineStr">
        <is>
          <t>ALE</t>
        </is>
      </c>
      <c r="G166" t="n">
        <v>5.1</v>
      </c>
      <c r="H166" t="n">
        <v>0</v>
      </c>
      <c r="I166" t="n">
        <v>0</v>
      </c>
      <c r="J166" t="n">
        <v>0</v>
      </c>
      <c r="K166" t="n">
        <v>0</v>
      </c>
      <c r="L166" t="n">
        <v>0</v>
      </c>
      <c r="M166" t="n">
        <v>0</v>
      </c>
      <c r="N166" t="n">
        <v>0</v>
      </c>
      <c r="O166" t="n">
        <v>0</v>
      </c>
      <c r="P166" t="n">
        <v>0</v>
      </c>
      <c r="Q166" t="n">
        <v>0</v>
      </c>
      <c r="R166" s="2" t="inlineStr"/>
    </row>
    <row r="167" ht="15" customHeight="1">
      <c r="A167" t="inlineStr">
        <is>
          <t>A 8956-2025</t>
        </is>
      </c>
      <c r="B167" s="1" t="n">
        <v>45713.46825231481</v>
      </c>
      <c r="C167" s="1" t="n">
        <v>46050</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ht="15" customHeight="1">
      <c r="A168" t="inlineStr">
        <is>
          <t>A 50451-2024</t>
        </is>
      </c>
      <c r="B168" s="1" t="n">
        <v>45601.44248842593</v>
      </c>
      <c r="C168" s="1" t="n">
        <v>46050</v>
      </c>
      <c r="D168" t="inlineStr">
        <is>
          <t>VÄSTRA GÖTALANDS LÄN</t>
        </is>
      </c>
      <c r="E168" t="inlineStr">
        <is>
          <t>ALE</t>
        </is>
      </c>
      <c r="G168" t="n">
        <v>2.9</v>
      </c>
      <c r="H168" t="n">
        <v>0</v>
      </c>
      <c r="I168" t="n">
        <v>0</v>
      </c>
      <c r="J168" t="n">
        <v>0</v>
      </c>
      <c r="K168" t="n">
        <v>0</v>
      </c>
      <c r="L168" t="n">
        <v>0</v>
      </c>
      <c r="M168" t="n">
        <v>0</v>
      </c>
      <c r="N168" t="n">
        <v>0</v>
      </c>
      <c r="O168" t="n">
        <v>0</v>
      </c>
      <c r="P168" t="n">
        <v>0</v>
      </c>
      <c r="Q168" t="n">
        <v>0</v>
      </c>
      <c r="R168" s="2" t="inlineStr"/>
    </row>
    <row r="169" ht="15" customHeight="1">
      <c r="A169" t="inlineStr">
        <is>
          <t>A 4971-2024</t>
        </is>
      </c>
      <c r="B169" s="1" t="n">
        <v>45329</v>
      </c>
      <c r="C169" s="1" t="n">
        <v>46050</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c r="A170" t="inlineStr">
        <is>
          <t>A 22946-2025</t>
        </is>
      </c>
      <c r="B170" s="1" t="n">
        <v>45790.48229166667</v>
      </c>
      <c r="C170" s="1" t="n">
        <v>46050</v>
      </c>
      <c r="D170" t="inlineStr">
        <is>
          <t>VÄSTRA GÖTALANDS LÄN</t>
        </is>
      </c>
      <c r="E170" t="inlineStr">
        <is>
          <t>ALE</t>
        </is>
      </c>
      <c r="G170" t="n">
        <v>0.6</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2026-01-28T11:00:42Z</dcterms:created>
  <dcterms:modified xmlns:dcterms="http://purl.org/dc/terms/" xmlns:xsi="http://www.w3.org/2001/XMLSchema-instance" xsi:type="dcterms:W3CDTF">2026-01-28T11:00:42Z</dcterms:modified>
</cp:coreProperties>
</file>