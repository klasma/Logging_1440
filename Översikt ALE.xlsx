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45827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45827</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45827</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39575-2024</t>
        </is>
      </c>
      <c r="B5" s="1" t="n">
        <v>45552</v>
      </c>
      <c r="C5" s="1" t="n">
        <v>45827</v>
      </c>
      <c r="D5" t="inlineStr">
        <is>
          <t>VÄSTRA GÖTALANDS LÄN</t>
        </is>
      </c>
      <c r="E5" t="inlineStr">
        <is>
          <t>ALE</t>
        </is>
      </c>
      <c r="G5" t="n">
        <v>10.3</v>
      </c>
      <c r="H5" t="n">
        <v>7</v>
      </c>
      <c r="I5" t="n">
        <v>11</v>
      </c>
      <c r="J5" t="n">
        <v>4</v>
      </c>
      <c r="K5" t="n">
        <v>2</v>
      </c>
      <c r="L5" t="n">
        <v>1</v>
      </c>
      <c r="M5" t="n">
        <v>0</v>
      </c>
      <c r="N5" t="n">
        <v>0</v>
      </c>
      <c r="O5" t="n">
        <v>7</v>
      </c>
      <c r="P5" t="n">
        <v>3</v>
      </c>
      <c r="Q5" t="n">
        <v>22</v>
      </c>
      <c r="R5"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5">
        <f>HYPERLINK("https://klasma.github.io/Logging_1440/artfynd/A 39575-2024 artfynd.xlsx", "A 39575-2024")</f>
        <v/>
      </c>
      <c r="T5">
        <f>HYPERLINK("https://klasma.github.io/Logging_1440/kartor/A 39575-2024 karta.png", "A 39575-2024")</f>
        <v/>
      </c>
      <c r="V5">
        <f>HYPERLINK("https://klasma.github.io/Logging_1440/klagomål/A 39575-2024 FSC-klagomål.docx", "A 39575-2024")</f>
        <v/>
      </c>
      <c r="W5">
        <f>HYPERLINK("https://klasma.github.io/Logging_1440/klagomålsmail/A 39575-2024 FSC-klagomål mail.docx", "A 39575-2024")</f>
        <v/>
      </c>
      <c r="X5">
        <f>HYPERLINK("https://klasma.github.io/Logging_1440/tillsyn/A 39575-2024 tillsynsbegäran.docx", "A 39575-2024")</f>
        <v/>
      </c>
      <c r="Y5">
        <f>HYPERLINK("https://klasma.github.io/Logging_1440/tillsynsmail/A 39575-2024 tillsynsbegäran mail.docx", "A 39575-2024")</f>
        <v/>
      </c>
      <c r="Z5">
        <f>HYPERLINK("https://klasma.github.io/Logging_1440/fåglar/A 39575-2024 prioriterade fågelarter.docx", "A 39575-2024")</f>
        <v/>
      </c>
    </row>
    <row r="6" ht="15" customHeight="1">
      <c r="A6" t="inlineStr">
        <is>
          <t>A 39577-2024</t>
        </is>
      </c>
      <c r="B6" s="1" t="n">
        <v>45552</v>
      </c>
      <c r="C6" s="1" t="n">
        <v>45827</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45827</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45827</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45827</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45827</v>
      </c>
      <c r="D10" t="inlineStr">
        <is>
          <t>VÄSTRA GÖTALANDS LÄN</t>
        </is>
      </c>
      <c r="E10" t="inlineStr">
        <is>
          <t>ALE</t>
        </is>
      </c>
      <c r="G10" t="n">
        <v>5.8</v>
      </c>
      <c r="H10" t="n">
        <v>6</v>
      </c>
      <c r="I10" t="n">
        <v>7</v>
      </c>
      <c r="J10" t="n">
        <v>3</v>
      </c>
      <c r="K10" t="n">
        <v>1</v>
      </c>
      <c r="L10" t="n">
        <v>0</v>
      </c>
      <c r="M10" t="n">
        <v>0</v>
      </c>
      <c r="N10" t="n">
        <v>0</v>
      </c>
      <c r="O10" t="n">
        <v>4</v>
      </c>
      <c r="P10" t="n">
        <v>1</v>
      </c>
      <c r="Q10" t="n">
        <v>15</v>
      </c>
      <c r="R10" s="2" t="inlineStr">
        <is>
          <t>Brödtaggsvamp
Motaggsvamp
Spillkråka
Talltita
Björksplintborre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45827</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45827</v>
      </c>
      <c r="D12" t="inlineStr">
        <is>
          <t>VÄSTRA GÖTALANDS LÄN</t>
        </is>
      </c>
      <c r="E12" t="inlineStr">
        <is>
          <t>ALE</t>
        </is>
      </c>
      <c r="G12" t="n">
        <v>9.4</v>
      </c>
      <c r="H12" t="n">
        <v>4</v>
      </c>
      <c r="I12" t="n">
        <v>7</v>
      </c>
      <c r="J12" t="n">
        <v>2</v>
      </c>
      <c r="K12" t="n">
        <v>0</v>
      </c>
      <c r="L12" t="n">
        <v>0</v>
      </c>
      <c r="M12" t="n">
        <v>0</v>
      </c>
      <c r="N12" t="n">
        <v>0</v>
      </c>
      <c r="O12" t="n">
        <v>2</v>
      </c>
      <c r="P12" t="n">
        <v>0</v>
      </c>
      <c r="Q12" t="n">
        <v>11</v>
      </c>
      <c r="R12" s="2" t="inlineStr">
        <is>
          <t>Spillkråka
Talltita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45827</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45827</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45827</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45827</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45827</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45827</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45827</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45827</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45827</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563-2024</t>
        </is>
      </c>
      <c r="B22" s="1" t="n">
        <v>45299</v>
      </c>
      <c r="C22" s="1" t="n">
        <v>45827</v>
      </c>
      <c r="D22" t="inlineStr">
        <is>
          <t>VÄSTRA GÖTALANDS LÄN</t>
        </is>
      </c>
      <c r="E22" t="inlineStr">
        <is>
          <t>ALE</t>
        </is>
      </c>
      <c r="F22" t="inlineStr">
        <is>
          <t>Kyrkan</t>
        </is>
      </c>
      <c r="G22" t="n">
        <v>26</v>
      </c>
      <c r="H22" t="n">
        <v>3</v>
      </c>
      <c r="I22" t="n">
        <v>1</v>
      </c>
      <c r="J22" t="n">
        <v>3</v>
      </c>
      <c r="K22" t="n">
        <v>0</v>
      </c>
      <c r="L22" t="n">
        <v>0</v>
      </c>
      <c r="M22" t="n">
        <v>0</v>
      </c>
      <c r="N22" t="n">
        <v>0</v>
      </c>
      <c r="O22" t="n">
        <v>3</v>
      </c>
      <c r="P22" t="n">
        <v>0</v>
      </c>
      <c r="Q22" t="n">
        <v>5</v>
      </c>
      <c r="R22" s="2" t="inlineStr">
        <is>
          <t>Kortskaftad ärgspik
Spillkråka
Talltita
Björksplintborre
Tjäder</t>
        </is>
      </c>
      <c r="S22">
        <f>HYPERLINK("https://klasma.github.io/Logging_1440/artfynd/A 563-2024 artfynd.xlsx", "A 563-2024")</f>
        <v/>
      </c>
      <c r="T22">
        <f>HYPERLINK("https://klasma.github.io/Logging_1440/kartor/A 563-2024 karta.png", "A 563-2024")</f>
        <v/>
      </c>
      <c r="V22">
        <f>HYPERLINK("https://klasma.github.io/Logging_1440/klagomål/A 563-2024 FSC-klagomål.docx", "A 563-2024")</f>
        <v/>
      </c>
      <c r="W22">
        <f>HYPERLINK("https://klasma.github.io/Logging_1440/klagomålsmail/A 563-2024 FSC-klagomål mail.docx", "A 563-2024")</f>
        <v/>
      </c>
      <c r="X22">
        <f>HYPERLINK("https://klasma.github.io/Logging_1440/tillsyn/A 563-2024 tillsynsbegäran.docx", "A 563-2024")</f>
        <v/>
      </c>
      <c r="Y22">
        <f>HYPERLINK("https://klasma.github.io/Logging_1440/tillsynsmail/A 563-2024 tillsynsbegäran mail.docx", "A 563-2024")</f>
        <v/>
      </c>
      <c r="Z22">
        <f>HYPERLINK("https://klasma.github.io/Logging_1440/fåglar/A 563-2024 prioriterade fågelarter.docx", "A 563-2024")</f>
        <v/>
      </c>
    </row>
    <row r="23" ht="15" customHeight="1">
      <c r="A23" t="inlineStr">
        <is>
          <t>A 7903-2024</t>
        </is>
      </c>
      <c r="B23" s="1" t="n">
        <v>45350</v>
      </c>
      <c r="C23" s="1" t="n">
        <v>45827</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24162-2025</t>
        </is>
      </c>
      <c r="B24" s="1" t="n">
        <v>45796</v>
      </c>
      <c r="C24" s="1" t="n">
        <v>45827</v>
      </c>
      <c r="D24" t="inlineStr">
        <is>
          <t>VÄSTRA GÖTALANDS LÄN</t>
        </is>
      </c>
      <c r="E24" t="inlineStr">
        <is>
          <t>ALE</t>
        </is>
      </c>
      <c r="G24" t="n">
        <v>5.5</v>
      </c>
      <c r="H24" t="n">
        <v>3</v>
      </c>
      <c r="I24" t="n">
        <v>2</v>
      </c>
      <c r="J24" t="n">
        <v>1</v>
      </c>
      <c r="K24" t="n">
        <v>0</v>
      </c>
      <c r="L24" t="n">
        <v>0</v>
      </c>
      <c r="M24" t="n">
        <v>0</v>
      </c>
      <c r="N24" t="n">
        <v>0</v>
      </c>
      <c r="O24" t="n">
        <v>1</v>
      </c>
      <c r="P24" t="n">
        <v>0</v>
      </c>
      <c r="Q24" t="n">
        <v>5</v>
      </c>
      <c r="R24" s="2" t="inlineStr">
        <is>
          <t>Spillkråka
Blanksvart trämyra
Blåmossa
Trana
Revlummer</t>
        </is>
      </c>
      <c r="S24">
        <f>HYPERLINK("https://klasma.github.io/Logging_141440/artfynd/A 24162-2025 artfynd.xlsx", "A 24162-2025")</f>
        <v/>
      </c>
      <c r="T24">
        <f>HYPERLINK("https://klasma.github.io/Logging_141440/kartor/A 24162-2025 karta.png", "A 24162-2025")</f>
        <v/>
      </c>
      <c r="V24">
        <f>HYPERLINK("https://klasma.github.io/Logging_141440/klagomål/A 24162-2025 FSC-klagomål.docx", "A 24162-2025")</f>
        <v/>
      </c>
      <c r="W24">
        <f>HYPERLINK("https://klasma.github.io/Logging_141440/klagomålsmail/A 24162-2025 FSC-klagomål mail.docx", "A 24162-2025")</f>
        <v/>
      </c>
      <c r="X24">
        <f>HYPERLINK("https://klasma.github.io/Logging_141440/tillsyn/A 24162-2025 tillsynsbegäran.docx", "A 24162-2025")</f>
        <v/>
      </c>
      <c r="Y24">
        <f>HYPERLINK("https://klasma.github.io/Logging_141440/tillsynsmail/A 24162-2025 tillsynsbegäran mail.docx", "A 24162-2025")</f>
        <v/>
      </c>
      <c r="Z24">
        <f>HYPERLINK("https://klasma.github.io/Logging_141440/fåglar/A 24162-2025 prioriterade fågelarter.docx", "A 24162-2025")</f>
        <v/>
      </c>
    </row>
    <row r="25" ht="15" customHeight="1">
      <c r="A25" t="inlineStr">
        <is>
          <t>A 26491-2024</t>
        </is>
      </c>
      <c r="B25" s="1" t="n">
        <v>45469</v>
      </c>
      <c r="C25" s="1" t="n">
        <v>45827</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45827</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45827</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45827</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45827</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45827</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45827</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45827</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45827</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45827</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45827</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45827</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45827</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45827</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45827</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45827</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45827</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45827</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45827</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45827</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45827</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45827</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45827</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45827</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45827</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45827</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45827</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45827</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45827</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45827</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45827</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45827</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45827</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45827</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45827</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45827</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45827</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45827</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45827</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45827</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45827</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45827</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45827</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45827</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45827</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45827</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45827</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45827</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45827</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45827</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45827</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45827</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45827</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45827</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45827</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45827</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45827</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45827</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45827</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45827</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45827</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45827</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45827</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45827</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45827</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45827</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45827</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45827</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45827</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45827</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45827</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45827</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45827</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45827</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45827</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45827</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45827</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45827</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45827</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45827</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45827</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45827</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45827</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45827</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45827</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45827</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45827</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45827</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45827</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45827</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45827</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45827</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45827</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45827</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45827</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45827</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45827</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45827</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45827</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45827</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45827</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45827</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45827</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45827</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45827</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45827</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45827</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45827</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45827</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45827</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45827</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45827</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45827</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45827</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45827</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45827</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45827</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45827</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45827</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45827</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45827</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45827</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45827</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45827</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45827</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45827</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45827</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45827</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45827</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45827</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45827</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45827</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45827</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45827</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45827</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45827</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45827</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45827</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45827</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45827</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45827</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45827</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45827</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45827</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45827</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45827</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45827</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45827</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45827</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45827</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45827</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45827</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45827</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45827</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45827</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45827</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45827</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45827</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45827</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45827</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45827</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45827</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45827</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45827</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45827</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45827</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45827</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45827</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45827</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45827</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45827</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45827</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45827</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45827</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45827</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45827</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45827</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45827</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45827</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45827</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45827</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45827</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45827</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45827</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45827</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45827</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45827</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45827</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45827</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45827</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45827</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45827</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45827</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45827</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45827</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45827</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45827</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45827</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45827</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45827</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45827</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45827</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45827</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45827</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45827</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45827</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45827</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45827</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45827</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45827</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45827</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45827</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45827</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45827</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45827</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45827</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45827</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45827</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45827</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45827</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45827</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25848-2025</t>
        </is>
      </c>
      <c r="B246" s="1" t="n">
        <v>45804</v>
      </c>
      <c r="C246" s="1" t="n">
        <v>45827</v>
      </c>
      <c r="D246" t="inlineStr">
        <is>
          <t>VÄSTRA GÖTALANDS LÄN</t>
        </is>
      </c>
      <c r="E246" t="inlineStr">
        <is>
          <t>ALE</t>
        </is>
      </c>
      <c r="G246" t="n">
        <v>1.1</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45827</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25840-2025</t>
        </is>
      </c>
      <c r="B248" s="1" t="n">
        <v>45804</v>
      </c>
      <c r="C248" s="1" t="n">
        <v>45827</v>
      </c>
      <c r="D248" t="inlineStr">
        <is>
          <t>VÄSTRA GÖTALANDS LÄN</t>
        </is>
      </c>
      <c r="E248" t="inlineStr">
        <is>
          <t>ALE</t>
        </is>
      </c>
      <c r="G248" t="n">
        <v>3.8</v>
      </c>
      <c r="H248" t="n">
        <v>0</v>
      </c>
      <c r="I248" t="n">
        <v>0</v>
      </c>
      <c r="J248" t="n">
        <v>0</v>
      </c>
      <c r="K248" t="n">
        <v>0</v>
      </c>
      <c r="L248" t="n">
        <v>0</v>
      </c>
      <c r="M248" t="n">
        <v>0</v>
      </c>
      <c r="N248" t="n">
        <v>0</v>
      </c>
      <c r="O248" t="n">
        <v>0</v>
      </c>
      <c r="P248" t="n">
        <v>0</v>
      </c>
      <c r="Q248" t="n">
        <v>0</v>
      </c>
      <c r="R248" s="2" t="inlineStr"/>
    </row>
    <row r="249">
      <c r="A249" t="inlineStr">
        <is>
          <t>A 29373-2025</t>
        </is>
      </c>
      <c r="B249" s="1" t="n">
        <v>45824</v>
      </c>
      <c r="C249" s="1" t="n">
        <v>45827</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2025-06-19T19:14:36Z</dcterms:created>
  <dcterms:modified xmlns:dcterms="http://purl.org/dc/terms/" xmlns:xsi="http://www.w3.org/2001/XMLSchema-instance" xsi:type="dcterms:W3CDTF">2025-06-19T19:14:36Z</dcterms:modified>
</cp:coreProperties>
</file>