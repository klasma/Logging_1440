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45933</v>
      </c>
      <c r="D3" t="inlineStr">
        <is>
          <t>VÄSTRA GÖTALANDS LÄN</t>
        </is>
      </c>
      <c r="E3" t="inlineStr">
        <is>
          <t>ALE</t>
        </is>
      </c>
      <c r="G3" t="n">
        <v>10.3</v>
      </c>
      <c r="H3" t="n">
        <v>12</v>
      </c>
      <c r="I3" t="n">
        <v>11</v>
      </c>
      <c r="J3" t="n">
        <v>5</v>
      </c>
      <c r="K3" t="n">
        <v>2</v>
      </c>
      <c r="L3" t="n">
        <v>1</v>
      </c>
      <c r="M3" t="n">
        <v>0</v>
      </c>
      <c r="N3" t="n">
        <v>0</v>
      </c>
      <c r="O3" t="n">
        <v>8</v>
      </c>
      <c r="P3" t="n">
        <v>3</v>
      </c>
      <c r="Q3" t="n">
        <v>25</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45933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45933</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45933</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45933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45933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45933</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45933</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45933</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45933</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45933</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17566-2024</t>
        </is>
      </c>
      <c r="B15" s="1" t="n">
        <v>45415</v>
      </c>
      <c r="C15" s="1" t="n">
        <v>45933</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24162-2025</t>
        </is>
      </c>
      <c r="B16" s="1" t="n">
        <v>45796.66684027778</v>
      </c>
      <c r="C16" s="1" t="n">
        <v>45933</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45933</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19934-2025</t>
        </is>
      </c>
      <c r="B18" s="1" t="n">
        <v>45771</v>
      </c>
      <c r="C18" s="1" t="n">
        <v>45933</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26491-2024</t>
        </is>
      </c>
      <c r="B19" s="1" t="n">
        <v>45469</v>
      </c>
      <c r="C19" s="1" t="n">
        <v>45933</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45933</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45933</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2270-2025</t>
        </is>
      </c>
      <c r="B22" s="1" t="n">
        <v>45673.54403935185</v>
      </c>
      <c r="C22" s="1" t="n">
        <v>45933</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45933</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45933</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58954-2022</t>
        </is>
      </c>
      <c r="B25" s="1" t="n">
        <v>44903</v>
      </c>
      <c r="C25" s="1" t="n">
        <v>45933</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45933</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16534-2025</t>
        </is>
      </c>
      <c r="B27" s="1" t="n">
        <v>45751.65315972222</v>
      </c>
      <c r="C27" s="1" t="n">
        <v>45933</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45933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45933</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63569-2023</t>
        </is>
      </c>
      <c r="B30" s="1" t="n">
        <v>45275</v>
      </c>
      <c r="C30" s="1" t="n">
        <v>45933</v>
      </c>
      <c r="D30" t="inlineStr">
        <is>
          <t>VÄSTRA GÖTALANDS LÄN</t>
        </is>
      </c>
      <c r="E30" t="inlineStr">
        <is>
          <t>ALE</t>
        </is>
      </c>
      <c r="G30" t="n">
        <v>2.4</v>
      </c>
      <c r="H30" t="n">
        <v>2</v>
      </c>
      <c r="I30" t="n">
        <v>0</v>
      </c>
      <c r="J30" t="n">
        <v>2</v>
      </c>
      <c r="K30" t="n">
        <v>0</v>
      </c>
      <c r="L30" t="n">
        <v>0</v>
      </c>
      <c r="M30" t="n">
        <v>0</v>
      </c>
      <c r="N30" t="n">
        <v>0</v>
      </c>
      <c r="O30" t="n">
        <v>2</v>
      </c>
      <c r="P30" t="n">
        <v>0</v>
      </c>
      <c r="Q30" t="n">
        <v>2</v>
      </c>
      <c r="R30" s="2" t="inlineStr">
        <is>
          <t>Spillkråka
Talltita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8955-2025</t>
        </is>
      </c>
      <c r="B31" s="1" t="n">
        <v>45713.46528935185</v>
      </c>
      <c r="C31" s="1" t="n">
        <v>45933</v>
      </c>
      <c r="D31" t="inlineStr">
        <is>
          <t>VÄSTRA GÖTALANDS LÄN</t>
        </is>
      </c>
      <c r="E31" t="inlineStr">
        <is>
          <t>ALE</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HYPERLINK("https://klasma.github.io/Logging_1440/artfynd/A 8955-2025 artfynd.xlsx", "A 8955-2025")</f>
        <v/>
      </c>
      <c r="T31">
        <f>HYPERLINK("https://klasma.github.io/Logging_1440/kartor/A 8955-2025 karta.png", "A 8955-2025")</f>
        <v/>
      </c>
      <c r="V31">
        <f>HYPERLINK("https://klasma.github.io/Logging_1440/klagomål/A 8955-2025 FSC-klagomål.docx", "A 8955-2025")</f>
        <v/>
      </c>
      <c r="W31">
        <f>HYPERLINK("https://klasma.github.io/Logging_1440/klagomålsmail/A 8955-2025 FSC-klagomål mail.docx", "A 8955-2025")</f>
        <v/>
      </c>
      <c r="X31">
        <f>HYPERLINK("https://klasma.github.io/Logging_1440/tillsyn/A 8955-2025 tillsynsbegäran.docx", "A 8955-2025")</f>
        <v/>
      </c>
      <c r="Y31">
        <f>HYPERLINK("https://klasma.github.io/Logging_1440/tillsynsmail/A 8955-2025 tillsynsbegäran mail.docx", "A 8955-2025")</f>
        <v/>
      </c>
      <c r="Z31">
        <f>HYPERLINK("https://klasma.github.io/Logging_1440/fåglar/A 8955-2025 prioriterade fågelarter.docx", "A 8955-2025")</f>
        <v/>
      </c>
    </row>
    <row r="32" ht="15" customHeight="1">
      <c r="A32" t="inlineStr">
        <is>
          <t>A 42660-2024</t>
        </is>
      </c>
      <c r="B32" s="1" t="n">
        <v>45566.33841435185</v>
      </c>
      <c r="C32" s="1" t="n">
        <v>45933</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26493-2024</t>
        </is>
      </c>
      <c r="B33" s="1" t="n">
        <v>45469</v>
      </c>
      <c r="C33" s="1" t="n">
        <v>45933</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26677-2025</t>
        </is>
      </c>
      <c r="B34" s="1" t="n">
        <v>45810.42446759259</v>
      </c>
      <c r="C34" s="1" t="n">
        <v>45933</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45933</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12084-2025</t>
        </is>
      </c>
      <c r="B36" s="1" t="n">
        <v>45728.95387731482</v>
      </c>
      <c r="C36" s="1" t="n">
        <v>45933</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12982-2024</t>
        </is>
      </c>
      <c r="B37" s="1" t="n">
        <v>45385.53569444444</v>
      </c>
      <c r="C37" s="1" t="n">
        <v>45933</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45933</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45933</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45933</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45933</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45933</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45933</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45933</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45933</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45933</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45933</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45933</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45933</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45933</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45933</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45933</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14751-2022</t>
        </is>
      </c>
      <c r="B53" s="1" t="n">
        <v>44656.3837037037</v>
      </c>
      <c r="C53" s="1" t="n">
        <v>45933</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45933</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45933</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45933</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65222-2021</t>
        </is>
      </c>
      <c r="B57" s="1" t="n">
        <v>44515</v>
      </c>
      <c r="C57" s="1" t="n">
        <v>45933</v>
      </c>
      <c r="D57" t="inlineStr">
        <is>
          <t>VÄSTRA GÖTALANDS LÄN</t>
        </is>
      </c>
      <c r="E57" t="inlineStr">
        <is>
          <t>ALE</t>
        </is>
      </c>
      <c r="G57" t="n">
        <v>1.2</v>
      </c>
      <c r="H57" t="n">
        <v>0</v>
      </c>
      <c r="I57" t="n">
        <v>0</v>
      </c>
      <c r="J57" t="n">
        <v>0</v>
      </c>
      <c r="K57" t="n">
        <v>0</v>
      </c>
      <c r="L57" t="n">
        <v>0</v>
      </c>
      <c r="M57" t="n">
        <v>0</v>
      </c>
      <c r="N57" t="n">
        <v>0</v>
      </c>
      <c r="O57" t="n">
        <v>0</v>
      </c>
      <c r="P57" t="n">
        <v>0</v>
      </c>
      <c r="Q57" t="n">
        <v>0</v>
      </c>
      <c r="R57" s="2" t="inlineStr"/>
    </row>
    <row r="58" ht="15" customHeight="1">
      <c r="A58" t="inlineStr">
        <is>
          <t>A 22138-2021</t>
        </is>
      </c>
      <c r="B58" s="1" t="n">
        <v>44324.67472222223</v>
      </c>
      <c r="C58" s="1" t="n">
        <v>45933</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45933</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35148-2021</t>
        </is>
      </c>
      <c r="B60" s="1" t="n">
        <v>44384</v>
      </c>
      <c r="C60" s="1" t="n">
        <v>45933</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46391-2021</t>
        </is>
      </c>
      <c r="B61" s="1" t="n">
        <v>44443</v>
      </c>
      <c r="C61" s="1" t="n">
        <v>45933</v>
      </c>
      <c r="D61" t="inlineStr">
        <is>
          <t>VÄSTRA GÖTALANDS LÄN</t>
        </is>
      </c>
      <c r="E61" t="inlineStr">
        <is>
          <t>ALE</t>
        </is>
      </c>
      <c r="G61" t="n">
        <v>1.3</v>
      </c>
      <c r="H61" t="n">
        <v>0</v>
      </c>
      <c r="I61" t="n">
        <v>0</v>
      </c>
      <c r="J61" t="n">
        <v>0</v>
      </c>
      <c r="K61" t="n">
        <v>0</v>
      </c>
      <c r="L61" t="n">
        <v>0</v>
      </c>
      <c r="M61" t="n">
        <v>0</v>
      </c>
      <c r="N61" t="n">
        <v>0</v>
      </c>
      <c r="O61" t="n">
        <v>0</v>
      </c>
      <c r="P61" t="n">
        <v>0</v>
      </c>
      <c r="Q61" t="n">
        <v>0</v>
      </c>
      <c r="R61" s="2" t="inlineStr"/>
    </row>
    <row r="62" ht="15" customHeight="1">
      <c r="A62" t="inlineStr">
        <is>
          <t>A 45986-2021</t>
        </is>
      </c>
      <c r="B62" s="1" t="n">
        <v>44441</v>
      </c>
      <c r="C62" s="1" t="n">
        <v>45933</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45933</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41598-2022</t>
        </is>
      </c>
      <c r="B64" s="1" t="n">
        <v>44827.4609837963</v>
      </c>
      <c r="C64" s="1" t="n">
        <v>45933</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5875-2023</t>
        </is>
      </c>
      <c r="B65" s="1" t="n">
        <v>44963</v>
      </c>
      <c r="C65" s="1" t="n">
        <v>45933</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14458-2024</t>
        </is>
      </c>
      <c r="B66" s="1" t="n">
        <v>45394</v>
      </c>
      <c r="C66" s="1" t="n">
        <v>45933</v>
      </c>
      <c r="D66" t="inlineStr">
        <is>
          <t>VÄSTRA GÖTALANDS LÄN</t>
        </is>
      </c>
      <c r="E66" t="inlineStr">
        <is>
          <t>ALE</t>
        </is>
      </c>
      <c r="G66" t="n">
        <v>0.5</v>
      </c>
      <c r="H66" t="n">
        <v>0</v>
      </c>
      <c r="I66" t="n">
        <v>0</v>
      </c>
      <c r="J66" t="n">
        <v>0</v>
      </c>
      <c r="K66" t="n">
        <v>0</v>
      </c>
      <c r="L66" t="n">
        <v>0</v>
      </c>
      <c r="M66" t="n">
        <v>0</v>
      </c>
      <c r="N66" t="n">
        <v>0</v>
      </c>
      <c r="O66" t="n">
        <v>0</v>
      </c>
      <c r="P66" t="n">
        <v>0</v>
      </c>
      <c r="Q66" t="n">
        <v>0</v>
      </c>
      <c r="R66" s="2" t="inlineStr"/>
    </row>
    <row r="67" ht="15" customHeight="1">
      <c r="A67" t="inlineStr">
        <is>
          <t>A 3407-2023</t>
        </is>
      </c>
      <c r="B67" s="1" t="n">
        <v>44949.54909722223</v>
      </c>
      <c r="C67" s="1" t="n">
        <v>45933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51564-2023</t>
        </is>
      </c>
      <c r="B68" s="1" t="n">
        <v>45222</v>
      </c>
      <c r="C68" s="1" t="n">
        <v>45933</v>
      </c>
      <c r="D68" t="inlineStr">
        <is>
          <t>VÄSTRA GÖTALANDS LÄN</t>
        </is>
      </c>
      <c r="E68" t="inlineStr">
        <is>
          <t>ALE</t>
        </is>
      </c>
      <c r="G68" t="n">
        <v>1.5</v>
      </c>
      <c r="H68" t="n">
        <v>0</v>
      </c>
      <c r="I68" t="n">
        <v>0</v>
      </c>
      <c r="J68" t="n">
        <v>0</v>
      </c>
      <c r="K68" t="n">
        <v>0</v>
      </c>
      <c r="L68" t="n">
        <v>0</v>
      </c>
      <c r="M68" t="n">
        <v>0</v>
      </c>
      <c r="N68" t="n">
        <v>0</v>
      </c>
      <c r="O68" t="n">
        <v>0</v>
      </c>
      <c r="P68" t="n">
        <v>0</v>
      </c>
      <c r="Q68" t="n">
        <v>0</v>
      </c>
      <c r="R68" s="2" t="inlineStr"/>
    </row>
    <row r="69" ht="15" customHeight="1">
      <c r="A69" t="inlineStr">
        <is>
          <t>A 12445-2022</t>
        </is>
      </c>
      <c r="B69" s="1" t="n">
        <v>44638</v>
      </c>
      <c r="C69" s="1" t="n">
        <v>45933</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47087-2023</t>
        </is>
      </c>
      <c r="B70" s="1" t="n">
        <v>45196</v>
      </c>
      <c r="C70" s="1" t="n">
        <v>45933</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4642-2024</t>
        </is>
      </c>
      <c r="B71" s="1" t="n">
        <v>45328.43502314815</v>
      </c>
      <c r="C71" s="1" t="n">
        <v>45933</v>
      </c>
      <c r="D71" t="inlineStr">
        <is>
          <t>VÄSTRA GÖTALANDS LÄN</t>
        </is>
      </c>
      <c r="E71" t="inlineStr">
        <is>
          <t>ALE</t>
        </is>
      </c>
      <c r="G71" t="n">
        <v>7.1</v>
      </c>
      <c r="H71" t="n">
        <v>0</v>
      </c>
      <c r="I71" t="n">
        <v>0</v>
      </c>
      <c r="J71" t="n">
        <v>0</v>
      </c>
      <c r="K71" t="n">
        <v>0</v>
      </c>
      <c r="L71" t="n">
        <v>0</v>
      </c>
      <c r="M71" t="n">
        <v>0</v>
      </c>
      <c r="N71" t="n">
        <v>0</v>
      </c>
      <c r="O71" t="n">
        <v>0</v>
      </c>
      <c r="P71" t="n">
        <v>0</v>
      </c>
      <c r="Q71" t="n">
        <v>0</v>
      </c>
      <c r="R71" s="2" t="inlineStr"/>
    </row>
    <row r="72" ht="15" customHeight="1">
      <c r="A72" t="inlineStr">
        <is>
          <t>A 8659-2025</t>
        </is>
      </c>
      <c r="B72" s="1" t="n">
        <v>45712</v>
      </c>
      <c r="C72" s="1" t="n">
        <v>45933</v>
      </c>
      <c r="D72" t="inlineStr">
        <is>
          <t>VÄSTRA GÖTALANDS LÄN</t>
        </is>
      </c>
      <c r="E72" t="inlineStr">
        <is>
          <t>ALE</t>
        </is>
      </c>
      <c r="G72" t="n">
        <v>5.7</v>
      </c>
      <c r="H72" t="n">
        <v>0</v>
      </c>
      <c r="I72" t="n">
        <v>0</v>
      </c>
      <c r="J72" t="n">
        <v>0</v>
      </c>
      <c r="K72" t="n">
        <v>0</v>
      </c>
      <c r="L72" t="n">
        <v>0</v>
      </c>
      <c r="M72" t="n">
        <v>0</v>
      </c>
      <c r="N72" t="n">
        <v>0</v>
      </c>
      <c r="O72" t="n">
        <v>0</v>
      </c>
      <c r="P72" t="n">
        <v>0</v>
      </c>
      <c r="Q72" t="n">
        <v>0</v>
      </c>
      <c r="R72" s="2" t="inlineStr"/>
    </row>
    <row r="73" ht="15" customHeight="1">
      <c r="A73" t="inlineStr">
        <is>
          <t>A 53476-2023</t>
        </is>
      </c>
      <c r="B73" s="1" t="n">
        <v>45230.33737268519</v>
      </c>
      <c r="C73" s="1" t="n">
        <v>45933</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5344-2024</t>
        </is>
      </c>
      <c r="B74" s="1" t="n">
        <v>45331</v>
      </c>
      <c r="C74" s="1" t="n">
        <v>45933</v>
      </c>
      <c r="D74" t="inlineStr">
        <is>
          <t>VÄSTRA GÖTALANDS LÄN</t>
        </is>
      </c>
      <c r="E74" t="inlineStr">
        <is>
          <t>ALE</t>
        </is>
      </c>
      <c r="G74" t="n">
        <v>2.5</v>
      </c>
      <c r="H74" t="n">
        <v>0</v>
      </c>
      <c r="I74" t="n">
        <v>0</v>
      </c>
      <c r="J74" t="n">
        <v>0</v>
      </c>
      <c r="K74" t="n">
        <v>0</v>
      </c>
      <c r="L74" t="n">
        <v>0</v>
      </c>
      <c r="M74" t="n">
        <v>0</v>
      </c>
      <c r="N74" t="n">
        <v>0</v>
      </c>
      <c r="O74" t="n">
        <v>0</v>
      </c>
      <c r="P74" t="n">
        <v>0</v>
      </c>
      <c r="Q74" t="n">
        <v>0</v>
      </c>
      <c r="R74" s="2" t="inlineStr"/>
    </row>
    <row r="75" ht="15" customHeight="1">
      <c r="A75" t="inlineStr">
        <is>
          <t>A 18637-2023</t>
        </is>
      </c>
      <c r="B75" s="1" t="n">
        <v>45043</v>
      </c>
      <c r="C75" s="1" t="n">
        <v>45933</v>
      </c>
      <c r="D75" t="inlineStr">
        <is>
          <t>VÄSTRA GÖTALANDS LÄN</t>
        </is>
      </c>
      <c r="E75" t="inlineStr">
        <is>
          <t>ALE</t>
        </is>
      </c>
      <c r="G75" t="n">
        <v>3.6</v>
      </c>
      <c r="H75" t="n">
        <v>0</v>
      </c>
      <c r="I75" t="n">
        <v>0</v>
      </c>
      <c r="J75" t="n">
        <v>0</v>
      </c>
      <c r="K75" t="n">
        <v>0</v>
      </c>
      <c r="L75" t="n">
        <v>0</v>
      </c>
      <c r="M75" t="n">
        <v>0</v>
      </c>
      <c r="N75" t="n">
        <v>0</v>
      </c>
      <c r="O75" t="n">
        <v>0</v>
      </c>
      <c r="P75" t="n">
        <v>0</v>
      </c>
      <c r="Q75" t="n">
        <v>0</v>
      </c>
      <c r="R75" s="2" t="inlineStr"/>
    </row>
    <row r="76" ht="15" customHeight="1">
      <c r="A76" t="inlineStr">
        <is>
          <t>A 59933-2023</t>
        </is>
      </c>
      <c r="B76" s="1" t="n">
        <v>45257</v>
      </c>
      <c r="C76" s="1" t="n">
        <v>45933</v>
      </c>
      <c r="D76" t="inlineStr">
        <is>
          <t>VÄSTRA GÖTALANDS LÄN</t>
        </is>
      </c>
      <c r="E76" t="inlineStr">
        <is>
          <t>ALE</t>
        </is>
      </c>
      <c r="G76" t="n">
        <v>2.7</v>
      </c>
      <c r="H76" t="n">
        <v>0</v>
      </c>
      <c r="I76" t="n">
        <v>0</v>
      </c>
      <c r="J76" t="n">
        <v>0</v>
      </c>
      <c r="K76" t="n">
        <v>0</v>
      </c>
      <c r="L76" t="n">
        <v>0</v>
      </c>
      <c r="M76" t="n">
        <v>0</v>
      </c>
      <c r="N76" t="n">
        <v>0</v>
      </c>
      <c r="O76" t="n">
        <v>0</v>
      </c>
      <c r="P76" t="n">
        <v>0</v>
      </c>
      <c r="Q76" t="n">
        <v>0</v>
      </c>
      <c r="R76" s="2" t="inlineStr"/>
    </row>
    <row r="77" ht="15" customHeight="1">
      <c r="A77" t="inlineStr">
        <is>
          <t>A 14731-2022</t>
        </is>
      </c>
      <c r="B77" s="1" t="n">
        <v>44656</v>
      </c>
      <c r="C77" s="1" t="n">
        <v>45933</v>
      </c>
      <c r="D77" t="inlineStr">
        <is>
          <t>VÄSTRA GÖTALANDS LÄN</t>
        </is>
      </c>
      <c r="E77" t="inlineStr">
        <is>
          <t>ALE</t>
        </is>
      </c>
      <c r="G77" t="n">
        <v>1.8</v>
      </c>
      <c r="H77" t="n">
        <v>0</v>
      </c>
      <c r="I77" t="n">
        <v>0</v>
      </c>
      <c r="J77" t="n">
        <v>0</v>
      </c>
      <c r="K77" t="n">
        <v>0</v>
      </c>
      <c r="L77" t="n">
        <v>0</v>
      </c>
      <c r="M77" t="n">
        <v>0</v>
      </c>
      <c r="N77" t="n">
        <v>0</v>
      </c>
      <c r="O77" t="n">
        <v>0</v>
      </c>
      <c r="P77" t="n">
        <v>0</v>
      </c>
      <c r="Q77" t="n">
        <v>0</v>
      </c>
      <c r="R77" s="2" t="inlineStr"/>
    </row>
    <row r="78" ht="15" customHeight="1">
      <c r="A78" t="inlineStr">
        <is>
          <t>A 36403-2024</t>
        </is>
      </c>
      <c r="B78" s="1" t="n">
        <v>45535.69445601852</v>
      </c>
      <c r="C78" s="1" t="n">
        <v>45933</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29373-2025</t>
        </is>
      </c>
      <c r="B79" s="1" t="n">
        <v>45824.579375</v>
      </c>
      <c r="C79" s="1" t="n">
        <v>45933</v>
      </c>
      <c r="D79" t="inlineStr">
        <is>
          <t>VÄSTRA GÖTALANDS LÄN</t>
        </is>
      </c>
      <c r="E79" t="inlineStr">
        <is>
          <t>ALE</t>
        </is>
      </c>
      <c r="G79" t="n">
        <v>4.6</v>
      </c>
      <c r="H79" t="n">
        <v>0</v>
      </c>
      <c r="I79" t="n">
        <v>0</v>
      </c>
      <c r="J79" t="n">
        <v>0</v>
      </c>
      <c r="K79" t="n">
        <v>0</v>
      </c>
      <c r="L79" t="n">
        <v>0</v>
      </c>
      <c r="M79" t="n">
        <v>0</v>
      </c>
      <c r="N79" t="n">
        <v>0</v>
      </c>
      <c r="O79" t="n">
        <v>0</v>
      </c>
      <c r="P79" t="n">
        <v>0</v>
      </c>
      <c r="Q79" t="n">
        <v>0</v>
      </c>
      <c r="R79" s="2" t="inlineStr"/>
    </row>
    <row r="80" ht="15" customHeight="1">
      <c r="A80" t="inlineStr">
        <is>
          <t>A 3520-2022</t>
        </is>
      </c>
      <c r="B80" s="1" t="n">
        <v>44585.72818287037</v>
      </c>
      <c r="C80" s="1" t="n">
        <v>45933</v>
      </c>
      <c r="D80" t="inlineStr">
        <is>
          <t>VÄSTRA GÖTALANDS LÄN</t>
        </is>
      </c>
      <c r="E80" t="inlineStr">
        <is>
          <t>ALE</t>
        </is>
      </c>
      <c r="G80" t="n">
        <v>2.3</v>
      </c>
      <c r="H80" t="n">
        <v>0</v>
      </c>
      <c r="I80" t="n">
        <v>0</v>
      </c>
      <c r="J80" t="n">
        <v>0</v>
      </c>
      <c r="K80" t="n">
        <v>0</v>
      </c>
      <c r="L80" t="n">
        <v>0</v>
      </c>
      <c r="M80" t="n">
        <v>0</v>
      </c>
      <c r="N80" t="n">
        <v>0</v>
      </c>
      <c r="O80" t="n">
        <v>0</v>
      </c>
      <c r="P80" t="n">
        <v>0</v>
      </c>
      <c r="Q80" t="n">
        <v>0</v>
      </c>
      <c r="R80" s="2" t="inlineStr"/>
    </row>
    <row r="81" ht="15" customHeight="1">
      <c r="A81" t="inlineStr">
        <is>
          <t>A 55405-2021</t>
        </is>
      </c>
      <c r="B81" s="1" t="n">
        <v>44475.53733796296</v>
      </c>
      <c r="C81" s="1" t="n">
        <v>45933</v>
      </c>
      <c r="D81" t="inlineStr">
        <is>
          <t>VÄSTRA GÖTALANDS LÄN</t>
        </is>
      </c>
      <c r="E81" t="inlineStr">
        <is>
          <t>ALE</t>
        </is>
      </c>
      <c r="G81" t="n">
        <v>0.5</v>
      </c>
      <c r="H81" t="n">
        <v>0</v>
      </c>
      <c r="I81" t="n">
        <v>0</v>
      </c>
      <c r="J81" t="n">
        <v>0</v>
      </c>
      <c r="K81" t="n">
        <v>0</v>
      </c>
      <c r="L81" t="n">
        <v>0</v>
      </c>
      <c r="M81" t="n">
        <v>0</v>
      </c>
      <c r="N81" t="n">
        <v>0</v>
      </c>
      <c r="O81" t="n">
        <v>0</v>
      </c>
      <c r="P81" t="n">
        <v>0</v>
      </c>
      <c r="Q81" t="n">
        <v>0</v>
      </c>
      <c r="R81" s="2" t="inlineStr"/>
    </row>
    <row r="82" ht="15" customHeight="1">
      <c r="A82" t="inlineStr">
        <is>
          <t>A 41607-2022</t>
        </is>
      </c>
      <c r="B82" s="1" t="n">
        <v>44827.46658564815</v>
      </c>
      <c r="C82" s="1" t="n">
        <v>45933</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66551-2020</t>
        </is>
      </c>
      <c r="B83" s="1" t="n">
        <v>44179</v>
      </c>
      <c r="C83" s="1" t="n">
        <v>45933</v>
      </c>
      <c r="D83" t="inlineStr">
        <is>
          <t>VÄSTRA GÖTALANDS LÄN</t>
        </is>
      </c>
      <c r="E83" t="inlineStr">
        <is>
          <t>ALE</t>
        </is>
      </c>
      <c r="G83" t="n">
        <v>4.5</v>
      </c>
      <c r="H83" t="n">
        <v>0</v>
      </c>
      <c r="I83" t="n">
        <v>0</v>
      </c>
      <c r="J83" t="n">
        <v>0</v>
      </c>
      <c r="K83" t="n">
        <v>0</v>
      </c>
      <c r="L83" t="n">
        <v>0</v>
      </c>
      <c r="M83" t="n">
        <v>0</v>
      </c>
      <c r="N83" t="n">
        <v>0</v>
      </c>
      <c r="O83" t="n">
        <v>0</v>
      </c>
      <c r="P83" t="n">
        <v>0</v>
      </c>
      <c r="Q83" t="n">
        <v>0</v>
      </c>
      <c r="R83" s="2" t="inlineStr"/>
    </row>
    <row r="84" ht="15" customHeight="1">
      <c r="A84" t="inlineStr">
        <is>
          <t>A 26157-2023</t>
        </is>
      </c>
      <c r="B84" s="1" t="n">
        <v>45091.50479166667</v>
      </c>
      <c r="C84" s="1" t="n">
        <v>45933</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13382-2025</t>
        </is>
      </c>
      <c r="B85" s="1" t="n">
        <v>45735.67928240741</v>
      </c>
      <c r="C85" s="1" t="n">
        <v>45933</v>
      </c>
      <c r="D85" t="inlineStr">
        <is>
          <t>VÄSTRA GÖTALANDS LÄN</t>
        </is>
      </c>
      <c r="E85" t="inlineStr">
        <is>
          <t>ALE</t>
        </is>
      </c>
      <c r="G85" t="n">
        <v>0.9</v>
      </c>
      <c r="H85" t="n">
        <v>0</v>
      </c>
      <c r="I85" t="n">
        <v>0</v>
      </c>
      <c r="J85" t="n">
        <v>0</v>
      </c>
      <c r="K85" t="n">
        <v>0</v>
      </c>
      <c r="L85" t="n">
        <v>0</v>
      </c>
      <c r="M85" t="n">
        <v>0</v>
      </c>
      <c r="N85" t="n">
        <v>0</v>
      </c>
      <c r="O85" t="n">
        <v>0</v>
      </c>
      <c r="P85" t="n">
        <v>0</v>
      </c>
      <c r="Q85" t="n">
        <v>0</v>
      </c>
      <c r="R85" s="2" t="inlineStr"/>
    </row>
    <row r="86" ht="15" customHeight="1">
      <c r="A86" t="inlineStr">
        <is>
          <t>A 13426-2025</t>
        </is>
      </c>
      <c r="B86" s="1" t="n">
        <v>45736.32780092592</v>
      </c>
      <c r="C86" s="1" t="n">
        <v>45933</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33237-2024</t>
        </is>
      </c>
      <c r="B87" s="1" t="n">
        <v>45518.59173611111</v>
      </c>
      <c r="C87" s="1" t="n">
        <v>45933</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44429-2023</t>
        </is>
      </c>
      <c r="B88" s="1" t="n">
        <v>45189.35101851852</v>
      </c>
      <c r="C88" s="1" t="n">
        <v>45933</v>
      </c>
      <c r="D88" t="inlineStr">
        <is>
          <t>VÄSTRA GÖTALANDS LÄN</t>
        </is>
      </c>
      <c r="E88" t="inlineStr">
        <is>
          <t>ALE</t>
        </is>
      </c>
      <c r="G88" t="n">
        <v>0.1</v>
      </c>
      <c r="H88" t="n">
        <v>0</v>
      </c>
      <c r="I88" t="n">
        <v>0</v>
      </c>
      <c r="J88" t="n">
        <v>0</v>
      </c>
      <c r="K88" t="n">
        <v>0</v>
      </c>
      <c r="L88" t="n">
        <v>0</v>
      </c>
      <c r="M88" t="n">
        <v>0</v>
      </c>
      <c r="N88" t="n">
        <v>0</v>
      </c>
      <c r="O88" t="n">
        <v>0</v>
      </c>
      <c r="P88" t="n">
        <v>0</v>
      </c>
      <c r="Q88" t="n">
        <v>0</v>
      </c>
      <c r="R88" s="2" t="inlineStr"/>
    </row>
    <row r="89" ht="15" customHeight="1">
      <c r="A89" t="inlineStr">
        <is>
          <t>A 7892-2024</t>
        </is>
      </c>
      <c r="B89" s="1" t="n">
        <v>45350.40921296296</v>
      </c>
      <c r="C89" s="1" t="n">
        <v>45933</v>
      </c>
      <c r="D89" t="inlineStr">
        <is>
          <t>VÄSTRA GÖTALANDS LÄN</t>
        </is>
      </c>
      <c r="E89" t="inlineStr">
        <is>
          <t>ALE</t>
        </is>
      </c>
      <c r="G89" t="n">
        <v>3.6</v>
      </c>
      <c r="H89" t="n">
        <v>0</v>
      </c>
      <c r="I89" t="n">
        <v>0</v>
      </c>
      <c r="J89" t="n">
        <v>0</v>
      </c>
      <c r="K89" t="n">
        <v>0</v>
      </c>
      <c r="L89" t="n">
        <v>0</v>
      </c>
      <c r="M89" t="n">
        <v>0</v>
      </c>
      <c r="N89" t="n">
        <v>0</v>
      </c>
      <c r="O89" t="n">
        <v>0</v>
      </c>
      <c r="P89" t="n">
        <v>0</v>
      </c>
      <c r="Q89" t="n">
        <v>0</v>
      </c>
      <c r="R89" s="2" t="inlineStr"/>
    </row>
    <row r="90" ht="15" customHeight="1">
      <c r="A90" t="inlineStr">
        <is>
          <t>A 13903-2025</t>
        </is>
      </c>
      <c r="B90" s="1" t="n">
        <v>45737.63481481482</v>
      </c>
      <c r="C90" s="1" t="n">
        <v>45933</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51164-2024</t>
        </is>
      </c>
      <c r="B91" s="1" t="n">
        <v>45603.5830787037</v>
      </c>
      <c r="C91" s="1" t="n">
        <v>45933</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4444-2024</t>
        </is>
      </c>
      <c r="B92" s="1" t="n">
        <v>45327</v>
      </c>
      <c r="C92" s="1" t="n">
        <v>45933</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14493-2024</t>
        </is>
      </c>
      <c r="B93" s="1" t="n">
        <v>45394.58491898148</v>
      </c>
      <c r="C93" s="1" t="n">
        <v>45933</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31407-2025</t>
        </is>
      </c>
      <c r="B94" s="1" t="n">
        <v>45833</v>
      </c>
      <c r="C94" s="1" t="n">
        <v>45933</v>
      </c>
      <c r="D94" t="inlineStr">
        <is>
          <t>VÄSTRA GÖTALANDS LÄN</t>
        </is>
      </c>
      <c r="E94" t="inlineStr">
        <is>
          <t>ALE</t>
        </is>
      </c>
      <c r="G94" t="n">
        <v>0.8</v>
      </c>
      <c r="H94" t="n">
        <v>0</v>
      </c>
      <c r="I94" t="n">
        <v>0</v>
      </c>
      <c r="J94" t="n">
        <v>0</v>
      </c>
      <c r="K94" t="n">
        <v>0</v>
      </c>
      <c r="L94" t="n">
        <v>0</v>
      </c>
      <c r="M94" t="n">
        <v>0</v>
      </c>
      <c r="N94" t="n">
        <v>0</v>
      </c>
      <c r="O94" t="n">
        <v>0</v>
      </c>
      <c r="P94" t="n">
        <v>0</v>
      </c>
      <c r="Q94" t="n">
        <v>0</v>
      </c>
      <c r="R94" s="2" t="inlineStr"/>
    </row>
    <row r="95" ht="15" customHeight="1">
      <c r="A95" t="inlineStr">
        <is>
          <t>A 31409-2025</t>
        </is>
      </c>
      <c r="B95" s="1" t="n">
        <v>45833</v>
      </c>
      <c r="C95" s="1" t="n">
        <v>45933</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31533-2025</t>
        </is>
      </c>
      <c r="B96" s="1" t="n">
        <v>45833</v>
      </c>
      <c r="C96" s="1" t="n">
        <v>45933</v>
      </c>
      <c r="D96" t="inlineStr">
        <is>
          <t>VÄSTRA GÖTALANDS LÄN</t>
        </is>
      </c>
      <c r="E96" t="inlineStr">
        <is>
          <t>ALE</t>
        </is>
      </c>
      <c r="G96" t="n">
        <v>1.6</v>
      </c>
      <c r="H96" t="n">
        <v>0</v>
      </c>
      <c r="I96" t="n">
        <v>0</v>
      </c>
      <c r="J96" t="n">
        <v>0</v>
      </c>
      <c r="K96" t="n">
        <v>0</v>
      </c>
      <c r="L96" t="n">
        <v>0</v>
      </c>
      <c r="M96" t="n">
        <v>0</v>
      </c>
      <c r="N96" t="n">
        <v>0</v>
      </c>
      <c r="O96" t="n">
        <v>0</v>
      </c>
      <c r="P96" t="n">
        <v>0</v>
      </c>
      <c r="Q96" t="n">
        <v>0</v>
      </c>
      <c r="R96" s="2" t="inlineStr"/>
    </row>
    <row r="97" ht="15" customHeight="1">
      <c r="A97" t="inlineStr">
        <is>
          <t>A 31488-2025</t>
        </is>
      </c>
      <c r="B97" s="1" t="n">
        <v>45833</v>
      </c>
      <c r="C97" s="1" t="n">
        <v>45933</v>
      </c>
      <c r="D97" t="inlineStr">
        <is>
          <t>VÄSTRA GÖTALANDS LÄN</t>
        </is>
      </c>
      <c r="E97" t="inlineStr">
        <is>
          <t>ALE</t>
        </is>
      </c>
      <c r="G97" t="n">
        <v>1.8</v>
      </c>
      <c r="H97" t="n">
        <v>0</v>
      </c>
      <c r="I97" t="n">
        <v>0</v>
      </c>
      <c r="J97" t="n">
        <v>0</v>
      </c>
      <c r="K97" t="n">
        <v>0</v>
      </c>
      <c r="L97" t="n">
        <v>0</v>
      </c>
      <c r="M97" t="n">
        <v>0</v>
      </c>
      <c r="N97" t="n">
        <v>0</v>
      </c>
      <c r="O97" t="n">
        <v>0</v>
      </c>
      <c r="P97" t="n">
        <v>0</v>
      </c>
      <c r="Q97" t="n">
        <v>0</v>
      </c>
      <c r="R97" s="2" t="inlineStr"/>
    </row>
    <row r="98" ht="15" customHeight="1">
      <c r="A98" t="inlineStr">
        <is>
          <t>A 72801-2021</t>
        </is>
      </c>
      <c r="B98" s="1" t="n">
        <v>44546</v>
      </c>
      <c r="C98" s="1" t="n">
        <v>45933</v>
      </c>
      <c r="D98" t="inlineStr">
        <is>
          <t>VÄSTRA GÖTALANDS LÄN</t>
        </is>
      </c>
      <c r="E98" t="inlineStr">
        <is>
          <t>ALE</t>
        </is>
      </c>
      <c r="F98" t="inlineStr">
        <is>
          <t>Naturvårdsverket</t>
        </is>
      </c>
      <c r="G98" t="n">
        <v>1.4</v>
      </c>
      <c r="H98" t="n">
        <v>0</v>
      </c>
      <c r="I98" t="n">
        <v>0</v>
      </c>
      <c r="J98" t="n">
        <v>0</v>
      </c>
      <c r="K98" t="n">
        <v>0</v>
      </c>
      <c r="L98" t="n">
        <v>0</v>
      </c>
      <c r="M98" t="n">
        <v>0</v>
      </c>
      <c r="N98" t="n">
        <v>0</v>
      </c>
      <c r="O98" t="n">
        <v>0</v>
      </c>
      <c r="P98" t="n">
        <v>0</v>
      </c>
      <c r="Q98" t="n">
        <v>0</v>
      </c>
      <c r="R98" s="2" t="inlineStr"/>
    </row>
    <row r="99" ht="15" customHeight="1">
      <c r="A99" t="inlineStr">
        <is>
          <t>A 36763-2022</t>
        </is>
      </c>
      <c r="B99" s="1" t="n">
        <v>44805</v>
      </c>
      <c r="C99" s="1" t="n">
        <v>45933</v>
      </c>
      <c r="D99" t="inlineStr">
        <is>
          <t>VÄSTRA GÖTALANDS LÄN</t>
        </is>
      </c>
      <c r="E99" t="inlineStr">
        <is>
          <t>ALE</t>
        </is>
      </c>
      <c r="G99" t="n">
        <v>6.1</v>
      </c>
      <c r="H99" t="n">
        <v>0</v>
      </c>
      <c r="I99" t="n">
        <v>0</v>
      </c>
      <c r="J99" t="n">
        <v>0</v>
      </c>
      <c r="K99" t="n">
        <v>0</v>
      </c>
      <c r="L99" t="n">
        <v>0</v>
      </c>
      <c r="M99" t="n">
        <v>0</v>
      </c>
      <c r="N99" t="n">
        <v>0</v>
      </c>
      <c r="O99" t="n">
        <v>0</v>
      </c>
      <c r="P99" t="n">
        <v>0</v>
      </c>
      <c r="Q99" t="n">
        <v>0</v>
      </c>
      <c r="R99" s="2" t="inlineStr"/>
    </row>
    <row r="100" ht="15" customHeight="1">
      <c r="A100" t="inlineStr">
        <is>
          <t>A 24642-2022</t>
        </is>
      </c>
      <c r="B100" s="1" t="n">
        <v>44727.59578703704</v>
      </c>
      <c r="C100" s="1" t="n">
        <v>45933</v>
      </c>
      <c r="D100" t="inlineStr">
        <is>
          <t>VÄSTRA GÖTALANDS LÄN</t>
        </is>
      </c>
      <c r="E100" t="inlineStr">
        <is>
          <t>ALE</t>
        </is>
      </c>
      <c r="G100" t="n">
        <v>10</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44480.57173611111</v>
      </c>
      <c r="C101" s="1" t="n">
        <v>45933</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45988-2021</t>
        </is>
      </c>
      <c r="B102" s="1" t="n">
        <v>44441</v>
      </c>
      <c r="C102" s="1" t="n">
        <v>45933</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8956-2025</t>
        </is>
      </c>
      <c r="B103" s="1" t="n">
        <v>45713.46825231481</v>
      </c>
      <c r="C103" s="1" t="n">
        <v>45933</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40074-2025</t>
        </is>
      </c>
      <c r="B104" s="1" t="n">
        <v>45894.44685185186</v>
      </c>
      <c r="C104" s="1" t="n">
        <v>45933</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26083-2023</t>
        </is>
      </c>
      <c r="B105" s="1" t="n">
        <v>45091</v>
      </c>
      <c r="C105" s="1" t="n">
        <v>45933</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46226-2025</t>
        </is>
      </c>
      <c r="B106" s="1" t="n">
        <v>45924</v>
      </c>
      <c r="C106" s="1" t="n">
        <v>45933</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1822-2024</t>
        </is>
      </c>
      <c r="B107" s="1" t="n">
        <v>45307.6205787037</v>
      </c>
      <c r="C107" s="1" t="n">
        <v>45933</v>
      </c>
      <c r="D107" t="inlineStr">
        <is>
          <t>VÄSTRA GÖTALANDS LÄN</t>
        </is>
      </c>
      <c r="E107" t="inlineStr">
        <is>
          <t>ALE</t>
        </is>
      </c>
      <c r="G107" t="n">
        <v>2</v>
      </c>
      <c r="H107" t="n">
        <v>0</v>
      </c>
      <c r="I107" t="n">
        <v>0</v>
      </c>
      <c r="J107" t="n">
        <v>0</v>
      </c>
      <c r="K107" t="n">
        <v>0</v>
      </c>
      <c r="L107" t="n">
        <v>0</v>
      </c>
      <c r="M107" t="n">
        <v>0</v>
      </c>
      <c r="N107" t="n">
        <v>0</v>
      </c>
      <c r="O107" t="n">
        <v>0</v>
      </c>
      <c r="P107" t="n">
        <v>0</v>
      </c>
      <c r="Q107" t="n">
        <v>0</v>
      </c>
      <c r="R107" s="2" t="inlineStr"/>
    </row>
    <row r="108" ht="15" customHeight="1">
      <c r="A108" t="inlineStr">
        <is>
          <t>A 15241-2025</t>
        </is>
      </c>
      <c r="B108" s="1" t="n">
        <v>45744.61255787037</v>
      </c>
      <c r="C108" s="1" t="n">
        <v>45933</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43732-2025</t>
        </is>
      </c>
      <c r="B109" s="1" t="n">
        <v>45912.43576388889</v>
      </c>
      <c r="C109" s="1" t="n">
        <v>45933</v>
      </c>
      <c r="D109" t="inlineStr">
        <is>
          <t>VÄSTRA GÖTALANDS LÄN</t>
        </is>
      </c>
      <c r="E109" t="inlineStr">
        <is>
          <t>ALE</t>
        </is>
      </c>
      <c r="G109" t="n">
        <v>2.9</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44802.57002314815</v>
      </c>
      <c r="C110" s="1" t="n">
        <v>45933</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47330-2025</t>
        </is>
      </c>
      <c r="B111" s="1" t="n">
        <v>45930.56170138889</v>
      </c>
      <c r="C111" s="1" t="n">
        <v>45933</v>
      </c>
      <c r="D111" t="inlineStr">
        <is>
          <t>VÄSTRA GÖTALANDS LÄN</t>
        </is>
      </c>
      <c r="E111" t="inlineStr">
        <is>
          <t>ALE</t>
        </is>
      </c>
      <c r="G111" t="n">
        <v>3.7</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45933</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6947-2024</t>
        </is>
      </c>
      <c r="B113" s="1" t="n">
        <v>45343</v>
      </c>
      <c r="C113" s="1" t="n">
        <v>45933</v>
      </c>
      <c r="D113" t="inlineStr">
        <is>
          <t>VÄSTRA GÖTALANDS LÄN</t>
        </is>
      </c>
      <c r="E113" t="inlineStr">
        <is>
          <t>ALE</t>
        </is>
      </c>
      <c r="G113" t="n">
        <v>3.7</v>
      </c>
      <c r="H113" t="n">
        <v>0</v>
      </c>
      <c r="I113" t="n">
        <v>0</v>
      </c>
      <c r="J113" t="n">
        <v>0</v>
      </c>
      <c r="K113" t="n">
        <v>0</v>
      </c>
      <c r="L113" t="n">
        <v>0</v>
      </c>
      <c r="M113" t="n">
        <v>0</v>
      </c>
      <c r="N113" t="n">
        <v>0</v>
      </c>
      <c r="O113" t="n">
        <v>0</v>
      </c>
      <c r="P113" t="n">
        <v>0</v>
      </c>
      <c r="Q113" t="n">
        <v>0</v>
      </c>
      <c r="R113" s="2" t="inlineStr"/>
    </row>
    <row r="114" ht="15" customHeight="1">
      <c r="A114" t="inlineStr">
        <is>
          <t>A 17044-2025</t>
        </is>
      </c>
      <c r="B114" s="1" t="n">
        <v>45755.58891203703</v>
      </c>
      <c r="C114" s="1" t="n">
        <v>45933</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47728-2025</t>
        </is>
      </c>
      <c r="B115" s="1" t="n">
        <v>45931.63186342592</v>
      </c>
      <c r="C115" s="1" t="n">
        <v>45933</v>
      </c>
      <c r="D115" t="inlineStr">
        <is>
          <t>VÄSTRA GÖTALANDS LÄN</t>
        </is>
      </c>
      <c r="E115" t="inlineStr">
        <is>
          <t>ALE</t>
        </is>
      </c>
      <c r="G115" t="n">
        <v>1.1</v>
      </c>
      <c r="H115" t="n">
        <v>0</v>
      </c>
      <c r="I115" t="n">
        <v>0</v>
      </c>
      <c r="J115" t="n">
        <v>0</v>
      </c>
      <c r="K115" t="n">
        <v>0</v>
      </c>
      <c r="L115" t="n">
        <v>0</v>
      </c>
      <c r="M115" t="n">
        <v>0</v>
      </c>
      <c r="N115" t="n">
        <v>0</v>
      </c>
      <c r="O115" t="n">
        <v>0</v>
      </c>
      <c r="P115" t="n">
        <v>0</v>
      </c>
      <c r="Q115" t="n">
        <v>0</v>
      </c>
      <c r="R115" s="2" t="inlineStr"/>
    </row>
    <row r="116" ht="15" customHeight="1">
      <c r="A116" t="inlineStr">
        <is>
          <t>A 47593-2025</t>
        </is>
      </c>
      <c r="B116" s="1" t="n">
        <v>45931.4480787037</v>
      </c>
      <c r="C116" s="1" t="n">
        <v>45933</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47592-2025</t>
        </is>
      </c>
      <c r="B117" s="1" t="n">
        <v>45931.44649305556</v>
      </c>
      <c r="C117" s="1" t="n">
        <v>45933</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46227-2025</t>
        </is>
      </c>
      <c r="B118" s="1" t="n">
        <v>45924.90386574074</v>
      </c>
      <c r="C118" s="1" t="n">
        <v>45933</v>
      </c>
      <c r="D118" t="inlineStr">
        <is>
          <t>VÄSTRA GÖTALANDS LÄN</t>
        </is>
      </c>
      <c r="E118" t="inlineStr">
        <is>
          <t>ALE</t>
        </is>
      </c>
      <c r="G118" t="n">
        <v>0.3</v>
      </c>
      <c r="H118" t="n">
        <v>0</v>
      </c>
      <c r="I118" t="n">
        <v>0</v>
      </c>
      <c r="J118" t="n">
        <v>0</v>
      </c>
      <c r="K118" t="n">
        <v>0</v>
      </c>
      <c r="L118" t="n">
        <v>0</v>
      </c>
      <c r="M118" t="n">
        <v>0</v>
      </c>
      <c r="N118" t="n">
        <v>0</v>
      </c>
      <c r="O118" t="n">
        <v>0</v>
      </c>
      <c r="P118" t="n">
        <v>0</v>
      </c>
      <c r="Q118" t="n">
        <v>0</v>
      </c>
      <c r="R118" s="2" t="inlineStr"/>
    </row>
    <row r="119" ht="15" customHeight="1">
      <c r="A119" t="inlineStr">
        <is>
          <t>A 46084-2025</t>
        </is>
      </c>
      <c r="B119" s="1" t="n">
        <v>45924.51282407407</v>
      </c>
      <c r="C119" s="1" t="n">
        <v>45933</v>
      </c>
      <c r="D119" t="inlineStr">
        <is>
          <t>VÄSTRA GÖTALANDS LÄN</t>
        </is>
      </c>
      <c r="E119" t="inlineStr">
        <is>
          <t>ALE</t>
        </is>
      </c>
      <c r="G119" t="n">
        <v>4.2</v>
      </c>
      <c r="H119" t="n">
        <v>0</v>
      </c>
      <c r="I119" t="n">
        <v>0</v>
      </c>
      <c r="J119" t="n">
        <v>0</v>
      </c>
      <c r="K119" t="n">
        <v>0</v>
      </c>
      <c r="L119" t="n">
        <v>0</v>
      </c>
      <c r="M119" t="n">
        <v>0</v>
      </c>
      <c r="N119" t="n">
        <v>0</v>
      </c>
      <c r="O119" t="n">
        <v>0</v>
      </c>
      <c r="P119" t="n">
        <v>0</v>
      </c>
      <c r="Q119" t="n">
        <v>0</v>
      </c>
      <c r="R119" s="2" t="inlineStr"/>
    </row>
    <row r="120" ht="15" customHeight="1">
      <c r="A120" t="inlineStr">
        <is>
          <t>A 34104-2024</t>
        </is>
      </c>
      <c r="B120" s="1" t="n">
        <v>45523.79202546296</v>
      </c>
      <c r="C120" s="1" t="n">
        <v>45933</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44858.47591435185</v>
      </c>
      <c r="C121" s="1" t="n">
        <v>45933</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18999-2021</t>
        </is>
      </c>
      <c r="B122" s="1" t="n">
        <v>44308</v>
      </c>
      <c r="C122" s="1" t="n">
        <v>45933</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49955-2021</t>
        </is>
      </c>
      <c r="B123" s="1" t="n">
        <v>44456</v>
      </c>
      <c r="C123" s="1" t="n">
        <v>45933</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34153-2024</t>
        </is>
      </c>
      <c r="B124" s="1" t="n">
        <v>45524.38400462963</v>
      </c>
      <c r="C124" s="1" t="n">
        <v>45933</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1687-2024</t>
        </is>
      </c>
      <c r="B125" s="1" t="n">
        <v>45306</v>
      </c>
      <c r="C125" s="1" t="n">
        <v>45933</v>
      </c>
      <c r="D125" t="inlineStr">
        <is>
          <t>VÄSTRA GÖTALANDS LÄN</t>
        </is>
      </c>
      <c r="E125" t="inlineStr">
        <is>
          <t>ALE</t>
        </is>
      </c>
      <c r="G125" t="n">
        <v>3.4</v>
      </c>
      <c r="H125" t="n">
        <v>0</v>
      </c>
      <c r="I125" t="n">
        <v>0</v>
      </c>
      <c r="J125" t="n">
        <v>0</v>
      </c>
      <c r="K125" t="n">
        <v>0</v>
      </c>
      <c r="L125" t="n">
        <v>0</v>
      </c>
      <c r="M125" t="n">
        <v>0</v>
      </c>
      <c r="N125" t="n">
        <v>0</v>
      </c>
      <c r="O125" t="n">
        <v>0</v>
      </c>
      <c r="P125" t="n">
        <v>0</v>
      </c>
      <c r="Q125" t="n">
        <v>0</v>
      </c>
      <c r="R125" s="2" t="inlineStr"/>
    </row>
    <row r="126" ht="15" customHeight="1">
      <c r="A126" t="inlineStr">
        <is>
          <t>A 41309-2024</t>
        </is>
      </c>
      <c r="B126" s="1" t="n">
        <v>45559</v>
      </c>
      <c r="C126" s="1" t="n">
        <v>45933</v>
      </c>
      <c r="D126" t="inlineStr">
        <is>
          <t>VÄSTRA GÖTALANDS LÄN</t>
        </is>
      </c>
      <c r="E126" t="inlineStr">
        <is>
          <t>ALE</t>
        </is>
      </c>
      <c r="G126" t="n">
        <v>8.4</v>
      </c>
      <c r="H126" t="n">
        <v>0</v>
      </c>
      <c r="I126" t="n">
        <v>0</v>
      </c>
      <c r="J126" t="n">
        <v>0</v>
      </c>
      <c r="K126" t="n">
        <v>0</v>
      </c>
      <c r="L126" t="n">
        <v>0</v>
      </c>
      <c r="M126" t="n">
        <v>0</v>
      </c>
      <c r="N126" t="n">
        <v>0</v>
      </c>
      <c r="O126" t="n">
        <v>0</v>
      </c>
      <c r="P126" t="n">
        <v>0</v>
      </c>
      <c r="Q126" t="n">
        <v>0</v>
      </c>
      <c r="R126" s="2" t="inlineStr"/>
    </row>
    <row r="127" ht="15" customHeight="1">
      <c r="A127" t="inlineStr">
        <is>
          <t>A 50451-2024</t>
        </is>
      </c>
      <c r="B127" s="1" t="n">
        <v>45601.44248842593</v>
      </c>
      <c r="C127" s="1" t="n">
        <v>45933</v>
      </c>
      <c r="D127" t="inlineStr">
        <is>
          <t>VÄSTRA GÖTALANDS LÄN</t>
        </is>
      </c>
      <c r="E127" t="inlineStr">
        <is>
          <t>ALE</t>
        </is>
      </c>
      <c r="G127" t="n">
        <v>2.9</v>
      </c>
      <c r="H127" t="n">
        <v>0</v>
      </c>
      <c r="I127" t="n">
        <v>0</v>
      </c>
      <c r="J127" t="n">
        <v>0</v>
      </c>
      <c r="K127" t="n">
        <v>0</v>
      </c>
      <c r="L127" t="n">
        <v>0</v>
      </c>
      <c r="M127" t="n">
        <v>0</v>
      </c>
      <c r="N127" t="n">
        <v>0</v>
      </c>
      <c r="O127" t="n">
        <v>0</v>
      </c>
      <c r="P127" t="n">
        <v>0</v>
      </c>
      <c r="Q127" t="n">
        <v>0</v>
      </c>
      <c r="R127" s="2" t="inlineStr"/>
    </row>
    <row r="128" ht="15" customHeight="1">
      <c r="A128" t="inlineStr">
        <is>
          <t>A 49680-2024</t>
        </is>
      </c>
      <c r="B128" s="1" t="n">
        <v>45596.66880787037</v>
      </c>
      <c r="C128" s="1" t="n">
        <v>45933</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15499-2022</t>
        </is>
      </c>
      <c r="B129" s="1" t="n">
        <v>44662</v>
      </c>
      <c r="C129" s="1" t="n">
        <v>45933</v>
      </c>
      <c r="D129" t="inlineStr">
        <is>
          <t>VÄSTRA GÖTALANDS LÄN</t>
        </is>
      </c>
      <c r="E129" t="inlineStr">
        <is>
          <t>ALE</t>
        </is>
      </c>
      <c r="G129" t="n">
        <v>4.7</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45933</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27314-2021</t>
        </is>
      </c>
      <c r="B131" s="1" t="n">
        <v>44351.36537037037</v>
      </c>
      <c r="C131" s="1" t="n">
        <v>45933</v>
      </c>
      <c r="D131" t="inlineStr">
        <is>
          <t>VÄSTRA GÖTALANDS LÄN</t>
        </is>
      </c>
      <c r="E131" t="inlineStr">
        <is>
          <t>ALE</t>
        </is>
      </c>
      <c r="G131" t="n">
        <v>11.3</v>
      </c>
      <c r="H131" t="n">
        <v>0</v>
      </c>
      <c r="I131" t="n">
        <v>0</v>
      </c>
      <c r="J131" t="n">
        <v>0</v>
      </c>
      <c r="K131" t="n">
        <v>0</v>
      </c>
      <c r="L131" t="n">
        <v>0</v>
      </c>
      <c r="M131" t="n">
        <v>0</v>
      </c>
      <c r="N131" t="n">
        <v>0</v>
      </c>
      <c r="O131" t="n">
        <v>0</v>
      </c>
      <c r="P131" t="n">
        <v>0</v>
      </c>
      <c r="Q131" t="n">
        <v>0</v>
      </c>
      <c r="R131" s="2" t="inlineStr"/>
    </row>
    <row r="132" ht="15" customHeight="1">
      <c r="A132" t="inlineStr">
        <is>
          <t>A 57473-2022</t>
        </is>
      </c>
      <c r="B132" s="1" t="n">
        <v>44896</v>
      </c>
      <c r="C132" s="1" t="n">
        <v>45933</v>
      </c>
      <c r="D132" t="inlineStr">
        <is>
          <t>VÄSTRA GÖTALANDS LÄN</t>
        </is>
      </c>
      <c r="E132" t="inlineStr">
        <is>
          <t>ALE</t>
        </is>
      </c>
      <c r="G132" t="n">
        <v>0.7</v>
      </c>
      <c r="H132" t="n">
        <v>0</v>
      </c>
      <c r="I132" t="n">
        <v>0</v>
      </c>
      <c r="J132" t="n">
        <v>0</v>
      </c>
      <c r="K132" t="n">
        <v>0</v>
      </c>
      <c r="L132" t="n">
        <v>0</v>
      </c>
      <c r="M132" t="n">
        <v>0</v>
      </c>
      <c r="N132" t="n">
        <v>0</v>
      </c>
      <c r="O132" t="n">
        <v>0</v>
      </c>
      <c r="P132" t="n">
        <v>0</v>
      </c>
      <c r="Q132" t="n">
        <v>0</v>
      </c>
      <c r="R132" s="2" t="inlineStr"/>
    </row>
    <row r="133" ht="15" customHeight="1">
      <c r="A133" t="inlineStr">
        <is>
          <t>A 1960-2024</t>
        </is>
      </c>
      <c r="B133" s="1" t="n">
        <v>45308.50962962963</v>
      </c>
      <c r="C133" s="1" t="n">
        <v>45933</v>
      </c>
      <c r="D133" t="inlineStr">
        <is>
          <t>VÄSTRA GÖTALANDS LÄN</t>
        </is>
      </c>
      <c r="E133" t="inlineStr">
        <is>
          <t>ALE</t>
        </is>
      </c>
      <c r="G133" t="n">
        <v>1.9</v>
      </c>
      <c r="H133" t="n">
        <v>0</v>
      </c>
      <c r="I133" t="n">
        <v>0</v>
      </c>
      <c r="J133" t="n">
        <v>0</v>
      </c>
      <c r="K133" t="n">
        <v>0</v>
      </c>
      <c r="L133" t="n">
        <v>0</v>
      </c>
      <c r="M133" t="n">
        <v>0</v>
      </c>
      <c r="N133" t="n">
        <v>0</v>
      </c>
      <c r="O133" t="n">
        <v>0</v>
      </c>
      <c r="P133" t="n">
        <v>0</v>
      </c>
      <c r="Q133" t="n">
        <v>0</v>
      </c>
      <c r="R133" s="2" t="inlineStr"/>
    </row>
    <row r="134" ht="15" customHeight="1">
      <c r="A134" t="inlineStr">
        <is>
          <t>A 3418-2023</t>
        </is>
      </c>
      <c r="B134" s="1" t="n">
        <v>44949.56182870371</v>
      </c>
      <c r="C134" s="1" t="n">
        <v>45933</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65226-2021</t>
        </is>
      </c>
      <c r="B135" s="1" t="n">
        <v>44515</v>
      </c>
      <c r="C135" s="1" t="n">
        <v>45933</v>
      </c>
      <c r="D135" t="inlineStr">
        <is>
          <t>VÄSTRA GÖTALANDS LÄN</t>
        </is>
      </c>
      <c r="E135" t="inlineStr">
        <is>
          <t>ALE</t>
        </is>
      </c>
      <c r="G135" t="n">
        <v>0.7</v>
      </c>
      <c r="H135" t="n">
        <v>0</v>
      </c>
      <c r="I135" t="n">
        <v>0</v>
      </c>
      <c r="J135" t="n">
        <v>0</v>
      </c>
      <c r="K135" t="n">
        <v>0</v>
      </c>
      <c r="L135" t="n">
        <v>0</v>
      </c>
      <c r="M135" t="n">
        <v>0</v>
      </c>
      <c r="N135" t="n">
        <v>0</v>
      </c>
      <c r="O135" t="n">
        <v>0</v>
      </c>
      <c r="P135" t="n">
        <v>0</v>
      </c>
      <c r="Q135" t="n">
        <v>0</v>
      </c>
      <c r="R135" s="2" t="inlineStr"/>
    </row>
    <row r="136" ht="15" customHeight="1">
      <c r="A136" t="inlineStr">
        <is>
          <t>A 12055-2022</t>
        </is>
      </c>
      <c r="B136" s="1" t="n">
        <v>44636</v>
      </c>
      <c r="C136" s="1" t="n">
        <v>45933</v>
      </c>
      <c r="D136" t="inlineStr">
        <is>
          <t>VÄSTRA GÖTALANDS LÄN</t>
        </is>
      </c>
      <c r="E136" t="inlineStr">
        <is>
          <t>ALE</t>
        </is>
      </c>
      <c r="G136" t="n">
        <v>0.2</v>
      </c>
      <c r="H136" t="n">
        <v>0</v>
      </c>
      <c r="I136" t="n">
        <v>0</v>
      </c>
      <c r="J136" t="n">
        <v>0</v>
      </c>
      <c r="K136" t="n">
        <v>0</v>
      </c>
      <c r="L136" t="n">
        <v>0</v>
      </c>
      <c r="M136" t="n">
        <v>0</v>
      </c>
      <c r="N136" t="n">
        <v>0</v>
      </c>
      <c r="O136" t="n">
        <v>0</v>
      </c>
      <c r="P136" t="n">
        <v>0</v>
      </c>
      <c r="Q136" t="n">
        <v>0</v>
      </c>
      <c r="R136" s="2" t="inlineStr"/>
    </row>
    <row r="137" ht="15" customHeight="1">
      <c r="A137" t="inlineStr">
        <is>
          <t>A 7807-2023</t>
        </is>
      </c>
      <c r="B137" s="1" t="n">
        <v>44973</v>
      </c>
      <c r="C137" s="1" t="n">
        <v>45933</v>
      </c>
      <c r="D137" t="inlineStr">
        <is>
          <t>VÄSTRA GÖTALANDS LÄN</t>
        </is>
      </c>
      <c r="E137" t="inlineStr">
        <is>
          <t>ALE</t>
        </is>
      </c>
      <c r="G137" t="n">
        <v>10.5</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45933</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3457-2022</t>
        </is>
      </c>
      <c r="B139" s="1" t="n">
        <v>44585</v>
      </c>
      <c r="C139" s="1" t="n">
        <v>45933</v>
      </c>
      <c r="D139" t="inlineStr">
        <is>
          <t>VÄSTRA GÖTALANDS LÄN</t>
        </is>
      </c>
      <c r="E139" t="inlineStr">
        <is>
          <t>ALE</t>
        </is>
      </c>
      <c r="G139" t="n">
        <v>5.1</v>
      </c>
      <c r="H139" t="n">
        <v>0</v>
      </c>
      <c r="I139" t="n">
        <v>0</v>
      </c>
      <c r="J139" t="n">
        <v>0</v>
      </c>
      <c r="K139" t="n">
        <v>0</v>
      </c>
      <c r="L139" t="n">
        <v>0</v>
      </c>
      <c r="M139" t="n">
        <v>0</v>
      </c>
      <c r="N139" t="n">
        <v>0</v>
      </c>
      <c r="O139" t="n">
        <v>0</v>
      </c>
      <c r="P139" t="n">
        <v>0</v>
      </c>
      <c r="Q139" t="n">
        <v>0</v>
      </c>
      <c r="R139" s="2" t="inlineStr"/>
    </row>
    <row r="140" ht="15" customHeight="1">
      <c r="A140" t="inlineStr">
        <is>
          <t>A 42446-2023</t>
        </is>
      </c>
      <c r="B140" s="1" t="n">
        <v>45180</v>
      </c>
      <c r="C140" s="1" t="n">
        <v>45933</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69325-2020</t>
        </is>
      </c>
      <c r="B141" s="1" t="n">
        <v>44193</v>
      </c>
      <c r="C141" s="1" t="n">
        <v>45933</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67160-2021</t>
        </is>
      </c>
      <c r="B142" s="1" t="n">
        <v>44523</v>
      </c>
      <c r="C142" s="1" t="n">
        <v>45933</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45933</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32762-2023</t>
        </is>
      </c>
      <c r="B144" s="1" t="n">
        <v>45123.46649305556</v>
      </c>
      <c r="C144" s="1" t="n">
        <v>45933</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5916-2023</t>
        </is>
      </c>
      <c r="B145" s="1" t="n">
        <v>44963</v>
      </c>
      <c r="C145" s="1" t="n">
        <v>45933</v>
      </c>
      <c r="D145" t="inlineStr">
        <is>
          <t>VÄSTRA GÖTALANDS LÄN</t>
        </is>
      </c>
      <c r="E145" t="inlineStr">
        <is>
          <t>ALE</t>
        </is>
      </c>
      <c r="G145" t="n">
        <v>4.2</v>
      </c>
      <c r="H145" t="n">
        <v>0</v>
      </c>
      <c r="I145" t="n">
        <v>0</v>
      </c>
      <c r="J145" t="n">
        <v>0</v>
      </c>
      <c r="K145" t="n">
        <v>0</v>
      </c>
      <c r="L145" t="n">
        <v>0</v>
      </c>
      <c r="M145" t="n">
        <v>0</v>
      </c>
      <c r="N145" t="n">
        <v>0</v>
      </c>
      <c r="O145" t="n">
        <v>0</v>
      </c>
      <c r="P145" t="n">
        <v>0</v>
      </c>
      <c r="Q145" t="n">
        <v>0</v>
      </c>
      <c r="R145" s="2" t="inlineStr"/>
    </row>
    <row r="146" ht="15" customHeight="1">
      <c r="A146" t="inlineStr">
        <is>
          <t>A 4363-2024</t>
        </is>
      </c>
      <c r="B146" s="1" t="n">
        <v>45325</v>
      </c>
      <c r="C146" s="1" t="n">
        <v>45933</v>
      </c>
      <c r="D146" t="inlineStr">
        <is>
          <t>VÄSTRA GÖTALANDS LÄN</t>
        </is>
      </c>
      <c r="E146" t="inlineStr">
        <is>
          <t>ALE</t>
        </is>
      </c>
      <c r="G146" t="n">
        <v>0.6</v>
      </c>
      <c r="H146" t="n">
        <v>0</v>
      </c>
      <c r="I146" t="n">
        <v>0</v>
      </c>
      <c r="J146" t="n">
        <v>0</v>
      </c>
      <c r="K146" t="n">
        <v>0</v>
      </c>
      <c r="L146" t="n">
        <v>0</v>
      </c>
      <c r="M146" t="n">
        <v>0</v>
      </c>
      <c r="N146" t="n">
        <v>0</v>
      </c>
      <c r="O146" t="n">
        <v>0</v>
      </c>
      <c r="P146" t="n">
        <v>0</v>
      </c>
      <c r="Q146" t="n">
        <v>0</v>
      </c>
      <c r="R146" s="2" t="inlineStr"/>
    </row>
    <row r="147" ht="15" customHeight="1">
      <c r="A147" t="inlineStr">
        <is>
          <t>A 16601-2025</t>
        </is>
      </c>
      <c r="B147" s="1" t="n">
        <v>45753.53189814815</v>
      </c>
      <c r="C147" s="1" t="n">
        <v>45933</v>
      </c>
      <c r="D147" t="inlineStr">
        <is>
          <t>VÄSTRA GÖTALANDS LÄN</t>
        </is>
      </c>
      <c r="E147" t="inlineStr">
        <is>
          <t>ALE</t>
        </is>
      </c>
      <c r="G147" t="n">
        <v>1.7</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45933</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1500-2024</t>
        </is>
      </c>
      <c r="B149" s="1" t="n">
        <v>45306</v>
      </c>
      <c r="C149" s="1" t="n">
        <v>45933</v>
      </c>
      <c r="D149" t="inlineStr">
        <is>
          <t>VÄSTRA GÖTALANDS LÄN</t>
        </is>
      </c>
      <c r="E149" t="inlineStr">
        <is>
          <t>ALE</t>
        </is>
      </c>
      <c r="G149" t="n">
        <v>1.3</v>
      </c>
      <c r="H149" t="n">
        <v>0</v>
      </c>
      <c r="I149" t="n">
        <v>0</v>
      </c>
      <c r="J149" t="n">
        <v>0</v>
      </c>
      <c r="K149" t="n">
        <v>0</v>
      </c>
      <c r="L149" t="n">
        <v>0</v>
      </c>
      <c r="M149" t="n">
        <v>0</v>
      </c>
      <c r="N149" t="n">
        <v>0</v>
      </c>
      <c r="O149" t="n">
        <v>0</v>
      </c>
      <c r="P149" t="n">
        <v>0</v>
      </c>
      <c r="Q149" t="n">
        <v>0</v>
      </c>
      <c r="R149" s="2" t="inlineStr"/>
    </row>
    <row r="150" ht="15" customHeight="1">
      <c r="A150" t="inlineStr">
        <is>
          <t>A 6916-2023</t>
        </is>
      </c>
      <c r="B150" s="1" t="n">
        <v>44967.53349537037</v>
      </c>
      <c r="C150" s="1" t="n">
        <v>45933</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64199-2021</t>
        </is>
      </c>
      <c r="B151" s="1" t="n">
        <v>44510</v>
      </c>
      <c r="C151" s="1" t="n">
        <v>45933</v>
      </c>
      <c r="D151" t="inlineStr">
        <is>
          <t>VÄSTRA GÖTALANDS LÄN</t>
        </is>
      </c>
      <c r="E151" t="inlineStr">
        <is>
          <t>ALE</t>
        </is>
      </c>
      <c r="G151" t="n">
        <v>5.7</v>
      </c>
      <c r="H151" t="n">
        <v>0</v>
      </c>
      <c r="I151" t="n">
        <v>0</v>
      </c>
      <c r="J151" t="n">
        <v>0</v>
      </c>
      <c r="K151" t="n">
        <v>0</v>
      </c>
      <c r="L151" t="n">
        <v>0</v>
      </c>
      <c r="M151" t="n">
        <v>0</v>
      </c>
      <c r="N151" t="n">
        <v>0</v>
      </c>
      <c r="O151" t="n">
        <v>0</v>
      </c>
      <c r="P151" t="n">
        <v>0</v>
      </c>
      <c r="Q151" t="n">
        <v>0</v>
      </c>
      <c r="R151" s="2" t="inlineStr"/>
    </row>
    <row r="152" ht="15" customHeight="1">
      <c r="A152" t="inlineStr">
        <is>
          <t>A 15582-2025</t>
        </is>
      </c>
      <c r="B152" s="1" t="n">
        <v>45747.81394675926</v>
      </c>
      <c r="C152" s="1" t="n">
        <v>45933</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22946-2025</t>
        </is>
      </c>
      <c r="B153" s="1" t="n">
        <v>45790.48229166667</v>
      </c>
      <c r="C153" s="1" t="n">
        <v>45933</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4971-2024</t>
        </is>
      </c>
      <c r="B154" s="1" t="n">
        <v>45329</v>
      </c>
      <c r="C154" s="1" t="n">
        <v>45933</v>
      </c>
      <c r="D154" t="inlineStr">
        <is>
          <t>VÄSTRA GÖTALANDS LÄN</t>
        </is>
      </c>
      <c r="E154" t="inlineStr">
        <is>
          <t>ALE</t>
        </is>
      </c>
      <c r="G154" t="n">
        <v>2.2</v>
      </c>
      <c r="H154" t="n">
        <v>0</v>
      </c>
      <c r="I154" t="n">
        <v>0</v>
      </c>
      <c r="J154" t="n">
        <v>0</v>
      </c>
      <c r="K154" t="n">
        <v>0</v>
      </c>
      <c r="L154" t="n">
        <v>0</v>
      </c>
      <c r="M154" t="n">
        <v>0</v>
      </c>
      <c r="N154" t="n">
        <v>0</v>
      </c>
      <c r="O154" t="n">
        <v>0</v>
      </c>
      <c r="P154" t="n">
        <v>0</v>
      </c>
      <c r="Q154" t="n">
        <v>0</v>
      </c>
      <c r="R154" s="2" t="inlineStr"/>
    </row>
    <row r="155" ht="15" customHeight="1">
      <c r="A155" t="inlineStr">
        <is>
          <t>A 37461-2024</t>
        </is>
      </c>
      <c r="B155" s="1" t="n">
        <v>45540.72516203704</v>
      </c>
      <c r="C155" s="1" t="n">
        <v>45933</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25849-2025</t>
        </is>
      </c>
      <c r="B156" s="1" t="n">
        <v>45804</v>
      </c>
      <c r="C156" s="1" t="n">
        <v>45933</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25848-2025</t>
        </is>
      </c>
      <c r="B157" s="1" t="n">
        <v>45804</v>
      </c>
      <c r="C157" s="1" t="n">
        <v>45933</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c r="A158" t="inlineStr">
        <is>
          <t>A 25840-2025</t>
        </is>
      </c>
      <c r="B158" s="1" t="n">
        <v>45804</v>
      </c>
      <c r="C158" s="1" t="n">
        <v>45933</v>
      </c>
      <c r="D158" t="inlineStr">
        <is>
          <t>VÄSTRA GÖTALANDS LÄN</t>
        </is>
      </c>
      <c r="E158" t="inlineStr">
        <is>
          <t>ALE</t>
        </is>
      </c>
      <c r="G158" t="n">
        <v>3.8</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2025-10-03T12:34:15Z</dcterms:created>
  <dcterms:modified xmlns:dcterms="http://purl.org/dc/terms/" xmlns:xsi="http://www.w3.org/2001/XMLSchema-instance" xsi:type="dcterms:W3CDTF">2025-10-03T12:34:15Z</dcterms:modified>
</cp:coreProperties>
</file>