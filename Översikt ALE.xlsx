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45974</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45974</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45974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45974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45974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45974</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45974</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45974</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45974</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32849-2023</t>
        </is>
      </c>
      <c r="B14" s="1" t="n">
        <v>45124</v>
      </c>
      <c r="C14" s="1" t="n">
        <v>45974</v>
      </c>
      <c r="D14" t="inlineStr">
        <is>
          <t>VÄSTRA GÖTALANDS LÄN</t>
        </is>
      </c>
      <c r="E14" t="inlineStr">
        <is>
          <t>ALE</t>
        </is>
      </c>
      <c r="G14" t="n">
        <v>5.6</v>
      </c>
      <c r="H14" t="n">
        <v>2</v>
      </c>
      <c r="I14" t="n">
        <v>6</v>
      </c>
      <c r="J14" t="n">
        <v>1</v>
      </c>
      <c r="K14" t="n">
        <v>0</v>
      </c>
      <c r="L14" t="n">
        <v>0</v>
      </c>
      <c r="M14" t="n">
        <v>0</v>
      </c>
      <c r="N14" t="n">
        <v>0</v>
      </c>
      <c r="O14" t="n">
        <v>1</v>
      </c>
      <c r="P14" t="n">
        <v>0</v>
      </c>
      <c r="Q14" t="n">
        <v>8</v>
      </c>
      <c r="R14" s="2" t="inlineStr">
        <is>
          <t>Spillkråka
Blåmossa
Kornknutmossa
Sotriska
Stor revmossa
Stubbspretmossa
Västlig hakmossa
Vanlig groda</t>
        </is>
      </c>
      <c r="S14">
        <f>HYPERLINK("https://klasma.github.io/Logging_1440/artfynd/A 32849-2023 artfynd.xlsx", "A 32849-2023")</f>
        <v/>
      </c>
      <c r="T14">
        <f>HYPERLINK("https://klasma.github.io/Logging_1440/kartor/A 32849-2023 karta.png", "A 32849-2023")</f>
        <v/>
      </c>
      <c r="V14">
        <f>HYPERLINK("https://klasma.github.io/Logging_1440/klagomål/A 32849-2023 FSC-klagomål.docx", "A 32849-2023")</f>
        <v/>
      </c>
      <c r="W14">
        <f>HYPERLINK("https://klasma.github.io/Logging_1440/klagomålsmail/A 32849-2023 FSC-klagomål mail.docx", "A 32849-2023")</f>
        <v/>
      </c>
      <c r="X14">
        <f>HYPERLINK("https://klasma.github.io/Logging_1440/tillsyn/A 32849-2023 tillsynsbegäran.docx", "A 32849-2023")</f>
        <v/>
      </c>
      <c r="Y14">
        <f>HYPERLINK("https://klasma.github.io/Logging_1440/tillsynsmail/A 32849-2023 tillsynsbegäran mail.docx", "A 32849-2023")</f>
        <v/>
      </c>
      <c r="Z14">
        <f>HYPERLINK("https://klasma.github.io/Logging_1440/fåglar/A 32849-2023 prioriterade fågelarter.docx", "A 32849-2023")</f>
        <v/>
      </c>
    </row>
    <row r="15" ht="15" customHeight="1">
      <c r="A15" t="inlineStr">
        <is>
          <t>A 37005-2025</t>
        </is>
      </c>
      <c r="B15" s="1" t="n">
        <v>45874.69311342593</v>
      </c>
      <c r="C15" s="1" t="n">
        <v>45974</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45974</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45974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45974</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24162-2025</t>
        </is>
      </c>
      <c r="B19" s="1" t="n">
        <v>45796.66684027778</v>
      </c>
      <c r="C19" s="1" t="n">
        <v>45974</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563-2024</t>
        </is>
      </c>
      <c r="B20" s="1" t="n">
        <v>45299</v>
      </c>
      <c r="C20" s="1" t="n">
        <v>45974</v>
      </c>
      <c r="D20" t="inlineStr">
        <is>
          <t>VÄSTRA GÖTALANDS LÄN</t>
        </is>
      </c>
      <c r="E20" t="inlineStr">
        <is>
          <t>ALE</t>
        </is>
      </c>
      <c r="F20" t="inlineStr">
        <is>
          <t>Kyrkan</t>
        </is>
      </c>
      <c r="G20" t="n">
        <v>26</v>
      </c>
      <c r="H20" t="n">
        <v>4</v>
      </c>
      <c r="I20" t="n">
        <v>1</v>
      </c>
      <c r="J20" t="n">
        <v>3</v>
      </c>
      <c r="K20" t="n">
        <v>0</v>
      </c>
      <c r="L20" t="n">
        <v>0</v>
      </c>
      <c r="M20" t="n">
        <v>0</v>
      </c>
      <c r="N20" t="n">
        <v>0</v>
      </c>
      <c r="O20" t="n">
        <v>3</v>
      </c>
      <c r="P20" t="n">
        <v>0</v>
      </c>
      <c r="Q20" t="n">
        <v>6</v>
      </c>
      <c r="R20" s="2" t="inlineStr">
        <is>
          <t>Kortskaftad ärgspik
Spillkråka
Talltita
Björksplintborre
Tjäder
Revlummer</t>
        </is>
      </c>
      <c r="S20">
        <f>HYPERLINK("https://klasma.github.io/Logging_1440/artfynd/A 563-2024 artfynd.xlsx", "A 563-2024")</f>
        <v/>
      </c>
      <c r="T20">
        <f>HYPERLINK("https://klasma.github.io/Logging_1440/kartor/A 563-2024 karta.png", "A 563-2024")</f>
        <v/>
      </c>
      <c r="V20">
        <f>HYPERLINK("https://klasma.github.io/Logging_1440/klagomål/A 563-2024 FSC-klagomål.docx", "A 563-2024")</f>
        <v/>
      </c>
      <c r="W20">
        <f>HYPERLINK("https://klasma.github.io/Logging_1440/klagomålsmail/A 563-2024 FSC-klagomål mail.docx", "A 563-2024")</f>
        <v/>
      </c>
      <c r="X20">
        <f>HYPERLINK("https://klasma.github.io/Logging_1440/tillsyn/A 563-2024 tillsynsbegäran.docx", "A 563-2024")</f>
        <v/>
      </c>
      <c r="Y20">
        <f>HYPERLINK("https://klasma.github.io/Logging_1440/tillsynsmail/A 563-2024 tillsynsbegäran mail.docx", "A 563-2024")</f>
        <v/>
      </c>
      <c r="Z20">
        <f>HYPERLINK("https://klasma.github.io/Logging_1440/fåglar/A 563-2024 prioriterade fågelarter.docx", "A 563-2024")</f>
        <v/>
      </c>
    </row>
    <row r="21" ht="15" customHeight="1">
      <c r="A21" t="inlineStr">
        <is>
          <t>A 26491-2024</t>
        </is>
      </c>
      <c r="B21" s="1" t="n">
        <v>45469</v>
      </c>
      <c r="C21" s="1" t="n">
        <v>45974</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45974</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45974</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45974</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63569-2023</t>
        </is>
      </c>
      <c r="B25" s="1" t="n">
        <v>45275</v>
      </c>
      <c r="C25" s="1" t="n">
        <v>45974</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8955-2025</t>
        </is>
      </c>
      <c r="B26" s="1" t="n">
        <v>45713.46528935185</v>
      </c>
      <c r="C26" s="1" t="n">
        <v>45974</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45974</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58954-2022</t>
        </is>
      </c>
      <c r="B28" s="1" t="n">
        <v>44903</v>
      </c>
      <c r="C28" s="1" t="n">
        <v>45974</v>
      </c>
      <c r="D28" t="inlineStr">
        <is>
          <t>VÄSTRA GÖTALANDS LÄN</t>
        </is>
      </c>
      <c r="E28" t="inlineStr">
        <is>
          <t>ALE</t>
        </is>
      </c>
      <c r="G28" t="n">
        <v>2.3</v>
      </c>
      <c r="H28" t="n">
        <v>1</v>
      </c>
      <c r="I28" t="n">
        <v>1</v>
      </c>
      <c r="J28" t="n">
        <v>1</v>
      </c>
      <c r="K28" t="n">
        <v>0</v>
      </c>
      <c r="L28" t="n">
        <v>0</v>
      </c>
      <c r="M28" t="n">
        <v>0</v>
      </c>
      <c r="N28" t="n">
        <v>0</v>
      </c>
      <c r="O28" t="n">
        <v>1</v>
      </c>
      <c r="P28" t="n">
        <v>0</v>
      </c>
      <c r="Q28" t="n">
        <v>2</v>
      </c>
      <c r="R28" s="2" t="inlineStr">
        <is>
          <t>Spillkråka
Västlig hakmossa</t>
        </is>
      </c>
      <c r="S28">
        <f>HYPERLINK("https://klasma.github.io/Logging_1440/artfynd/A 58954-2022 artfynd.xlsx", "A 58954-2022")</f>
        <v/>
      </c>
      <c r="T28">
        <f>HYPERLINK("https://klasma.github.io/Logging_1440/kartor/A 58954-2022 karta.png", "A 58954-2022")</f>
        <v/>
      </c>
      <c r="V28">
        <f>HYPERLINK("https://klasma.github.io/Logging_1440/klagomål/A 58954-2022 FSC-klagomål.docx", "A 58954-2022")</f>
        <v/>
      </c>
      <c r="W28">
        <f>HYPERLINK("https://klasma.github.io/Logging_1440/klagomålsmail/A 58954-2022 FSC-klagomål mail.docx", "A 58954-2022")</f>
        <v/>
      </c>
      <c r="X28">
        <f>HYPERLINK("https://klasma.github.io/Logging_1440/tillsyn/A 58954-2022 tillsynsbegäran.docx", "A 58954-2022")</f>
        <v/>
      </c>
      <c r="Y28">
        <f>HYPERLINK("https://klasma.github.io/Logging_1440/tillsynsmail/A 58954-2022 tillsynsbegäran mail.docx", "A 58954-2022")</f>
        <v/>
      </c>
      <c r="Z28">
        <f>HYPERLINK("https://klasma.github.io/Logging_1440/fåglar/A 58954-2022 prioriterade fågelarter.docx", "A 58954-2022")</f>
        <v/>
      </c>
    </row>
    <row r="29" ht="15" customHeight="1">
      <c r="A29" t="inlineStr">
        <is>
          <t>A 1503-2024</t>
        </is>
      </c>
      <c r="B29" s="1" t="n">
        <v>45306.35041666667</v>
      </c>
      <c r="C29" s="1" t="n">
        <v>45974</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2270-2025</t>
        </is>
      </c>
      <c r="B30" s="1" t="n">
        <v>45673.54403935185</v>
      </c>
      <c r="C30" s="1" t="n">
        <v>45974</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13380-2025</t>
        </is>
      </c>
      <c r="B31" s="1" t="n">
        <v>45735.6765162037</v>
      </c>
      <c r="C31" s="1" t="n">
        <v>45974</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40931-2025</t>
        </is>
      </c>
      <c r="B32" s="1" t="n">
        <v>45897.64783564815</v>
      </c>
      <c r="C32" s="1" t="n">
        <v>45974</v>
      </c>
      <c r="D32" t="inlineStr">
        <is>
          <t>VÄSTRA GÖTALANDS LÄN</t>
        </is>
      </c>
      <c r="E32" t="inlineStr">
        <is>
          <t>ALE</t>
        </is>
      </c>
      <c r="G32" t="n">
        <v>4.3</v>
      </c>
      <c r="H32" t="n">
        <v>1</v>
      </c>
      <c r="I32" t="n">
        <v>1</v>
      </c>
      <c r="J32" t="n">
        <v>1</v>
      </c>
      <c r="K32" t="n">
        <v>0</v>
      </c>
      <c r="L32" t="n">
        <v>0</v>
      </c>
      <c r="M32" t="n">
        <v>0</v>
      </c>
      <c r="N32" t="n">
        <v>0</v>
      </c>
      <c r="O32" t="n">
        <v>1</v>
      </c>
      <c r="P32" t="n">
        <v>0</v>
      </c>
      <c r="Q32" t="n">
        <v>2</v>
      </c>
      <c r="R32" s="2" t="inlineStr">
        <is>
          <t>Spillkråka
Blåmossa</t>
        </is>
      </c>
      <c r="S32">
        <f>HYPERLINK("https://klasma.github.io/Logging_1440/artfynd/A 40931-2025 artfynd.xlsx", "A 40931-2025")</f>
        <v/>
      </c>
      <c r="T32">
        <f>HYPERLINK("https://klasma.github.io/Logging_1440/kartor/A 40931-2025 karta.png", "A 40931-2025")</f>
        <v/>
      </c>
      <c r="V32">
        <f>HYPERLINK("https://klasma.github.io/Logging_1440/klagomål/A 40931-2025 FSC-klagomål.docx", "A 40931-2025")</f>
        <v/>
      </c>
      <c r="W32">
        <f>HYPERLINK("https://klasma.github.io/Logging_1440/klagomålsmail/A 40931-2025 FSC-klagomål mail.docx", "A 40931-2025")</f>
        <v/>
      </c>
      <c r="X32">
        <f>HYPERLINK("https://klasma.github.io/Logging_1440/tillsyn/A 40931-2025 tillsynsbegäran.docx", "A 40931-2025")</f>
        <v/>
      </c>
      <c r="Y32">
        <f>HYPERLINK("https://klasma.github.io/Logging_1440/tillsynsmail/A 40931-2025 tillsynsbegäran mail.docx", "A 40931-2025")</f>
        <v/>
      </c>
      <c r="Z32">
        <f>HYPERLINK("https://klasma.github.io/Logging_1440/fåglar/A 40931-2025 prioriterade fågelarter.docx", "A 40931-2025")</f>
        <v/>
      </c>
    </row>
    <row r="33" ht="15" customHeight="1">
      <c r="A33" t="inlineStr">
        <is>
          <t>A 16534-2025</t>
        </is>
      </c>
      <c r="B33" s="1" t="n">
        <v>45751.65315972222</v>
      </c>
      <c r="C33" s="1" t="n">
        <v>45974</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45974</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45974</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26677-2025</t>
        </is>
      </c>
      <c r="B37" s="1" t="n">
        <v>45810.42446759259</v>
      </c>
      <c r="C37" s="1" t="n">
        <v>45974</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13902-2025</t>
        </is>
      </c>
      <c r="B38" s="1" t="n">
        <v>45737.63446759259</v>
      </c>
      <c r="C38" s="1" t="n">
        <v>45974</v>
      </c>
      <c r="D38" t="inlineStr">
        <is>
          <t>VÄSTRA GÖTALANDS LÄN</t>
        </is>
      </c>
      <c r="E38" t="inlineStr">
        <is>
          <t>ALE</t>
        </is>
      </c>
      <c r="G38" t="n">
        <v>1.4</v>
      </c>
      <c r="H38" t="n">
        <v>1</v>
      </c>
      <c r="I38" t="n">
        <v>0</v>
      </c>
      <c r="J38" t="n">
        <v>1</v>
      </c>
      <c r="K38" t="n">
        <v>0</v>
      </c>
      <c r="L38" t="n">
        <v>0</v>
      </c>
      <c r="M38" t="n">
        <v>0</v>
      </c>
      <c r="N38" t="n">
        <v>0</v>
      </c>
      <c r="O38" t="n">
        <v>1</v>
      </c>
      <c r="P38" t="n">
        <v>0</v>
      </c>
      <c r="Q38" t="n">
        <v>1</v>
      </c>
      <c r="R38" s="2" t="inlineStr">
        <is>
          <t>Svartvit flugsnappare</t>
        </is>
      </c>
      <c r="S38">
        <f>HYPERLINK("https://klasma.github.io/Logging_1440/artfynd/A 13902-2025 artfynd.xlsx", "A 13902-2025")</f>
        <v/>
      </c>
      <c r="T38">
        <f>HYPERLINK("https://klasma.github.io/Logging_1440/kartor/A 13902-2025 karta.png", "A 13902-2025")</f>
        <v/>
      </c>
      <c r="V38">
        <f>HYPERLINK("https://klasma.github.io/Logging_1440/klagomål/A 13902-2025 FSC-klagomål.docx", "A 13902-2025")</f>
        <v/>
      </c>
      <c r="W38">
        <f>HYPERLINK("https://klasma.github.io/Logging_1440/klagomålsmail/A 13902-2025 FSC-klagomål mail.docx", "A 13902-2025")</f>
        <v/>
      </c>
      <c r="X38">
        <f>HYPERLINK("https://klasma.github.io/Logging_1440/tillsyn/A 13902-2025 tillsynsbegäran.docx", "A 13902-2025")</f>
        <v/>
      </c>
      <c r="Y38">
        <f>HYPERLINK("https://klasma.github.io/Logging_1440/tillsynsmail/A 13902-2025 tillsynsbegäran mail.docx", "A 13902-2025")</f>
        <v/>
      </c>
      <c r="Z38">
        <f>HYPERLINK("https://klasma.github.io/Logging_1440/fåglar/A 13902-2025 prioriterade fågelarter.docx", "A 13902-2025")</f>
        <v/>
      </c>
    </row>
    <row r="39" ht="15" customHeight="1">
      <c r="A39" t="inlineStr">
        <is>
          <t>A 12084-2025</t>
        </is>
      </c>
      <c r="B39" s="1" t="n">
        <v>45728.95387731482</v>
      </c>
      <c r="C39" s="1" t="n">
        <v>45974</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45974</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21281-2021</t>
        </is>
      </c>
      <c r="B41" s="1" t="n">
        <v>44320.61850694445</v>
      </c>
      <c r="C41" s="1" t="n">
        <v>45974</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45974</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45974</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45974</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45974</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45974</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45974</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45974</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45974</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45974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45974</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45974</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45974</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45974</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45974</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65222-2021</t>
        </is>
      </c>
      <c r="B56" s="1" t="n">
        <v>44515</v>
      </c>
      <c r="C56" s="1" t="n">
        <v>45974</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45974</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22138-2021</t>
        </is>
      </c>
      <c r="B58" s="1" t="n">
        <v>44324.67472222223</v>
      </c>
      <c r="C58" s="1" t="n">
        <v>45974</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45974</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45974</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46391-2021</t>
        </is>
      </c>
      <c r="B61" s="1" t="n">
        <v>44443</v>
      </c>
      <c r="C61" s="1" t="n">
        <v>45974</v>
      </c>
      <c r="D61" t="inlineStr">
        <is>
          <t>VÄSTRA GÖTALANDS LÄN</t>
        </is>
      </c>
      <c r="E61" t="inlineStr">
        <is>
          <t>ALE</t>
        </is>
      </c>
      <c r="G61" t="n">
        <v>1.3</v>
      </c>
      <c r="H61" t="n">
        <v>0</v>
      </c>
      <c r="I61" t="n">
        <v>0</v>
      </c>
      <c r="J61" t="n">
        <v>0</v>
      </c>
      <c r="K61" t="n">
        <v>0</v>
      </c>
      <c r="L61" t="n">
        <v>0</v>
      </c>
      <c r="M61" t="n">
        <v>0</v>
      </c>
      <c r="N61" t="n">
        <v>0</v>
      </c>
      <c r="O61" t="n">
        <v>0</v>
      </c>
      <c r="P61" t="n">
        <v>0</v>
      </c>
      <c r="Q61" t="n">
        <v>0</v>
      </c>
      <c r="R61" s="2" t="inlineStr"/>
    </row>
    <row r="62" ht="15" customHeight="1">
      <c r="A62" t="inlineStr">
        <is>
          <t>A 45986-2021</t>
        </is>
      </c>
      <c r="B62" s="1" t="n">
        <v>44441</v>
      </c>
      <c r="C62" s="1" t="n">
        <v>45974</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45974</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12445-2022</t>
        </is>
      </c>
      <c r="B64" s="1" t="n">
        <v>44638</v>
      </c>
      <c r="C64" s="1" t="n">
        <v>45974</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32762-2023</t>
        </is>
      </c>
      <c r="B65" s="1" t="n">
        <v>45123.46649305556</v>
      </c>
      <c r="C65" s="1" t="n">
        <v>45974</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53144-2021</t>
        </is>
      </c>
      <c r="B66" s="1" t="n">
        <v>44468</v>
      </c>
      <c r="C66" s="1" t="n">
        <v>45974</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35959-2022</t>
        </is>
      </c>
      <c r="B67" s="1" t="n">
        <v>44802.57002314815</v>
      </c>
      <c r="C67" s="1" t="n">
        <v>45974</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20285-2022</t>
        </is>
      </c>
      <c r="B68" s="1" t="n">
        <v>44698.76347222222</v>
      </c>
      <c r="C68" s="1" t="n">
        <v>45974</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14493-2024</t>
        </is>
      </c>
      <c r="B69" s="1" t="n">
        <v>45394.58491898148</v>
      </c>
      <c r="C69" s="1" t="n">
        <v>45974</v>
      </c>
      <c r="D69" t="inlineStr">
        <is>
          <t>VÄSTRA GÖTALANDS LÄN</t>
        </is>
      </c>
      <c r="E69" t="inlineStr">
        <is>
          <t>ALE</t>
        </is>
      </c>
      <c r="G69" t="n">
        <v>2.3</v>
      </c>
      <c r="H69" t="n">
        <v>0</v>
      </c>
      <c r="I69" t="n">
        <v>0</v>
      </c>
      <c r="J69" t="n">
        <v>0</v>
      </c>
      <c r="K69" t="n">
        <v>0</v>
      </c>
      <c r="L69" t="n">
        <v>0</v>
      </c>
      <c r="M69" t="n">
        <v>0</v>
      </c>
      <c r="N69" t="n">
        <v>0</v>
      </c>
      <c r="O69" t="n">
        <v>0</v>
      </c>
      <c r="P69" t="n">
        <v>0</v>
      </c>
      <c r="Q69" t="n">
        <v>0</v>
      </c>
      <c r="R69" s="2" t="inlineStr"/>
    </row>
    <row r="70" ht="15" customHeight="1">
      <c r="A70" t="inlineStr">
        <is>
          <t>A 1500-2024</t>
        </is>
      </c>
      <c r="B70" s="1" t="n">
        <v>45306</v>
      </c>
      <c r="C70" s="1" t="n">
        <v>45974</v>
      </c>
      <c r="D70" t="inlineStr">
        <is>
          <t>VÄSTRA GÖTALANDS LÄN</t>
        </is>
      </c>
      <c r="E70" t="inlineStr">
        <is>
          <t>ALE</t>
        </is>
      </c>
      <c r="G70" t="n">
        <v>1.3</v>
      </c>
      <c r="H70" t="n">
        <v>0</v>
      </c>
      <c r="I70" t="n">
        <v>0</v>
      </c>
      <c r="J70" t="n">
        <v>0</v>
      </c>
      <c r="K70" t="n">
        <v>0</v>
      </c>
      <c r="L70" t="n">
        <v>0</v>
      </c>
      <c r="M70" t="n">
        <v>0</v>
      </c>
      <c r="N70" t="n">
        <v>0</v>
      </c>
      <c r="O70" t="n">
        <v>0</v>
      </c>
      <c r="P70" t="n">
        <v>0</v>
      </c>
      <c r="Q70" t="n">
        <v>0</v>
      </c>
      <c r="R70" s="2" t="inlineStr"/>
    </row>
    <row r="71" ht="15" customHeight="1">
      <c r="A71" t="inlineStr">
        <is>
          <t>A 1687-2024</t>
        </is>
      </c>
      <c r="B71" s="1" t="n">
        <v>45306</v>
      </c>
      <c r="C71" s="1" t="n">
        <v>45974</v>
      </c>
      <c r="D71" t="inlineStr">
        <is>
          <t>VÄSTRA GÖTALANDS LÄN</t>
        </is>
      </c>
      <c r="E71" t="inlineStr">
        <is>
          <t>ALE</t>
        </is>
      </c>
      <c r="G71" t="n">
        <v>3.4</v>
      </c>
      <c r="H71" t="n">
        <v>0</v>
      </c>
      <c r="I71" t="n">
        <v>0</v>
      </c>
      <c r="J71" t="n">
        <v>0</v>
      </c>
      <c r="K71" t="n">
        <v>0</v>
      </c>
      <c r="L71" t="n">
        <v>0</v>
      </c>
      <c r="M71" t="n">
        <v>0</v>
      </c>
      <c r="N71" t="n">
        <v>0</v>
      </c>
      <c r="O71" t="n">
        <v>0</v>
      </c>
      <c r="P71" t="n">
        <v>0</v>
      </c>
      <c r="Q71" t="n">
        <v>0</v>
      </c>
      <c r="R71" s="2" t="inlineStr"/>
    </row>
    <row r="72" ht="15" customHeight="1">
      <c r="A72" t="inlineStr">
        <is>
          <t>A 51564-2023</t>
        </is>
      </c>
      <c r="B72" s="1" t="n">
        <v>45222</v>
      </c>
      <c r="C72" s="1" t="n">
        <v>45974</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5916-2023</t>
        </is>
      </c>
      <c r="B73" s="1" t="n">
        <v>44963</v>
      </c>
      <c r="C73" s="1" t="n">
        <v>45974</v>
      </c>
      <c r="D73" t="inlineStr">
        <is>
          <t>VÄSTRA GÖTALANDS LÄN</t>
        </is>
      </c>
      <c r="E73" t="inlineStr">
        <is>
          <t>ALE</t>
        </is>
      </c>
      <c r="G73" t="n">
        <v>4.2</v>
      </c>
      <c r="H73" t="n">
        <v>0</v>
      </c>
      <c r="I73" t="n">
        <v>0</v>
      </c>
      <c r="J73" t="n">
        <v>0</v>
      </c>
      <c r="K73" t="n">
        <v>0</v>
      </c>
      <c r="L73" t="n">
        <v>0</v>
      </c>
      <c r="M73" t="n">
        <v>0</v>
      </c>
      <c r="N73" t="n">
        <v>0</v>
      </c>
      <c r="O73" t="n">
        <v>0</v>
      </c>
      <c r="P73" t="n">
        <v>0</v>
      </c>
      <c r="Q73" t="n">
        <v>0</v>
      </c>
      <c r="R73" s="2" t="inlineStr"/>
    </row>
    <row r="74" ht="15" customHeight="1">
      <c r="A74" t="inlineStr">
        <is>
          <t>A 44429-2023</t>
        </is>
      </c>
      <c r="B74" s="1" t="n">
        <v>45189.35101851852</v>
      </c>
      <c r="C74" s="1" t="n">
        <v>45974</v>
      </c>
      <c r="D74" t="inlineStr">
        <is>
          <t>VÄSTRA GÖTALANDS LÄN</t>
        </is>
      </c>
      <c r="E74" t="inlineStr">
        <is>
          <t>ALE</t>
        </is>
      </c>
      <c r="G74" t="n">
        <v>0.1</v>
      </c>
      <c r="H74" t="n">
        <v>0</v>
      </c>
      <c r="I74" t="n">
        <v>0</v>
      </c>
      <c r="J74" t="n">
        <v>0</v>
      </c>
      <c r="K74" t="n">
        <v>0</v>
      </c>
      <c r="L74" t="n">
        <v>0</v>
      </c>
      <c r="M74" t="n">
        <v>0</v>
      </c>
      <c r="N74" t="n">
        <v>0</v>
      </c>
      <c r="O74" t="n">
        <v>0</v>
      </c>
      <c r="P74" t="n">
        <v>0</v>
      </c>
      <c r="Q74" t="n">
        <v>0</v>
      </c>
      <c r="R74" s="2" t="inlineStr"/>
    </row>
    <row r="75" ht="15" customHeight="1">
      <c r="A75" t="inlineStr">
        <is>
          <t>A 3457-2022</t>
        </is>
      </c>
      <c r="B75" s="1" t="n">
        <v>44585</v>
      </c>
      <c r="C75" s="1" t="n">
        <v>45974</v>
      </c>
      <c r="D75" t="inlineStr">
        <is>
          <t>VÄSTRA GÖTALANDS LÄN</t>
        </is>
      </c>
      <c r="E75" t="inlineStr">
        <is>
          <t>ALE</t>
        </is>
      </c>
      <c r="G75" t="n">
        <v>5.1</v>
      </c>
      <c r="H75" t="n">
        <v>0</v>
      </c>
      <c r="I75" t="n">
        <v>0</v>
      </c>
      <c r="J75" t="n">
        <v>0</v>
      </c>
      <c r="K75" t="n">
        <v>0</v>
      </c>
      <c r="L75" t="n">
        <v>0</v>
      </c>
      <c r="M75" t="n">
        <v>0</v>
      </c>
      <c r="N75" t="n">
        <v>0</v>
      </c>
      <c r="O75" t="n">
        <v>0</v>
      </c>
      <c r="P75" t="n">
        <v>0</v>
      </c>
      <c r="Q75" t="n">
        <v>0</v>
      </c>
      <c r="R75" s="2" t="inlineStr"/>
    </row>
    <row r="76" ht="15" customHeight="1">
      <c r="A76" t="inlineStr">
        <is>
          <t>A 14458-2024</t>
        </is>
      </c>
      <c r="B76" s="1" t="n">
        <v>45394</v>
      </c>
      <c r="C76" s="1" t="n">
        <v>45974</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6916-2023</t>
        </is>
      </c>
      <c r="B77" s="1" t="n">
        <v>44967.53349537037</v>
      </c>
      <c r="C77" s="1" t="n">
        <v>45974</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8956-2025</t>
        </is>
      </c>
      <c r="B78" s="1" t="n">
        <v>45713.46825231481</v>
      </c>
      <c r="C78" s="1" t="n">
        <v>45974</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50451-2024</t>
        </is>
      </c>
      <c r="B79" s="1" t="n">
        <v>45601.44248842593</v>
      </c>
      <c r="C79" s="1" t="n">
        <v>45974</v>
      </c>
      <c r="D79" t="inlineStr">
        <is>
          <t>VÄSTRA GÖTALANDS LÄN</t>
        </is>
      </c>
      <c r="E79" t="inlineStr">
        <is>
          <t>ALE</t>
        </is>
      </c>
      <c r="G79" t="n">
        <v>2.9</v>
      </c>
      <c r="H79" t="n">
        <v>0</v>
      </c>
      <c r="I79" t="n">
        <v>0</v>
      </c>
      <c r="J79" t="n">
        <v>0</v>
      </c>
      <c r="K79" t="n">
        <v>0</v>
      </c>
      <c r="L79" t="n">
        <v>0</v>
      </c>
      <c r="M79" t="n">
        <v>0</v>
      </c>
      <c r="N79" t="n">
        <v>0</v>
      </c>
      <c r="O79" t="n">
        <v>0</v>
      </c>
      <c r="P79" t="n">
        <v>0</v>
      </c>
      <c r="Q79" t="n">
        <v>0</v>
      </c>
      <c r="R79" s="2" t="inlineStr"/>
    </row>
    <row r="80" ht="15" customHeight="1">
      <c r="A80" t="inlineStr">
        <is>
          <t>A 26157-2023</t>
        </is>
      </c>
      <c r="B80" s="1" t="n">
        <v>45091.50479166667</v>
      </c>
      <c r="C80" s="1" t="n">
        <v>45974</v>
      </c>
      <c r="D80" t="inlineStr">
        <is>
          <t>VÄSTRA GÖTALANDS LÄN</t>
        </is>
      </c>
      <c r="E80" t="inlineStr">
        <is>
          <t>ALE</t>
        </is>
      </c>
      <c r="G80" t="n">
        <v>2.6</v>
      </c>
      <c r="H80" t="n">
        <v>0</v>
      </c>
      <c r="I80" t="n">
        <v>0</v>
      </c>
      <c r="J80" t="n">
        <v>0</v>
      </c>
      <c r="K80" t="n">
        <v>0</v>
      </c>
      <c r="L80" t="n">
        <v>0</v>
      </c>
      <c r="M80" t="n">
        <v>0</v>
      </c>
      <c r="N80" t="n">
        <v>0</v>
      </c>
      <c r="O80" t="n">
        <v>0</v>
      </c>
      <c r="P80" t="n">
        <v>0</v>
      </c>
      <c r="Q80" t="n">
        <v>0</v>
      </c>
      <c r="R80" s="2" t="inlineStr"/>
    </row>
    <row r="81" ht="15" customHeight="1">
      <c r="A81" t="inlineStr">
        <is>
          <t>A 47087-2023</t>
        </is>
      </c>
      <c r="B81" s="1" t="n">
        <v>45196</v>
      </c>
      <c r="C81" s="1" t="n">
        <v>45974</v>
      </c>
      <c r="D81" t="inlineStr">
        <is>
          <t>VÄSTRA GÖTALANDS LÄN</t>
        </is>
      </c>
      <c r="E81" t="inlineStr">
        <is>
          <t>ALE</t>
        </is>
      </c>
      <c r="G81" t="n">
        <v>1.6</v>
      </c>
      <c r="H81" t="n">
        <v>0</v>
      </c>
      <c r="I81" t="n">
        <v>0</v>
      </c>
      <c r="J81" t="n">
        <v>0</v>
      </c>
      <c r="K81" t="n">
        <v>0</v>
      </c>
      <c r="L81" t="n">
        <v>0</v>
      </c>
      <c r="M81" t="n">
        <v>0</v>
      </c>
      <c r="N81" t="n">
        <v>0</v>
      </c>
      <c r="O81" t="n">
        <v>0</v>
      </c>
      <c r="P81" t="n">
        <v>0</v>
      </c>
      <c r="Q81" t="n">
        <v>0</v>
      </c>
      <c r="R81" s="2" t="inlineStr"/>
    </row>
    <row r="82" ht="15" customHeight="1">
      <c r="A82" t="inlineStr">
        <is>
          <t>A 42446-2023</t>
        </is>
      </c>
      <c r="B82" s="1" t="n">
        <v>45180</v>
      </c>
      <c r="C82" s="1" t="n">
        <v>45974</v>
      </c>
      <c r="D82" t="inlineStr">
        <is>
          <t>VÄSTRA GÖTALANDS LÄN</t>
        </is>
      </c>
      <c r="E82" t="inlineStr">
        <is>
          <t>ALE</t>
        </is>
      </c>
      <c r="G82" t="n">
        <v>0.8</v>
      </c>
      <c r="H82" t="n">
        <v>0</v>
      </c>
      <c r="I82" t="n">
        <v>0</v>
      </c>
      <c r="J82" t="n">
        <v>0</v>
      </c>
      <c r="K82" t="n">
        <v>0</v>
      </c>
      <c r="L82" t="n">
        <v>0</v>
      </c>
      <c r="M82" t="n">
        <v>0</v>
      </c>
      <c r="N82" t="n">
        <v>0</v>
      </c>
      <c r="O82" t="n">
        <v>0</v>
      </c>
      <c r="P82" t="n">
        <v>0</v>
      </c>
      <c r="Q82" t="n">
        <v>0</v>
      </c>
      <c r="R82" s="2" t="inlineStr"/>
    </row>
    <row r="83" ht="15" customHeight="1">
      <c r="A83" t="inlineStr">
        <is>
          <t>A 1822-2024</t>
        </is>
      </c>
      <c r="B83" s="1" t="n">
        <v>45307.6205787037</v>
      </c>
      <c r="C83" s="1" t="n">
        <v>45974</v>
      </c>
      <c r="D83" t="inlineStr">
        <is>
          <t>VÄSTRA GÖTALANDS LÄN</t>
        </is>
      </c>
      <c r="E83" t="inlineStr">
        <is>
          <t>ALE</t>
        </is>
      </c>
      <c r="G83" t="n">
        <v>2</v>
      </c>
      <c r="H83" t="n">
        <v>0</v>
      </c>
      <c r="I83" t="n">
        <v>0</v>
      </c>
      <c r="J83" t="n">
        <v>0</v>
      </c>
      <c r="K83" t="n">
        <v>0</v>
      </c>
      <c r="L83" t="n">
        <v>0</v>
      </c>
      <c r="M83" t="n">
        <v>0</v>
      </c>
      <c r="N83" t="n">
        <v>0</v>
      </c>
      <c r="O83" t="n">
        <v>0</v>
      </c>
      <c r="P83" t="n">
        <v>0</v>
      </c>
      <c r="Q83" t="n">
        <v>0</v>
      </c>
      <c r="R83" s="2" t="inlineStr"/>
    </row>
    <row r="84" ht="15" customHeight="1">
      <c r="A84" t="inlineStr">
        <is>
          <t>A 34104-2024</t>
        </is>
      </c>
      <c r="B84" s="1" t="n">
        <v>45523.79202546296</v>
      </c>
      <c r="C84" s="1" t="n">
        <v>45974</v>
      </c>
      <c r="D84" t="inlineStr">
        <is>
          <t>VÄSTRA GÖTALANDS LÄN</t>
        </is>
      </c>
      <c r="E84" t="inlineStr">
        <is>
          <t>ALE</t>
        </is>
      </c>
      <c r="G84" t="n">
        <v>2.2</v>
      </c>
      <c r="H84" t="n">
        <v>0</v>
      </c>
      <c r="I84" t="n">
        <v>0</v>
      </c>
      <c r="J84" t="n">
        <v>0</v>
      </c>
      <c r="K84" t="n">
        <v>0</v>
      </c>
      <c r="L84" t="n">
        <v>0</v>
      </c>
      <c r="M84" t="n">
        <v>0</v>
      </c>
      <c r="N84" t="n">
        <v>0</v>
      </c>
      <c r="O84" t="n">
        <v>0</v>
      </c>
      <c r="P84" t="n">
        <v>0</v>
      </c>
      <c r="Q84" t="n">
        <v>0</v>
      </c>
      <c r="R84" s="2" t="inlineStr"/>
    </row>
    <row r="85" ht="15" customHeight="1">
      <c r="A85" t="inlineStr">
        <is>
          <t>A 27314-2021</t>
        </is>
      </c>
      <c r="B85" s="1" t="n">
        <v>44351.36537037037</v>
      </c>
      <c r="C85" s="1" t="n">
        <v>45974</v>
      </c>
      <c r="D85" t="inlineStr">
        <is>
          <t>VÄSTRA GÖTALANDS LÄN</t>
        </is>
      </c>
      <c r="E85" t="inlineStr">
        <is>
          <t>ALE</t>
        </is>
      </c>
      <c r="G85" t="n">
        <v>11.3</v>
      </c>
      <c r="H85" t="n">
        <v>0</v>
      </c>
      <c r="I85" t="n">
        <v>0</v>
      </c>
      <c r="J85" t="n">
        <v>0</v>
      </c>
      <c r="K85" t="n">
        <v>0</v>
      </c>
      <c r="L85" t="n">
        <v>0</v>
      </c>
      <c r="M85" t="n">
        <v>0</v>
      </c>
      <c r="N85" t="n">
        <v>0</v>
      </c>
      <c r="O85" t="n">
        <v>0</v>
      </c>
      <c r="P85" t="n">
        <v>0</v>
      </c>
      <c r="Q85" t="n">
        <v>0</v>
      </c>
      <c r="R85" s="2" t="inlineStr"/>
    </row>
    <row r="86" ht="15" customHeight="1">
      <c r="A86" t="inlineStr">
        <is>
          <t>A 3418-2023</t>
        </is>
      </c>
      <c r="B86" s="1" t="n">
        <v>44949.56182870371</v>
      </c>
      <c r="C86" s="1" t="n">
        <v>45974</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57473-2022</t>
        </is>
      </c>
      <c r="B87" s="1" t="n">
        <v>44896</v>
      </c>
      <c r="C87" s="1" t="n">
        <v>45974</v>
      </c>
      <c r="D87" t="inlineStr">
        <is>
          <t>VÄSTRA GÖTALANDS LÄN</t>
        </is>
      </c>
      <c r="E87" t="inlineStr">
        <is>
          <t>ALE</t>
        </is>
      </c>
      <c r="G87" t="n">
        <v>0.7</v>
      </c>
      <c r="H87" t="n">
        <v>0</v>
      </c>
      <c r="I87" t="n">
        <v>0</v>
      </c>
      <c r="J87" t="n">
        <v>0</v>
      </c>
      <c r="K87" t="n">
        <v>0</v>
      </c>
      <c r="L87" t="n">
        <v>0</v>
      </c>
      <c r="M87" t="n">
        <v>0</v>
      </c>
      <c r="N87" t="n">
        <v>0</v>
      </c>
      <c r="O87" t="n">
        <v>0</v>
      </c>
      <c r="P87" t="n">
        <v>0</v>
      </c>
      <c r="Q87" t="n">
        <v>0</v>
      </c>
      <c r="R87" s="2" t="inlineStr"/>
    </row>
    <row r="88" ht="15" customHeight="1">
      <c r="A88" t="inlineStr">
        <is>
          <t>A 4971-2024</t>
        </is>
      </c>
      <c r="B88" s="1" t="n">
        <v>45329</v>
      </c>
      <c r="C88" s="1" t="n">
        <v>45974</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22946-2025</t>
        </is>
      </c>
      <c r="B89" s="1" t="n">
        <v>45790.48229166667</v>
      </c>
      <c r="C89" s="1" t="n">
        <v>45974</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5875-2023</t>
        </is>
      </c>
      <c r="B90" s="1" t="n">
        <v>44963</v>
      </c>
      <c r="C90" s="1" t="n">
        <v>45974</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45974</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33237-2024</t>
        </is>
      </c>
      <c r="B92" s="1" t="n">
        <v>45518.59173611111</v>
      </c>
      <c r="C92" s="1" t="n">
        <v>45974</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12055-2022</t>
        </is>
      </c>
      <c r="B93" s="1" t="n">
        <v>44636</v>
      </c>
      <c r="C93" s="1" t="n">
        <v>45974</v>
      </c>
      <c r="D93" t="inlineStr">
        <is>
          <t>VÄSTRA GÖTALANDS LÄN</t>
        </is>
      </c>
      <c r="E93" t="inlineStr">
        <is>
          <t>ALE</t>
        </is>
      </c>
      <c r="G93" t="n">
        <v>0.2</v>
      </c>
      <c r="H93" t="n">
        <v>0</v>
      </c>
      <c r="I93" t="n">
        <v>0</v>
      </c>
      <c r="J93" t="n">
        <v>0</v>
      </c>
      <c r="K93" t="n">
        <v>0</v>
      </c>
      <c r="L93" t="n">
        <v>0</v>
      </c>
      <c r="M93" t="n">
        <v>0</v>
      </c>
      <c r="N93" t="n">
        <v>0</v>
      </c>
      <c r="O93" t="n">
        <v>0</v>
      </c>
      <c r="P93" t="n">
        <v>0</v>
      </c>
      <c r="Q93" t="n">
        <v>0</v>
      </c>
      <c r="R93" s="2" t="inlineStr"/>
    </row>
    <row r="94" ht="15" customHeight="1">
      <c r="A94" t="inlineStr">
        <is>
          <t>A 37461-2024</t>
        </is>
      </c>
      <c r="B94" s="1" t="n">
        <v>45540.72516203704</v>
      </c>
      <c r="C94" s="1" t="n">
        <v>45974</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66551-2020</t>
        </is>
      </c>
      <c r="B95" s="1" t="n">
        <v>44179</v>
      </c>
      <c r="C95" s="1" t="n">
        <v>45974</v>
      </c>
      <c r="D95" t="inlineStr">
        <is>
          <t>VÄSTRA GÖTALANDS LÄN</t>
        </is>
      </c>
      <c r="E95" t="inlineStr">
        <is>
          <t>ALE</t>
        </is>
      </c>
      <c r="G95" t="n">
        <v>4.5</v>
      </c>
      <c r="H95" t="n">
        <v>0</v>
      </c>
      <c r="I95" t="n">
        <v>0</v>
      </c>
      <c r="J95" t="n">
        <v>0</v>
      </c>
      <c r="K95" t="n">
        <v>0</v>
      </c>
      <c r="L95" t="n">
        <v>0</v>
      </c>
      <c r="M95" t="n">
        <v>0</v>
      </c>
      <c r="N95" t="n">
        <v>0</v>
      </c>
      <c r="O95" t="n">
        <v>0</v>
      </c>
      <c r="P95" t="n">
        <v>0</v>
      </c>
      <c r="Q95" t="n">
        <v>0</v>
      </c>
      <c r="R95" s="2" t="inlineStr"/>
    </row>
    <row r="96" ht="15" customHeight="1">
      <c r="A96" t="inlineStr">
        <is>
          <t>A 1960-2024</t>
        </is>
      </c>
      <c r="B96" s="1" t="n">
        <v>45308.50962962963</v>
      </c>
      <c r="C96" s="1" t="n">
        <v>45974</v>
      </c>
      <c r="D96" t="inlineStr">
        <is>
          <t>VÄSTRA GÖTALANDS LÄN</t>
        </is>
      </c>
      <c r="E96" t="inlineStr">
        <is>
          <t>ALE</t>
        </is>
      </c>
      <c r="G96" t="n">
        <v>1.9</v>
      </c>
      <c r="H96" t="n">
        <v>0</v>
      </c>
      <c r="I96" t="n">
        <v>0</v>
      </c>
      <c r="J96" t="n">
        <v>0</v>
      </c>
      <c r="K96" t="n">
        <v>0</v>
      </c>
      <c r="L96" t="n">
        <v>0</v>
      </c>
      <c r="M96" t="n">
        <v>0</v>
      </c>
      <c r="N96" t="n">
        <v>0</v>
      </c>
      <c r="O96" t="n">
        <v>0</v>
      </c>
      <c r="P96" t="n">
        <v>0</v>
      </c>
      <c r="Q96" t="n">
        <v>0</v>
      </c>
      <c r="R96" s="2" t="inlineStr"/>
    </row>
    <row r="97" ht="15" customHeight="1">
      <c r="A97" t="inlineStr">
        <is>
          <t>A 41607-2022</t>
        </is>
      </c>
      <c r="B97" s="1" t="n">
        <v>44827.46658564815</v>
      </c>
      <c r="C97" s="1" t="n">
        <v>45974</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45974</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15499-2022</t>
        </is>
      </c>
      <c r="B99" s="1" t="n">
        <v>44662</v>
      </c>
      <c r="C99" s="1" t="n">
        <v>45974</v>
      </c>
      <c r="D99" t="inlineStr">
        <is>
          <t>VÄSTRA GÖTALANDS LÄN</t>
        </is>
      </c>
      <c r="E99" t="inlineStr">
        <is>
          <t>ALE</t>
        </is>
      </c>
      <c r="G99" t="n">
        <v>4.7</v>
      </c>
      <c r="H99" t="n">
        <v>0</v>
      </c>
      <c r="I99" t="n">
        <v>0</v>
      </c>
      <c r="J99" t="n">
        <v>0</v>
      </c>
      <c r="K99" t="n">
        <v>0</v>
      </c>
      <c r="L99" t="n">
        <v>0</v>
      </c>
      <c r="M99" t="n">
        <v>0</v>
      </c>
      <c r="N99" t="n">
        <v>0</v>
      </c>
      <c r="O99" t="n">
        <v>0</v>
      </c>
      <c r="P99" t="n">
        <v>0</v>
      </c>
      <c r="Q99" t="n">
        <v>0</v>
      </c>
      <c r="R99" s="2" t="inlineStr"/>
    </row>
    <row r="100" ht="15" customHeight="1">
      <c r="A100" t="inlineStr">
        <is>
          <t>A 53476-2023</t>
        </is>
      </c>
      <c r="B100" s="1" t="n">
        <v>45230.33737268519</v>
      </c>
      <c r="C100" s="1" t="n">
        <v>45974</v>
      </c>
      <c r="D100" t="inlineStr">
        <is>
          <t>VÄSTRA GÖTALANDS LÄN</t>
        </is>
      </c>
      <c r="E100" t="inlineStr">
        <is>
          <t>ALE</t>
        </is>
      </c>
      <c r="G100" t="n">
        <v>1.9</v>
      </c>
      <c r="H100" t="n">
        <v>0</v>
      </c>
      <c r="I100" t="n">
        <v>0</v>
      </c>
      <c r="J100" t="n">
        <v>0</v>
      </c>
      <c r="K100" t="n">
        <v>0</v>
      </c>
      <c r="L100" t="n">
        <v>0</v>
      </c>
      <c r="M100" t="n">
        <v>0</v>
      </c>
      <c r="N100" t="n">
        <v>0</v>
      </c>
      <c r="O100" t="n">
        <v>0</v>
      </c>
      <c r="P100" t="n">
        <v>0</v>
      </c>
      <c r="Q100" t="n">
        <v>0</v>
      </c>
      <c r="R100" s="2" t="inlineStr"/>
    </row>
    <row r="101" ht="15" customHeight="1">
      <c r="A101" t="inlineStr">
        <is>
          <t>A 25849-2025</t>
        </is>
      </c>
      <c r="B101" s="1" t="n">
        <v>45804</v>
      </c>
      <c r="C101" s="1" t="n">
        <v>45974</v>
      </c>
      <c r="D101" t="inlineStr">
        <is>
          <t>VÄSTRA GÖTALANDS LÄN</t>
        </is>
      </c>
      <c r="E101" t="inlineStr">
        <is>
          <t>ALE</t>
        </is>
      </c>
      <c r="G101" t="n">
        <v>0.8</v>
      </c>
      <c r="H101" t="n">
        <v>0</v>
      </c>
      <c r="I101" t="n">
        <v>0</v>
      </c>
      <c r="J101" t="n">
        <v>0</v>
      </c>
      <c r="K101" t="n">
        <v>0</v>
      </c>
      <c r="L101" t="n">
        <v>0</v>
      </c>
      <c r="M101" t="n">
        <v>0</v>
      </c>
      <c r="N101" t="n">
        <v>0</v>
      </c>
      <c r="O101" t="n">
        <v>0</v>
      </c>
      <c r="P101" t="n">
        <v>0</v>
      </c>
      <c r="Q101" t="n">
        <v>0</v>
      </c>
      <c r="R101" s="2" t="inlineStr"/>
    </row>
    <row r="102" ht="15" customHeight="1">
      <c r="A102" t="inlineStr">
        <is>
          <t>A 25848-2025</t>
        </is>
      </c>
      <c r="B102" s="1" t="n">
        <v>45804</v>
      </c>
      <c r="C102" s="1" t="n">
        <v>45974</v>
      </c>
      <c r="D102" t="inlineStr">
        <is>
          <t>VÄSTRA GÖTALANDS LÄN</t>
        </is>
      </c>
      <c r="E102" t="inlineStr">
        <is>
          <t>ALE</t>
        </is>
      </c>
      <c r="G102" t="n">
        <v>1.1</v>
      </c>
      <c r="H102" t="n">
        <v>0</v>
      </c>
      <c r="I102" t="n">
        <v>0</v>
      </c>
      <c r="J102" t="n">
        <v>0</v>
      </c>
      <c r="K102" t="n">
        <v>0</v>
      </c>
      <c r="L102" t="n">
        <v>0</v>
      </c>
      <c r="M102" t="n">
        <v>0</v>
      </c>
      <c r="N102" t="n">
        <v>0</v>
      </c>
      <c r="O102" t="n">
        <v>0</v>
      </c>
      <c r="P102" t="n">
        <v>0</v>
      </c>
      <c r="Q102" t="n">
        <v>0</v>
      </c>
      <c r="R102" s="2" t="inlineStr"/>
    </row>
    <row r="103" ht="15" customHeight="1">
      <c r="A103" t="inlineStr">
        <is>
          <t>A 36763-2022</t>
        </is>
      </c>
      <c r="B103" s="1" t="n">
        <v>44805</v>
      </c>
      <c r="C103" s="1" t="n">
        <v>45974</v>
      </c>
      <c r="D103" t="inlineStr">
        <is>
          <t>VÄSTRA GÖTALANDS LÄN</t>
        </is>
      </c>
      <c r="E103" t="inlineStr">
        <is>
          <t>ALE</t>
        </is>
      </c>
      <c r="G103" t="n">
        <v>6.1</v>
      </c>
      <c r="H103" t="n">
        <v>0</v>
      </c>
      <c r="I103" t="n">
        <v>0</v>
      </c>
      <c r="J103" t="n">
        <v>0</v>
      </c>
      <c r="K103" t="n">
        <v>0</v>
      </c>
      <c r="L103" t="n">
        <v>0</v>
      </c>
      <c r="M103" t="n">
        <v>0</v>
      </c>
      <c r="N103" t="n">
        <v>0</v>
      </c>
      <c r="O103" t="n">
        <v>0</v>
      </c>
      <c r="P103" t="n">
        <v>0</v>
      </c>
      <c r="Q103" t="n">
        <v>0</v>
      </c>
      <c r="R103" s="2" t="inlineStr"/>
    </row>
    <row r="104" ht="15" customHeight="1">
      <c r="A104" t="inlineStr">
        <is>
          <t>A 55405-2021</t>
        </is>
      </c>
      <c r="B104" s="1" t="n">
        <v>44475.53733796296</v>
      </c>
      <c r="C104" s="1" t="n">
        <v>45974</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51164-2024</t>
        </is>
      </c>
      <c r="B105" s="1" t="n">
        <v>45603.5830787037</v>
      </c>
      <c r="C105" s="1" t="n">
        <v>45974</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25840-2025</t>
        </is>
      </c>
      <c r="B106" s="1" t="n">
        <v>45804</v>
      </c>
      <c r="C106" s="1" t="n">
        <v>45974</v>
      </c>
      <c r="D106" t="inlineStr">
        <is>
          <t>VÄSTRA GÖTALANDS LÄN</t>
        </is>
      </c>
      <c r="E106" t="inlineStr">
        <is>
          <t>ALE</t>
        </is>
      </c>
      <c r="G106" t="n">
        <v>3.8</v>
      </c>
      <c r="H106" t="n">
        <v>0</v>
      </c>
      <c r="I106" t="n">
        <v>0</v>
      </c>
      <c r="J106" t="n">
        <v>0</v>
      </c>
      <c r="K106" t="n">
        <v>0</v>
      </c>
      <c r="L106" t="n">
        <v>0</v>
      </c>
      <c r="M106" t="n">
        <v>0</v>
      </c>
      <c r="N106" t="n">
        <v>0</v>
      </c>
      <c r="O106" t="n">
        <v>0</v>
      </c>
      <c r="P106" t="n">
        <v>0</v>
      </c>
      <c r="Q106" t="n">
        <v>0</v>
      </c>
      <c r="R106" s="2" t="inlineStr"/>
    </row>
    <row r="107" ht="15" customHeight="1">
      <c r="A107" t="inlineStr">
        <is>
          <t>A 3407-2023</t>
        </is>
      </c>
      <c r="B107" s="1" t="n">
        <v>44949.54909722223</v>
      </c>
      <c r="C107" s="1" t="n">
        <v>45974</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15241-2025</t>
        </is>
      </c>
      <c r="B108" s="1" t="n">
        <v>45744.61255787037</v>
      </c>
      <c r="C108" s="1" t="n">
        <v>45974</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49680-2024</t>
        </is>
      </c>
      <c r="B109" s="1" t="n">
        <v>45596.66880787037</v>
      </c>
      <c r="C109" s="1" t="n">
        <v>45974</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18637-2023</t>
        </is>
      </c>
      <c r="B110" s="1" t="n">
        <v>45043</v>
      </c>
      <c r="C110" s="1" t="n">
        <v>45974</v>
      </c>
      <c r="D110" t="inlineStr">
        <is>
          <t>VÄSTRA GÖTALANDS LÄN</t>
        </is>
      </c>
      <c r="E110" t="inlineStr">
        <is>
          <t>ALE</t>
        </is>
      </c>
      <c r="G110" t="n">
        <v>3.6</v>
      </c>
      <c r="H110" t="n">
        <v>0</v>
      </c>
      <c r="I110" t="n">
        <v>0</v>
      </c>
      <c r="J110" t="n">
        <v>0</v>
      </c>
      <c r="K110" t="n">
        <v>0</v>
      </c>
      <c r="L110" t="n">
        <v>0</v>
      </c>
      <c r="M110" t="n">
        <v>0</v>
      </c>
      <c r="N110" t="n">
        <v>0</v>
      </c>
      <c r="O110" t="n">
        <v>0</v>
      </c>
      <c r="P110" t="n">
        <v>0</v>
      </c>
      <c r="Q110" t="n">
        <v>0</v>
      </c>
      <c r="R110" s="2" t="inlineStr"/>
    </row>
    <row r="111" ht="15" customHeight="1">
      <c r="A111" t="inlineStr">
        <is>
          <t>A 56493-2021</t>
        </is>
      </c>
      <c r="B111" s="1" t="n">
        <v>44480.57173611111</v>
      </c>
      <c r="C111" s="1" t="n">
        <v>45974</v>
      </c>
      <c r="D111" t="inlineStr">
        <is>
          <t>VÄSTRA GÖTALANDS LÄN</t>
        </is>
      </c>
      <c r="E111" t="inlineStr">
        <is>
          <t>ALE</t>
        </is>
      </c>
      <c r="G111" t="n">
        <v>1.7</v>
      </c>
      <c r="H111" t="n">
        <v>0</v>
      </c>
      <c r="I111" t="n">
        <v>0</v>
      </c>
      <c r="J111" t="n">
        <v>0</v>
      </c>
      <c r="K111" t="n">
        <v>0</v>
      </c>
      <c r="L111" t="n">
        <v>0</v>
      </c>
      <c r="M111" t="n">
        <v>0</v>
      </c>
      <c r="N111" t="n">
        <v>0</v>
      </c>
      <c r="O111" t="n">
        <v>0</v>
      </c>
      <c r="P111" t="n">
        <v>0</v>
      </c>
      <c r="Q111" t="n">
        <v>0</v>
      </c>
      <c r="R111" s="2" t="inlineStr"/>
    </row>
    <row r="112" ht="15" customHeight="1">
      <c r="A112" t="inlineStr">
        <is>
          <t>A 59933-2023</t>
        </is>
      </c>
      <c r="B112" s="1" t="n">
        <v>45257</v>
      </c>
      <c r="C112" s="1" t="n">
        <v>45974</v>
      </c>
      <c r="D112" t="inlineStr">
        <is>
          <t>VÄSTRA GÖTALANDS LÄN</t>
        </is>
      </c>
      <c r="E112" t="inlineStr">
        <is>
          <t>ALE</t>
        </is>
      </c>
      <c r="G112" t="n">
        <v>2.7</v>
      </c>
      <c r="H112" t="n">
        <v>0</v>
      </c>
      <c r="I112" t="n">
        <v>0</v>
      </c>
      <c r="J112" t="n">
        <v>0</v>
      </c>
      <c r="K112" t="n">
        <v>0</v>
      </c>
      <c r="L112" t="n">
        <v>0</v>
      </c>
      <c r="M112" t="n">
        <v>0</v>
      </c>
      <c r="N112" t="n">
        <v>0</v>
      </c>
      <c r="O112" t="n">
        <v>0</v>
      </c>
      <c r="P112" t="n">
        <v>0</v>
      </c>
      <c r="Q112" t="n">
        <v>0</v>
      </c>
      <c r="R112" s="2" t="inlineStr"/>
    </row>
    <row r="113" ht="15" customHeight="1">
      <c r="A113" t="inlineStr">
        <is>
          <t>A 34153-2024</t>
        </is>
      </c>
      <c r="B113" s="1" t="n">
        <v>45524.38400462963</v>
      </c>
      <c r="C113" s="1" t="n">
        <v>45974</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14731-2022</t>
        </is>
      </c>
      <c r="B114" s="1" t="n">
        <v>44656</v>
      </c>
      <c r="C114" s="1" t="n">
        <v>45974</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44585.72818287037</v>
      </c>
      <c r="C115" s="1" t="n">
        <v>45974</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8659-2025</t>
        </is>
      </c>
      <c r="B116" s="1" t="n">
        <v>45712</v>
      </c>
      <c r="C116" s="1" t="n">
        <v>45974</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44727.59578703704</v>
      </c>
      <c r="C117" s="1" t="n">
        <v>45974</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5344-2024</t>
        </is>
      </c>
      <c r="B118" s="1" t="n">
        <v>45331</v>
      </c>
      <c r="C118" s="1" t="n">
        <v>45974</v>
      </c>
      <c r="D118" t="inlineStr">
        <is>
          <t>VÄSTRA GÖTALANDS LÄN</t>
        </is>
      </c>
      <c r="E118" t="inlineStr">
        <is>
          <t>ALE</t>
        </is>
      </c>
      <c r="G118" t="n">
        <v>2.5</v>
      </c>
      <c r="H118" t="n">
        <v>0</v>
      </c>
      <c r="I118" t="n">
        <v>0</v>
      </c>
      <c r="J118" t="n">
        <v>0</v>
      </c>
      <c r="K118" t="n">
        <v>0</v>
      </c>
      <c r="L118" t="n">
        <v>0</v>
      </c>
      <c r="M118" t="n">
        <v>0</v>
      </c>
      <c r="N118" t="n">
        <v>0</v>
      </c>
      <c r="O118" t="n">
        <v>0</v>
      </c>
      <c r="P118" t="n">
        <v>0</v>
      </c>
      <c r="Q118" t="n">
        <v>0</v>
      </c>
      <c r="R118" s="2" t="inlineStr"/>
    </row>
    <row r="119" ht="15" customHeight="1">
      <c r="A119" t="inlineStr">
        <is>
          <t>A 65226-2021</t>
        </is>
      </c>
      <c r="B119" s="1" t="n">
        <v>44515</v>
      </c>
      <c r="C119" s="1" t="n">
        <v>45974</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29373-2025</t>
        </is>
      </c>
      <c r="B120" s="1" t="n">
        <v>45824.579375</v>
      </c>
      <c r="C120" s="1" t="n">
        <v>45974</v>
      </c>
      <c r="D120" t="inlineStr">
        <is>
          <t>VÄSTRA GÖTALANDS LÄN</t>
        </is>
      </c>
      <c r="E120" t="inlineStr">
        <is>
          <t>ALE</t>
        </is>
      </c>
      <c r="G120" t="n">
        <v>4.6</v>
      </c>
      <c r="H120" t="n">
        <v>0</v>
      </c>
      <c r="I120" t="n">
        <v>0</v>
      </c>
      <c r="J120" t="n">
        <v>0</v>
      </c>
      <c r="K120" t="n">
        <v>0</v>
      </c>
      <c r="L120" t="n">
        <v>0</v>
      </c>
      <c r="M120" t="n">
        <v>0</v>
      </c>
      <c r="N120" t="n">
        <v>0</v>
      </c>
      <c r="O120" t="n">
        <v>0</v>
      </c>
      <c r="P120" t="n">
        <v>0</v>
      </c>
      <c r="Q120" t="n">
        <v>0</v>
      </c>
      <c r="R120" s="2" t="inlineStr"/>
    </row>
    <row r="121" ht="15" customHeight="1">
      <c r="A121" t="inlineStr">
        <is>
          <t>A 18999-2021</t>
        </is>
      </c>
      <c r="B121" s="1" t="n">
        <v>44308</v>
      </c>
      <c r="C121" s="1" t="n">
        <v>45974</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13382-2025</t>
        </is>
      </c>
      <c r="B122" s="1" t="n">
        <v>45735.67928240741</v>
      </c>
      <c r="C122" s="1" t="n">
        <v>45974</v>
      </c>
      <c r="D122" t="inlineStr">
        <is>
          <t>VÄSTRA GÖTALANDS LÄN</t>
        </is>
      </c>
      <c r="E122" t="inlineStr">
        <is>
          <t>ALE</t>
        </is>
      </c>
      <c r="G122" t="n">
        <v>0.9</v>
      </c>
      <c r="H122" t="n">
        <v>0</v>
      </c>
      <c r="I122" t="n">
        <v>0</v>
      </c>
      <c r="J122" t="n">
        <v>0</v>
      </c>
      <c r="K122" t="n">
        <v>0</v>
      </c>
      <c r="L122" t="n">
        <v>0</v>
      </c>
      <c r="M122" t="n">
        <v>0</v>
      </c>
      <c r="N122" t="n">
        <v>0</v>
      </c>
      <c r="O122" t="n">
        <v>0</v>
      </c>
      <c r="P122" t="n">
        <v>0</v>
      </c>
      <c r="Q122" t="n">
        <v>0</v>
      </c>
      <c r="R122" s="2" t="inlineStr"/>
    </row>
    <row r="123" ht="15" customHeight="1">
      <c r="A123" t="inlineStr">
        <is>
          <t>A 13903-2025</t>
        </is>
      </c>
      <c r="B123" s="1" t="n">
        <v>45737.63481481482</v>
      </c>
      <c r="C123" s="1" t="n">
        <v>45974</v>
      </c>
      <c r="D123" t="inlineStr">
        <is>
          <t>VÄSTRA GÖTALANDS LÄN</t>
        </is>
      </c>
      <c r="E123" t="inlineStr">
        <is>
          <t>ALE</t>
        </is>
      </c>
      <c r="G123" t="n">
        <v>0.5</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44827.4609837963</v>
      </c>
      <c r="C124" s="1" t="n">
        <v>45974</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49955-2021</t>
        </is>
      </c>
      <c r="B125" s="1" t="n">
        <v>44456</v>
      </c>
      <c r="C125" s="1" t="n">
        <v>45974</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4642-2024</t>
        </is>
      </c>
      <c r="B126" s="1" t="n">
        <v>45328.43502314815</v>
      </c>
      <c r="C126" s="1" t="n">
        <v>45974</v>
      </c>
      <c r="D126" t="inlineStr">
        <is>
          <t>VÄSTRA GÖTALANDS LÄN</t>
        </is>
      </c>
      <c r="E126" t="inlineStr">
        <is>
          <t>ALE</t>
        </is>
      </c>
      <c r="G126" t="n">
        <v>7.1</v>
      </c>
      <c r="H126" t="n">
        <v>0</v>
      </c>
      <c r="I126" t="n">
        <v>0</v>
      </c>
      <c r="J126" t="n">
        <v>0</v>
      </c>
      <c r="K126" t="n">
        <v>0</v>
      </c>
      <c r="L126" t="n">
        <v>0</v>
      </c>
      <c r="M126" t="n">
        <v>0</v>
      </c>
      <c r="N126" t="n">
        <v>0</v>
      </c>
      <c r="O126" t="n">
        <v>0</v>
      </c>
      <c r="P126" t="n">
        <v>0</v>
      </c>
      <c r="Q126" t="n">
        <v>0</v>
      </c>
      <c r="R126" s="2" t="inlineStr"/>
    </row>
    <row r="127" ht="15" customHeight="1">
      <c r="A127" t="inlineStr">
        <is>
          <t>A 69325-2020</t>
        </is>
      </c>
      <c r="B127" s="1" t="n">
        <v>44193</v>
      </c>
      <c r="C127" s="1" t="n">
        <v>45974</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17044-2025</t>
        </is>
      </c>
      <c r="B128" s="1" t="n">
        <v>45755.58891203703</v>
      </c>
      <c r="C128" s="1" t="n">
        <v>45974</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31407-2025</t>
        </is>
      </c>
      <c r="B129" s="1" t="n">
        <v>45833</v>
      </c>
      <c r="C129" s="1" t="n">
        <v>45974</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31409-2025</t>
        </is>
      </c>
      <c r="B130" s="1" t="n">
        <v>45833</v>
      </c>
      <c r="C130" s="1" t="n">
        <v>45974</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45974</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31488-2025</t>
        </is>
      </c>
      <c r="B132" s="1" t="n">
        <v>45833</v>
      </c>
      <c r="C132" s="1" t="n">
        <v>45974</v>
      </c>
      <c r="D132" t="inlineStr">
        <is>
          <t>VÄSTRA GÖTALANDS LÄN</t>
        </is>
      </c>
      <c r="E132" t="inlineStr">
        <is>
          <t>ALE</t>
        </is>
      </c>
      <c r="G132" t="n">
        <v>1.8</v>
      </c>
      <c r="H132" t="n">
        <v>0</v>
      </c>
      <c r="I132" t="n">
        <v>0</v>
      </c>
      <c r="J132" t="n">
        <v>0</v>
      </c>
      <c r="K132" t="n">
        <v>0</v>
      </c>
      <c r="L132" t="n">
        <v>0</v>
      </c>
      <c r="M132" t="n">
        <v>0</v>
      </c>
      <c r="N132" t="n">
        <v>0</v>
      </c>
      <c r="O132" t="n">
        <v>0</v>
      </c>
      <c r="P132" t="n">
        <v>0</v>
      </c>
      <c r="Q132" t="n">
        <v>0</v>
      </c>
      <c r="R132" s="2" t="inlineStr"/>
    </row>
    <row r="133" ht="15" customHeight="1">
      <c r="A133" t="inlineStr">
        <is>
          <t>A 31533-2025</t>
        </is>
      </c>
      <c r="B133" s="1" t="n">
        <v>45833</v>
      </c>
      <c r="C133" s="1" t="n">
        <v>45974</v>
      </c>
      <c r="D133" t="inlineStr">
        <is>
          <t>VÄSTRA GÖTALANDS LÄN</t>
        </is>
      </c>
      <c r="E133" t="inlineStr">
        <is>
          <t>ALE</t>
        </is>
      </c>
      <c r="G133" t="n">
        <v>1.6</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45974</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45974</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200-2022</t>
        </is>
      </c>
      <c r="B136" s="1" t="n">
        <v>44564</v>
      </c>
      <c r="C136" s="1" t="n">
        <v>45974</v>
      </c>
      <c r="D136" t="inlineStr">
        <is>
          <t>VÄSTRA GÖTALANDS LÄN</t>
        </is>
      </c>
      <c r="E136" t="inlineStr">
        <is>
          <t>ALE</t>
        </is>
      </c>
      <c r="G136" t="n">
        <v>6.8</v>
      </c>
      <c r="H136" t="n">
        <v>0</v>
      </c>
      <c r="I136" t="n">
        <v>0</v>
      </c>
      <c r="J136" t="n">
        <v>0</v>
      </c>
      <c r="K136" t="n">
        <v>0</v>
      </c>
      <c r="L136" t="n">
        <v>0</v>
      </c>
      <c r="M136" t="n">
        <v>0</v>
      </c>
      <c r="N136" t="n">
        <v>0</v>
      </c>
      <c r="O136" t="n">
        <v>0</v>
      </c>
      <c r="P136" t="n">
        <v>0</v>
      </c>
      <c r="Q136" t="n">
        <v>0</v>
      </c>
      <c r="R136" s="2" t="inlineStr"/>
    </row>
    <row r="137" ht="15" customHeight="1">
      <c r="A137" t="inlineStr">
        <is>
          <t>A 40074-2025</t>
        </is>
      </c>
      <c r="B137" s="1" t="n">
        <v>45894.44685185186</v>
      </c>
      <c r="C137" s="1" t="n">
        <v>45974</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15582-2025</t>
        </is>
      </c>
      <c r="B138" s="1" t="n">
        <v>45747.81394675926</v>
      </c>
      <c r="C138" s="1" t="n">
        <v>45974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7892-2024</t>
        </is>
      </c>
      <c r="B139" s="1" t="n">
        <v>45350.40921296296</v>
      </c>
      <c r="C139" s="1" t="n">
        <v>45974</v>
      </c>
      <c r="D139" t="inlineStr">
        <is>
          <t>VÄSTRA GÖTALANDS LÄN</t>
        </is>
      </c>
      <c r="E139" t="inlineStr">
        <is>
          <t>ALE</t>
        </is>
      </c>
      <c r="G139" t="n">
        <v>3.6</v>
      </c>
      <c r="H139" t="n">
        <v>0</v>
      </c>
      <c r="I139" t="n">
        <v>0</v>
      </c>
      <c r="J139" t="n">
        <v>0</v>
      </c>
      <c r="K139" t="n">
        <v>0</v>
      </c>
      <c r="L139" t="n">
        <v>0</v>
      </c>
      <c r="M139" t="n">
        <v>0</v>
      </c>
      <c r="N139" t="n">
        <v>0</v>
      </c>
      <c r="O139" t="n">
        <v>0</v>
      </c>
      <c r="P139" t="n">
        <v>0</v>
      </c>
      <c r="Q139" t="n">
        <v>0</v>
      </c>
      <c r="R139" s="2" t="inlineStr"/>
    </row>
    <row r="140" ht="15" customHeight="1">
      <c r="A140" t="inlineStr">
        <is>
          <t>A 48213-2025</t>
        </is>
      </c>
      <c r="B140" s="1" t="n">
        <v>45933</v>
      </c>
      <c r="C140" s="1" t="n">
        <v>45974</v>
      </c>
      <c r="D140" t="inlineStr">
        <is>
          <t>VÄSTRA GÖTALANDS LÄN</t>
        </is>
      </c>
      <c r="E140" t="inlineStr">
        <is>
          <t>ALE</t>
        </is>
      </c>
      <c r="G140" t="n">
        <v>3.3</v>
      </c>
      <c r="H140" t="n">
        <v>0</v>
      </c>
      <c r="I140" t="n">
        <v>0</v>
      </c>
      <c r="J140" t="n">
        <v>0</v>
      </c>
      <c r="K140" t="n">
        <v>0</v>
      </c>
      <c r="L140" t="n">
        <v>0</v>
      </c>
      <c r="M140" t="n">
        <v>0</v>
      </c>
      <c r="N140" t="n">
        <v>0</v>
      </c>
      <c r="O140" t="n">
        <v>0</v>
      </c>
      <c r="P140" t="n">
        <v>0</v>
      </c>
      <c r="Q140" t="n">
        <v>0</v>
      </c>
      <c r="R140" s="2" t="inlineStr"/>
    </row>
    <row r="141" ht="15" customHeight="1">
      <c r="A141" t="inlineStr">
        <is>
          <t>A 48218-2025</t>
        </is>
      </c>
      <c r="B141" s="1" t="n">
        <v>45933</v>
      </c>
      <c r="C141" s="1" t="n">
        <v>45974</v>
      </c>
      <c r="D141" t="inlineStr">
        <is>
          <t>VÄSTRA GÖTALANDS LÄN</t>
        </is>
      </c>
      <c r="E141" t="inlineStr">
        <is>
          <t>ALE</t>
        </is>
      </c>
      <c r="G141" t="n">
        <v>1.4</v>
      </c>
      <c r="H141" t="n">
        <v>0</v>
      </c>
      <c r="I141" t="n">
        <v>0</v>
      </c>
      <c r="J141" t="n">
        <v>0</v>
      </c>
      <c r="K141" t="n">
        <v>0</v>
      </c>
      <c r="L141" t="n">
        <v>0</v>
      </c>
      <c r="M141" t="n">
        <v>0</v>
      </c>
      <c r="N141" t="n">
        <v>0</v>
      </c>
      <c r="O141" t="n">
        <v>0</v>
      </c>
      <c r="P141" t="n">
        <v>0</v>
      </c>
      <c r="Q141" t="n">
        <v>0</v>
      </c>
      <c r="R141" s="2" t="inlineStr"/>
    </row>
    <row r="142" ht="15" customHeight="1">
      <c r="A142" t="inlineStr">
        <is>
          <t>A 6947-2024</t>
        </is>
      </c>
      <c r="B142" s="1" t="n">
        <v>45343</v>
      </c>
      <c r="C142" s="1" t="n">
        <v>45974</v>
      </c>
      <c r="D142" t="inlineStr">
        <is>
          <t>VÄSTRA GÖTALANDS LÄN</t>
        </is>
      </c>
      <c r="E142" t="inlineStr">
        <is>
          <t>ALE</t>
        </is>
      </c>
      <c r="G142" t="n">
        <v>3.7</v>
      </c>
      <c r="H142" t="n">
        <v>0</v>
      </c>
      <c r="I142" t="n">
        <v>0</v>
      </c>
      <c r="J142" t="n">
        <v>0</v>
      </c>
      <c r="K142" t="n">
        <v>0</v>
      </c>
      <c r="L142" t="n">
        <v>0</v>
      </c>
      <c r="M142" t="n">
        <v>0</v>
      </c>
      <c r="N142" t="n">
        <v>0</v>
      </c>
      <c r="O142" t="n">
        <v>0</v>
      </c>
      <c r="P142" t="n">
        <v>0</v>
      </c>
      <c r="Q142" t="n">
        <v>0</v>
      </c>
      <c r="R142" s="2" t="inlineStr"/>
    </row>
    <row r="143" ht="15" customHeight="1">
      <c r="A143" t="inlineStr">
        <is>
          <t>A 4444-2024</t>
        </is>
      </c>
      <c r="B143" s="1" t="n">
        <v>45327</v>
      </c>
      <c r="C143" s="1" t="n">
        <v>45974</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72801-2021</t>
        </is>
      </c>
      <c r="B144" s="1" t="n">
        <v>44546</v>
      </c>
      <c r="C144" s="1" t="n">
        <v>45974</v>
      </c>
      <c r="D144" t="inlineStr">
        <is>
          <t>VÄSTRA GÖTALANDS LÄN</t>
        </is>
      </c>
      <c r="E144" t="inlineStr">
        <is>
          <t>ALE</t>
        </is>
      </c>
      <c r="F144" t="inlineStr">
        <is>
          <t>Naturvårdsverket</t>
        </is>
      </c>
      <c r="G144" t="n">
        <v>1.4</v>
      </c>
      <c r="H144" t="n">
        <v>0</v>
      </c>
      <c r="I144" t="n">
        <v>0</v>
      </c>
      <c r="J144" t="n">
        <v>0</v>
      </c>
      <c r="K144" t="n">
        <v>0</v>
      </c>
      <c r="L144" t="n">
        <v>0</v>
      </c>
      <c r="M144" t="n">
        <v>0</v>
      </c>
      <c r="N144" t="n">
        <v>0</v>
      </c>
      <c r="O144" t="n">
        <v>0</v>
      </c>
      <c r="P144" t="n">
        <v>0</v>
      </c>
      <c r="Q144" t="n">
        <v>0</v>
      </c>
      <c r="R144" s="2" t="inlineStr"/>
    </row>
    <row r="145" ht="15" customHeight="1">
      <c r="A145" t="inlineStr">
        <is>
          <t>A 50189-2025</t>
        </is>
      </c>
      <c r="B145" s="1" t="n">
        <v>45943.63476851852</v>
      </c>
      <c r="C145" s="1" t="n">
        <v>45974</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26083-2023</t>
        </is>
      </c>
      <c r="B146" s="1" t="n">
        <v>45091</v>
      </c>
      <c r="C146" s="1" t="n">
        <v>45974</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50973-2025</t>
        </is>
      </c>
      <c r="B147" s="1" t="n">
        <v>45947.31263888889</v>
      </c>
      <c r="C147" s="1" t="n">
        <v>45974</v>
      </c>
      <c r="D147" t="inlineStr">
        <is>
          <t>VÄSTRA GÖTALANDS LÄN</t>
        </is>
      </c>
      <c r="E147" t="inlineStr">
        <is>
          <t>ALE</t>
        </is>
      </c>
      <c r="G147" t="n">
        <v>12</v>
      </c>
      <c r="H147" t="n">
        <v>0</v>
      </c>
      <c r="I147" t="n">
        <v>0</v>
      </c>
      <c r="J147" t="n">
        <v>0</v>
      </c>
      <c r="K147" t="n">
        <v>0</v>
      </c>
      <c r="L147" t="n">
        <v>0</v>
      </c>
      <c r="M147" t="n">
        <v>0</v>
      </c>
      <c r="N147" t="n">
        <v>0</v>
      </c>
      <c r="O147" t="n">
        <v>0</v>
      </c>
      <c r="P147" t="n">
        <v>0</v>
      </c>
      <c r="Q147" t="n">
        <v>0</v>
      </c>
      <c r="R147" s="2" t="inlineStr"/>
    </row>
    <row r="148" ht="15" customHeight="1">
      <c r="A148" t="inlineStr">
        <is>
          <t>A 13426-2025</t>
        </is>
      </c>
      <c r="B148" s="1" t="n">
        <v>45736.32780092592</v>
      </c>
      <c r="C148" s="1" t="n">
        <v>45974</v>
      </c>
      <c r="D148" t="inlineStr">
        <is>
          <t>VÄSTRA GÖTALANDS LÄN</t>
        </is>
      </c>
      <c r="E148" t="inlineStr">
        <is>
          <t>ALE</t>
        </is>
      </c>
      <c r="G148" t="n">
        <v>1.5</v>
      </c>
      <c r="H148" t="n">
        <v>0</v>
      </c>
      <c r="I148" t="n">
        <v>0</v>
      </c>
      <c r="J148" t="n">
        <v>0</v>
      </c>
      <c r="K148" t="n">
        <v>0</v>
      </c>
      <c r="L148" t="n">
        <v>0</v>
      </c>
      <c r="M148" t="n">
        <v>0</v>
      </c>
      <c r="N148" t="n">
        <v>0</v>
      </c>
      <c r="O148" t="n">
        <v>0</v>
      </c>
      <c r="P148" t="n">
        <v>0</v>
      </c>
      <c r="Q148" t="n">
        <v>0</v>
      </c>
      <c r="R148" s="2" t="inlineStr"/>
    </row>
    <row r="149" ht="15" customHeight="1">
      <c r="A149" t="inlineStr">
        <is>
          <t>A 16344-2023</t>
        </is>
      </c>
      <c r="B149" s="1" t="n">
        <v>45028</v>
      </c>
      <c r="C149" s="1" t="n">
        <v>45974</v>
      </c>
      <c r="D149" t="inlineStr">
        <is>
          <t>VÄSTRA GÖTALANDS LÄN</t>
        </is>
      </c>
      <c r="E149" t="inlineStr">
        <is>
          <t>ALE</t>
        </is>
      </c>
      <c r="G149" t="n">
        <v>6.6</v>
      </c>
      <c r="H149" t="n">
        <v>0</v>
      </c>
      <c r="I149" t="n">
        <v>0</v>
      </c>
      <c r="J149" t="n">
        <v>0</v>
      </c>
      <c r="K149" t="n">
        <v>0</v>
      </c>
      <c r="L149" t="n">
        <v>0</v>
      </c>
      <c r="M149" t="n">
        <v>0</v>
      </c>
      <c r="N149" t="n">
        <v>0</v>
      </c>
      <c r="O149" t="n">
        <v>0</v>
      </c>
      <c r="P149" t="n">
        <v>0</v>
      </c>
      <c r="Q149" t="n">
        <v>0</v>
      </c>
      <c r="R149" s="2" t="inlineStr"/>
    </row>
    <row r="150" ht="15" customHeight="1">
      <c r="A150" t="inlineStr">
        <is>
          <t>A 4363-2024</t>
        </is>
      </c>
      <c r="B150" s="1" t="n">
        <v>45325</v>
      </c>
      <c r="C150" s="1" t="n">
        <v>45974</v>
      </c>
      <c r="D150" t="inlineStr">
        <is>
          <t>VÄSTRA GÖTALANDS LÄN</t>
        </is>
      </c>
      <c r="E150" t="inlineStr">
        <is>
          <t>ALE</t>
        </is>
      </c>
      <c r="G150" t="n">
        <v>0.6</v>
      </c>
      <c r="H150" t="n">
        <v>0</v>
      </c>
      <c r="I150" t="n">
        <v>0</v>
      </c>
      <c r="J150" t="n">
        <v>0</v>
      </c>
      <c r="K150" t="n">
        <v>0</v>
      </c>
      <c r="L150" t="n">
        <v>0</v>
      </c>
      <c r="M150" t="n">
        <v>0</v>
      </c>
      <c r="N150" t="n">
        <v>0</v>
      </c>
      <c r="O150" t="n">
        <v>0</v>
      </c>
      <c r="P150" t="n">
        <v>0</v>
      </c>
      <c r="Q150" t="n">
        <v>0</v>
      </c>
      <c r="R150" s="2" t="inlineStr"/>
    </row>
    <row r="151" ht="15" customHeight="1">
      <c r="A151" t="inlineStr">
        <is>
          <t>A 51976-2025</t>
        </is>
      </c>
      <c r="B151" s="1" t="n">
        <v>45952.56412037037</v>
      </c>
      <c r="C151" s="1" t="n">
        <v>45974</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45988-2021</t>
        </is>
      </c>
      <c r="B152" s="1" t="n">
        <v>44441</v>
      </c>
      <c r="C152" s="1" t="n">
        <v>45974</v>
      </c>
      <c r="D152" t="inlineStr">
        <is>
          <t>VÄSTRA GÖTALANDS LÄN</t>
        </is>
      </c>
      <c r="E152" t="inlineStr">
        <is>
          <t>ALE</t>
        </is>
      </c>
      <c r="G152" t="n">
        <v>1.2</v>
      </c>
      <c r="H152" t="n">
        <v>0</v>
      </c>
      <c r="I152" t="n">
        <v>0</v>
      </c>
      <c r="J152" t="n">
        <v>0</v>
      </c>
      <c r="K152" t="n">
        <v>0</v>
      </c>
      <c r="L152" t="n">
        <v>0</v>
      </c>
      <c r="M152" t="n">
        <v>0</v>
      </c>
      <c r="N152" t="n">
        <v>0</v>
      </c>
      <c r="O152" t="n">
        <v>0</v>
      </c>
      <c r="P152" t="n">
        <v>0</v>
      </c>
      <c r="Q152" t="n">
        <v>0</v>
      </c>
      <c r="R152" s="2" t="inlineStr"/>
    </row>
    <row r="153" ht="15" customHeight="1">
      <c r="A153" t="inlineStr">
        <is>
          <t>A 52423-2025</t>
        </is>
      </c>
      <c r="B153" s="1" t="n">
        <v>45954.37650462963</v>
      </c>
      <c r="C153" s="1" t="n">
        <v>45974</v>
      </c>
      <c r="D153" t="inlineStr">
        <is>
          <t>VÄSTRA GÖTALANDS LÄN</t>
        </is>
      </c>
      <c r="E153" t="inlineStr">
        <is>
          <t>ALE</t>
        </is>
      </c>
      <c r="G153" t="n">
        <v>4.1</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45974</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52391-2025</t>
        </is>
      </c>
      <c r="B155" s="1" t="n">
        <v>45954.34305555555</v>
      </c>
      <c r="C155" s="1" t="n">
        <v>45974</v>
      </c>
      <c r="D155" t="inlineStr">
        <is>
          <t>VÄSTRA GÖTALANDS LÄN</t>
        </is>
      </c>
      <c r="E155" t="inlineStr">
        <is>
          <t>ALE</t>
        </is>
      </c>
      <c r="G155" t="n">
        <v>10.6</v>
      </c>
      <c r="H155" t="n">
        <v>0</v>
      </c>
      <c r="I155" t="n">
        <v>0</v>
      </c>
      <c r="J155" t="n">
        <v>0</v>
      </c>
      <c r="K155" t="n">
        <v>0</v>
      </c>
      <c r="L155" t="n">
        <v>0</v>
      </c>
      <c r="M155" t="n">
        <v>0</v>
      </c>
      <c r="N155" t="n">
        <v>0</v>
      </c>
      <c r="O155" t="n">
        <v>0</v>
      </c>
      <c r="P155" t="n">
        <v>0</v>
      </c>
      <c r="Q155" t="n">
        <v>0</v>
      </c>
      <c r="R155" s="2" t="inlineStr"/>
    </row>
    <row r="156" ht="15" customHeight="1">
      <c r="A156" t="inlineStr">
        <is>
          <t>A 48257-2022</t>
        </is>
      </c>
      <c r="B156" s="1" t="n">
        <v>44858.47591435185</v>
      </c>
      <c r="C156" s="1" t="n">
        <v>45974</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41309-2024</t>
        </is>
      </c>
      <c r="B157" s="1" t="n">
        <v>45559</v>
      </c>
      <c r="C157" s="1" t="n">
        <v>45974</v>
      </c>
      <c r="D157" t="inlineStr">
        <is>
          <t>VÄSTRA GÖTALANDS LÄN</t>
        </is>
      </c>
      <c r="E157" t="inlineStr">
        <is>
          <t>ALE</t>
        </is>
      </c>
      <c r="G157" t="n">
        <v>8.4</v>
      </c>
      <c r="H157" t="n">
        <v>0</v>
      </c>
      <c r="I157" t="n">
        <v>0</v>
      </c>
      <c r="J157" t="n">
        <v>0</v>
      </c>
      <c r="K157" t="n">
        <v>0</v>
      </c>
      <c r="L157" t="n">
        <v>0</v>
      </c>
      <c r="M157" t="n">
        <v>0</v>
      </c>
      <c r="N157" t="n">
        <v>0</v>
      </c>
      <c r="O157" t="n">
        <v>0</v>
      </c>
      <c r="P157" t="n">
        <v>0</v>
      </c>
      <c r="Q157" t="n">
        <v>0</v>
      </c>
      <c r="R157" s="2" t="inlineStr"/>
    </row>
    <row r="158" ht="15" customHeight="1">
      <c r="A158" t="inlineStr">
        <is>
          <t>A 7807-2023</t>
        </is>
      </c>
      <c r="B158" s="1" t="n">
        <v>44973</v>
      </c>
      <c r="C158" s="1" t="n">
        <v>45974</v>
      </c>
      <c r="D158" t="inlineStr">
        <is>
          <t>VÄSTRA GÖTALANDS LÄN</t>
        </is>
      </c>
      <c r="E158" t="inlineStr">
        <is>
          <t>ALE</t>
        </is>
      </c>
      <c r="G158" t="n">
        <v>10.5</v>
      </c>
      <c r="H158" t="n">
        <v>0</v>
      </c>
      <c r="I158" t="n">
        <v>0</v>
      </c>
      <c r="J158" t="n">
        <v>0</v>
      </c>
      <c r="K158" t="n">
        <v>0</v>
      </c>
      <c r="L158" t="n">
        <v>0</v>
      </c>
      <c r="M158" t="n">
        <v>0</v>
      </c>
      <c r="N158" t="n">
        <v>0</v>
      </c>
      <c r="O158" t="n">
        <v>0</v>
      </c>
      <c r="P158" t="n">
        <v>0</v>
      </c>
      <c r="Q158" t="n">
        <v>0</v>
      </c>
      <c r="R158" s="2" t="inlineStr"/>
    </row>
    <row r="159" ht="15" customHeight="1">
      <c r="A159" t="inlineStr">
        <is>
          <t>A 46226-2025</t>
        </is>
      </c>
      <c r="B159" s="1" t="n">
        <v>45924</v>
      </c>
      <c r="C159" s="1" t="n">
        <v>45974</v>
      </c>
      <c r="D159" t="inlineStr">
        <is>
          <t>VÄSTRA GÖTALANDS LÄN</t>
        </is>
      </c>
      <c r="E159" t="inlineStr">
        <is>
          <t>ALE</t>
        </is>
      </c>
      <c r="G159" t="n">
        <v>2.3</v>
      </c>
      <c r="H159" t="n">
        <v>0</v>
      </c>
      <c r="I159" t="n">
        <v>0</v>
      </c>
      <c r="J159" t="n">
        <v>0</v>
      </c>
      <c r="K159" t="n">
        <v>0</v>
      </c>
      <c r="L159" t="n">
        <v>0</v>
      </c>
      <c r="M159" t="n">
        <v>0</v>
      </c>
      <c r="N159" t="n">
        <v>0</v>
      </c>
      <c r="O159" t="n">
        <v>0</v>
      </c>
      <c r="P159" t="n">
        <v>0</v>
      </c>
      <c r="Q159" t="n">
        <v>0</v>
      </c>
      <c r="R159" s="2" t="inlineStr"/>
    </row>
    <row r="160" ht="15" customHeight="1">
      <c r="A160" t="inlineStr">
        <is>
          <t>A 3413-2023</t>
        </is>
      </c>
      <c r="B160" s="1" t="n">
        <v>44949</v>
      </c>
      <c r="C160" s="1" t="n">
        <v>45974</v>
      </c>
      <c r="D160" t="inlineStr">
        <is>
          <t>VÄSTRA GÖTALANDS LÄN</t>
        </is>
      </c>
      <c r="E160" t="inlineStr">
        <is>
          <t>ALE</t>
        </is>
      </c>
      <c r="G160" t="n">
        <v>2.3</v>
      </c>
      <c r="H160" t="n">
        <v>0</v>
      </c>
      <c r="I160" t="n">
        <v>0</v>
      </c>
      <c r="J160" t="n">
        <v>0</v>
      </c>
      <c r="K160" t="n">
        <v>0</v>
      </c>
      <c r="L160" t="n">
        <v>0</v>
      </c>
      <c r="M160" t="n">
        <v>0</v>
      </c>
      <c r="N160" t="n">
        <v>0</v>
      </c>
      <c r="O160" t="n">
        <v>0</v>
      </c>
      <c r="P160" t="n">
        <v>0</v>
      </c>
      <c r="Q160" t="n">
        <v>0</v>
      </c>
      <c r="R160" s="2" t="inlineStr"/>
    </row>
    <row r="161" ht="15" customHeight="1">
      <c r="A161" t="inlineStr">
        <is>
          <t>A 46227-2025</t>
        </is>
      </c>
      <c r="B161" s="1" t="n">
        <v>45924.90386574074</v>
      </c>
      <c r="C161" s="1" t="n">
        <v>45974</v>
      </c>
      <c r="D161" t="inlineStr">
        <is>
          <t>VÄSTRA GÖTALANDS LÄN</t>
        </is>
      </c>
      <c r="E161" t="inlineStr">
        <is>
          <t>ALE</t>
        </is>
      </c>
      <c r="G161" t="n">
        <v>0.3</v>
      </c>
      <c r="H161" t="n">
        <v>0</v>
      </c>
      <c r="I161" t="n">
        <v>0</v>
      </c>
      <c r="J161" t="n">
        <v>0</v>
      </c>
      <c r="K161" t="n">
        <v>0</v>
      </c>
      <c r="L161" t="n">
        <v>0</v>
      </c>
      <c r="M161" t="n">
        <v>0</v>
      </c>
      <c r="N161" t="n">
        <v>0</v>
      </c>
      <c r="O161" t="n">
        <v>0</v>
      </c>
      <c r="P161" t="n">
        <v>0</v>
      </c>
      <c r="Q161" t="n">
        <v>0</v>
      </c>
      <c r="R161" s="2" t="inlineStr"/>
    </row>
    <row r="162" ht="15" customHeight="1">
      <c r="A162" t="inlineStr">
        <is>
          <t>A 47592-2025</t>
        </is>
      </c>
      <c r="B162" s="1" t="n">
        <v>45931.44649305556</v>
      </c>
      <c r="C162" s="1" t="n">
        <v>45974</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47330-2025</t>
        </is>
      </c>
      <c r="B163" s="1" t="n">
        <v>45930.56170138889</v>
      </c>
      <c r="C163" s="1" t="n">
        <v>45974</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47593-2025</t>
        </is>
      </c>
      <c r="B164" s="1" t="n">
        <v>45931.4480787037</v>
      </c>
      <c r="C164" s="1" t="n">
        <v>45974</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c r="A165" t="inlineStr">
        <is>
          <t>A 47728-2025</t>
        </is>
      </c>
      <c r="B165" s="1" t="n">
        <v>45931.63186342592</v>
      </c>
      <c r="C165" s="1" t="n">
        <v>45974</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2025-11-13T10:09:24Z</dcterms:created>
  <dcterms:modified xmlns:dcterms="http://purl.org/dc/terms/" xmlns:xsi="http://www.w3.org/2001/XMLSchema-instance" xsi:type="dcterms:W3CDTF">2025-11-13T10:09:24Z</dcterms:modified>
</cp:coreProperties>
</file>