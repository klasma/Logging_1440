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45833</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45833</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45833</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45833</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45833</v>
      </c>
      <c r="D8" t="inlineStr">
        <is>
          <t>VÄSTRA GÖTALANDS LÄN</t>
        </is>
      </c>
      <c r="E8" t="inlineStr">
        <is>
          <t>ALE</t>
        </is>
      </c>
      <c r="G8" t="n">
        <v>5.8</v>
      </c>
      <c r="H8" t="n">
        <v>7</v>
      </c>
      <c r="I8" t="n">
        <v>7</v>
      </c>
      <c r="J8" t="n">
        <v>3</v>
      </c>
      <c r="K8" t="n">
        <v>1</v>
      </c>
      <c r="L8" t="n">
        <v>0</v>
      </c>
      <c r="M8" t="n">
        <v>0</v>
      </c>
      <c r="N8" t="n">
        <v>0</v>
      </c>
      <c r="O8" t="n">
        <v>4</v>
      </c>
      <c r="P8" t="n">
        <v>1</v>
      </c>
      <c r="Q8" t="n">
        <v>16</v>
      </c>
      <c r="R8" s="2" t="inlineStr">
        <is>
          <t>Brödtaggsvamp
Motaggsvamp
Spillkråka
Talltita
Björksplintborre
Blanksvart trämyra
Blåmossa
Dropptaggsvamp
Guldlockmossa
Platt fjädermossa
Stor revmossa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9045-2024</t>
        </is>
      </c>
      <c r="B9" s="1" t="n">
        <v>45357</v>
      </c>
      <c r="C9" s="1" t="n">
        <v>45833</v>
      </c>
      <c r="D9" t="inlineStr">
        <is>
          <t>VÄSTRA GÖTALANDS LÄN</t>
        </is>
      </c>
      <c r="E9" t="inlineStr">
        <is>
          <t>ALE</t>
        </is>
      </c>
      <c r="G9" t="n">
        <v>9.1</v>
      </c>
      <c r="H9" t="n">
        <v>7</v>
      </c>
      <c r="I9" t="n">
        <v>7</v>
      </c>
      <c r="J9" t="n">
        <v>3</v>
      </c>
      <c r="K9" t="n">
        <v>0</v>
      </c>
      <c r="L9" t="n">
        <v>0</v>
      </c>
      <c r="M9" t="n">
        <v>0</v>
      </c>
      <c r="N9" t="n">
        <v>0</v>
      </c>
      <c r="O9" t="n">
        <v>3</v>
      </c>
      <c r="P9" t="n">
        <v>0</v>
      </c>
      <c r="Q9" t="n">
        <v>15</v>
      </c>
      <c r="R9" s="2" t="inlineStr">
        <is>
          <t>Grönhjon
Spillkråka
Talltita
Björksplintborre
Blåmossa
Bronshjon
Klippfrullania
Stor revmossa
Västlig hakmossa
Vågbandad barkbock
Bivråk
Grönsiska
Kungsfågel
Orre
Tjäder</t>
        </is>
      </c>
      <c r="S9">
        <f>HYPERLINK("https://klasma.github.io/Logging_1440/artfynd/A 9045-2024 artfynd.xlsx", "A 9045-2024")</f>
        <v/>
      </c>
      <c r="T9">
        <f>HYPERLINK("https://klasma.github.io/Logging_1440/kartor/A 9045-2024 karta.png", "A 9045-2024")</f>
        <v/>
      </c>
      <c r="V9">
        <f>HYPERLINK("https://klasma.github.io/Logging_1440/klagomål/A 9045-2024 FSC-klagomål.docx", "A 9045-2024")</f>
        <v/>
      </c>
      <c r="W9">
        <f>HYPERLINK("https://klasma.github.io/Logging_1440/klagomålsmail/A 9045-2024 FSC-klagomål mail.docx", "A 9045-2024")</f>
        <v/>
      </c>
      <c r="X9">
        <f>HYPERLINK("https://klasma.github.io/Logging_1440/tillsyn/A 9045-2024 tillsynsbegäran.docx", "A 9045-2024")</f>
        <v/>
      </c>
      <c r="Y9">
        <f>HYPERLINK("https://klasma.github.io/Logging_1440/tillsynsmail/A 9045-2024 tillsynsbegäran mail.docx", "A 9045-2024")</f>
        <v/>
      </c>
      <c r="Z9">
        <f>HYPERLINK("https://klasma.github.io/Logging_1440/fåglar/A 9045-2024 prioriterade fågelarter.docx", "A 9045-2024")</f>
        <v/>
      </c>
    </row>
    <row r="10" ht="15" customHeight="1">
      <c r="A10" t="inlineStr">
        <is>
          <t>A 39593-2024</t>
        </is>
      </c>
      <c r="B10" s="1" t="n">
        <v>45552</v>
      </c>
      <c r="C10" s="1" t="n">
        <v>45833</v>
      </c>
      <c r="D10" t="inlineStr">
        <is>
          <t>VÄSTRA GÖTALANDS LÄN</t>
        </is>
      </c>
      <c r="E10" t="inlineStr">
        <is>
          <t>ALE</t>
        </is>
      </c>
      <c r="G10" t="n">
        <v>0.7</v>
      </c>
      <c r="H10" t="n">
        <v>3</v>
      </c>
      <c r="I10" t="n">
        <v>9</v>
      </c>
      <c r="J10" t="n">
        <v>4</v>
      </c>
      <c r="K10" t="n">
        <v>0</v>
      </c>
      <c r="L10" t="n">
        <v>0</v>
      </c>
      <c r="M10" t="n">
        <v>0</v>
      </c>
      <c r="N10" t="n">
        <v>0</v>
      </c>
      <c r="O10" t="n">
        <v>4</v>
      </c>
      <c r="P10" t="n">
        <v>0</v>
      </c>
      <c r="Q10" t="n">
        <v>15</v>
      </c>
      <c r="R10" s="2" t="inlineStr">
        <is>
          <t>Brunpudrad nållav
Grönhjon
Kortskaftad ärgspik
Spillkråka
Blåmossa
Bronshjon
Kattfotslav
Kornknutmossa
Smal svampklubba
Stor revmossa
Vedticka
Västlig hakmossa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36325-2023</t>
        </is>
      </c>
      <c r="B11" s="1" t="n">
        <v>45152</v>
      </c>
      <c r="C11" s="1" t="n">
        <v>45833</v>
      </c>
      <c r="D11" t="inlineStr">
        <is>
          <t>VÄSTRA GÖTALANDS LÄN</t>
        </is>
      </c>
      <c r="E11" t="inlineStr">
        <is>
          <t>ALE</t>
        </is>
      </c>
      <c r="G11" t="n">
        <v>9.4</v>
      </c>
      <c r="H11" t="n">
        <v>5</v>
      </c>
      <c r="I11" t="n">
        <v>8</v>
      </c>
      <c r="J11" t="n">
        <v>3</v>
      </c>
      <c r="K11" t="n">
        <v>0</v>
      </c>
      <c r="L11" t="n">
        <v>0</v>
      </c>
      <c r="M11" t="n">
        <v>0</v>
      </c>
      <c r="N11" t="n">
        <v>0</v>
      </c>
      <c r="O11" t="n">
        <v>3</v>
      </c>
      <c r="P11" t="n">
        <v>0</v>
      </c>
      <c r="Q11" t="n">
        <v>13</v>
      </c>
      <c r="R11" s="2" t="inlineStr">
        <is>
          <t>Spillkråka
Talltita
Vedtrappmossa
Blomkålssvamp
Blåmossa
Grön sköldmossa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53693-2019</t>
        </is>
      </c>
      <c r="B12" s="1" t="n">
        <v>43749</v>
      </c>
      <c r="C12" s="1" t="n">
        <v>45833</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45833</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45833</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45833</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45833</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45833</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45833</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45833</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45833</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45833</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45833</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45833</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45833</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45833</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45833</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45833</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45833</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45833</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45833</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45833</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45833</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45833</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45833</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45833</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45833</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45833</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45833</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45833</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45833</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45833</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45833</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45833</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45833</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45833</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45833</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45833</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45833</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45833</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45833</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45833</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45833</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45833</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45833</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45833</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45833</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45833</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45833</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45833</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45833</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45833</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45833</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45833</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45833</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45833</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45833</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45833</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45833</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45833</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45833</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45833</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45833</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45833</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45833</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45833</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45833</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45833</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45833</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45833</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45833</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45833</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45833</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45833</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45833</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45833</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45833</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45833</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45833</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45833</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45833</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45833</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45833</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45833</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45833</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45833</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45833</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45833</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45833</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45833</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45833</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45833</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45833</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45833</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45833</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45833</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45833</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45833</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45833</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45833</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45833</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45833</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45833</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45833</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45833</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45833</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45833</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45833</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45833</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45833</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45833</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45833</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45833</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45833</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45833</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45833</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45833</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45833</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45833</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45833</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45833</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45833</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45833</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45833</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45833</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45833</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45833</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45833</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45833</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45833</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45833</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45833</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45833</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45833</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45833</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45833</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45833</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45833</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45833</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45833</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45833</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45833</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45833</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45833</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45833</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45833</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45833</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45833</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45833</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45833</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45833</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45833</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45833</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45833</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45833</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45833</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45833</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45833</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45833</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45833</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45833</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45833</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45833</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45833</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45833</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45833</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45833</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45833</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45833</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45833</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45833</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45833</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45833</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45833</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45833</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45833</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45833</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45833</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45833</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45833</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45833</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45833</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45833</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45833</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45833</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45833</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45833</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45833</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45833</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45833</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45833</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45833</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45833</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45833</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45833</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45833</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45833</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45833</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45833</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45833</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45833</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45833</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45833</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45833</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45833</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45833</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45833</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45833</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45833</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45833</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45833</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45833</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45833</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45833</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45833</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45833</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45833</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45833</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45833</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45833</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45833</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45833</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45833</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45833</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45833</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45833</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45833</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45833</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45833</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2025-06-25T19:51:52Z</dcterms:created>
  <dcterms:modified xmlns:dcterms="http://purl.org/dc/terms/" xmlns:xsi="http://www.w3.org/2001/XMLSchema-instance" xsi:type="dcterms:W3CDTF">2025-06-25T19:51:52Z</dcterms:modified>
</cp:coreProperties>
</file>