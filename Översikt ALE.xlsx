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45924</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45924</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45924</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45924</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45924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45924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45924</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35905-2025</t>
        </is>
      </c>
      <c r="B10" s="1" t="n">
        <v>45862</v>
      </c>
      <c r="C10" s="1" t="n">
        <v>45924</v>
      </c>
      <c r="D10" t="inlineStr">
        <is>
          <t>VÄSTRA GÖTALANDS LÄN</t>
        </is>
      </c>
      <c r="E10" t="inlineStr">
        <is>
          <t>ALE</t>
        </is>
      </c>
      <c r="G10" t="n">
        <v>4.2</v>
      </c>
      <c r="H10" t="n">
        <v>5</v>
      </c>
      <c r="I10" t="n">
        <v>3</v>
      </c>
      <c r="J10" t="n">
        <v>2</v>
      </c>
      <c r="K10" t="n">
        <v>0</v>
      </c>
      <c r="L10" t="n">
        <v>0</v>
      </c>
      <c r="M10" t="n">
        <v>0</v>
      </c>
      <c r="N10" t="n">
        <v>0</v>
      </c>
      <c r="O10" t="n">
        <v>2</v>
      </c>
      <c r="P10" t="n">
        <v>0</v>
      </c>
      <c r="Q10" t="n">
        <v>9</v>
      </c>
      <c r="R10" s="2" t="inlineStr">
        <is>
          <t>Skogshare
Spillkråka
Blåmossa
Stor revmossa
Västlig hakmossa
Grönsiska
Kungsfågel
Revlummer
Äkta lopplummer</t>
        </is>
      </c>
      <c r="S10">
        <f>HYPERLINK("https://klasma.github.io/Logging_1440/artfynd/A 35905-2025 artfynd.xlsx", "A 35905-2025")</f>
        <v/>
      </c>
      <c r="T10">
        <f>HYPERLINK("https://klasma.github.io/Logging_1440/kartor/A 35905-2025 karta.png", "A 35905-2025")</f>
        <v/>
      </c>
      <c r="V10">
        <f>HYPERLINK("https://klasma.github.io/Logging_1440/klagomål/A 35905-2025 FSC-klagomål.docx", "A 35905-2025")</f>
        <v/>
      </c>
      <c r="W10">
        <f>HYPERLINK("https://klasma.github.io/Logging_1440/klagomålsmail/A 35905-2025 FSC-klagomål mail.docx", "A 35905-2025")</f>
        <v/>
      </c>
      <c r="X10">
        <f>HYPERLINK("https://klasma.github.io/Logging_1440/tillsyn/A 35905-2025 tillsynsbegäran.docx", "A 35905-2025")</f>
        <v/>
      </c>
      <c r="Y10">
        <f>HYPERLINK("https://klasma.github.io/Logging_1440/tillsynsmail/A 35905-2025 tillsynsbegäran mail.docx", "A 35905-2025")</f>
        <v/>
      </c>
      <c r="Z10">
        <f>HYPERLINK("https://klasma.github.io/Logging_1440/fåglar/A 35905-2025 prioriterade fågelarter.docx", "A 35905-2025")</f>
        <v/>
      </c>
    </row>
    <row r="11" ht="15" customHeight="1">
      <c r="A11" t="inlineStr">
        <is>
          <t>A 32849-2023</t>
        </is>
      </c>
      <c r="B11" s="1" t="n">
        <v>45124</v>
      </c>
      <c r="C11" s="1" t="n">
        <v>45924</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37005-2025</t>
        </is>
      </c>
      <c r="B12" s="1" t="n">
        <v>45874.69311342593</v>
      </c>
      <c r="C12" s="1" t="n">
        <v>45924</v>
      </c>
      <c r="D12" t="inlineStr">
        <is>
          <t>VÄSTRA GÖTALANDS LÄN</t>
        </is>
      </c>
      <c r="E12" t="inlineStr">
        <is>
          <t>ALE</t>
        </is>
      </c>
      <c r="G12" t="n">
        <v>1.9</v>
      </c>
      <c r="H12" t="n">
        <v>4</v>
      </c>
      <c r="I12" t="n">
        <v>3</v>
      </c>
      <c r="J12" t="n">
        <v>1</v>
      </c>
      <c r="K12" t="n">
        <v>0</v>
      </c>
      <c r="L12" t="n">
        <v>0</v>
      </c>
      <c r="M12" t="n">
        <v>1</v>
      </c>
      <c r="N12" t="n">
        <v>0</v>
      </c>
      <c r="O12" t="n">
        <v>2</v>
      </c>
      <c r="P12" t="n">
        <v>1</v>
      </c>
      <c r="Q12" t="n">
        <v>8</v>
      </c>
      <c r="R12" s="2" t="inlineStr">
        <is>
          <t>Skogsalm
Spillkråka
Blomkålssvamp
Grovticka
Västlig hakmossa
Kungsfågel
Vanlig groda
Revlummer</t>
        </is>
      </c>
      <c r="S12">
        <f>HYPERLINK("https://klasma.github.io/Logging_1440/artfynd/A 37005-2025 artfynd.xlsx", "A 37005-2025")</f>
        <v/>
      </c>
      <c r="T12">
        <f>HYPERLINK("https://klasma.github.io/Logging_1440/kartor/A 37005-2025 karta.png", "A 37005-2025")</f>
        <v/>
      </c>
      <c r="V12">
        <f>HYPERLINK("https://klasma.github.io/Logging_1440/klagomål/A 37005-2025 FSC-klagomål.docx", "A 37005-2025")</f>
        <v/>
      </c>
      <c r="W12">
        <f>HYPERLINK("https://klasma.github.io/Logging_1440/klagomålsmail/A 37005-2025 FSC-klagomål mail.docx", "A 37005-2025")</f>
        <v/>
      </c>
      <c r="X12">
        <f>HYPERLINK("https://klasma.github.io/Logging_1440/tillsyn/A 37005-2025 tillsynsbegäran.docx", "A 37005-2025")</f>
        <v/>
      </c>
      <c r="Y12">
        <f>HYPERLINK("https://klasma.github.io/Logging_1440/tillsynsmail/A 37005-2025 tillsynsbegäran mail.docx", "A 37005-2025")</f>
        <v/>
      </c>
      <c r="Z12">
        <f>HYPERLINK("https://klasma.github.io/Logging_1440/fåglar/A 37005-2025 prioriterade fågelarter.docx", "A 37005-2025")</f>
        <v/>
      </c>
    </row>
    <row r="13" ht="15" customHeight="1">
      <c r="A13" t="inlineStr">
        <is>
          <t>A 22637-2025</t>
        </is>
      </c>
      <c r="B13" s="1" t="n">
        <v>45789</v>
      </c>
      <c r="C13" s="1" t="n">
        <v>45924</v>
      </c>
      <c r="D13" t="inlineStr">
        <is>
          <t>VÄSTRA GÖTALANDS LÄN</t>
        </is>
      </c>
      <c r="E13" t="inlineStr">
        <is>
          <t>ALE</t>
        </is>
      </c>
      <c r="G13" t="n">
        <v>2.3</v>
      </c>
      <c r="H13" t="n">
        <v>1</v>
      </c>
      <c r="I13" t="n">
        <v>5</v>
      </c>
      <c r="J13" t="n">
        <v>1</v>
      </c>
      <c r="K13" t="n">
        <v>0</v>
      </c>
      <c r="L13" t="n">
        <v>1</v>
      </c>
      <c r="M13" t="n">
        <v>0</v>
      </c>
      <c r="N13" t="n">
        <v>0</v>
      </c>
      <c r="O13" t="n">
        <v>2</v>
      </c>
      <c r="P13" t="n">
        <v>1</v>
      </c>
      <c r="Q13" t="n">
        <v>7</v>
      </c>
      <c r="R13" s="2" t="inlineStr">
        <is>
          <t>Ask
Spillkråka
Platt fjädermossa
Skogshakmossa
Stor revmossa
Tibast
Trubbfjädermossa</t>
        </is>
      </c>
      <c r="S13">
        <f>HYPERLINK("https://klasma.github.io/Logging_1440/artfynd/A 22637-2025 artfynd.xlsx", "A 22637-2025")</f>
        <v/>
      </c>
      <c r="T13">
        <f>HYPERLINK("https://klasma.github.io/Logging_1440/kartor/A 22637-2025 karta.png", "A 22637-2025")</f>
        <v/>
      </c>
      <c r="V13">
        <f>HYPERLINK("https://klasma.github.io/Logging_1440/klagomål/A 22637-2025 FSC-klagomål.docx", "A 22637-2025")</f>
        <v/>
      </c>
      <c r="W13">
        <f>HYPERLINK("https://klasma.github.io/Logging_1440/klagomålsmail/A 22637-2025 FSC-klagomål mail.docx", "A 22637-2025")</f>
        <v/>
      </c>
      <c r="X13">
        <f>HYPERLINK("https://klasma.github.io/Logging_1440/tillsyn/A 22637-2025 tillsynsbegäran.docx", "A 22637-2025")</f>
        <v/>
      </c>
      <c r="Y13">
        <f>HYPERLINK("https://klasma.github.io/Logging_1440/tillsynsmail/A 22637-2025 tillsynsbegäran mail.docx", "A 22637-2025")</f>
        <v/>
      </c>
      <c r="Z13">
        <f>HYPERLINK("https://klasma.github.io/Logging_1440/fåglar/A 22637-2025 prioriterade fågelarter.docx", "A 22637-2025")</f>
        <v/>
      </c>
    </row>
    <row r="14" ht="15" customHeight="1">
      <c r="A14" t="inlineStr">
        <is>
          <t>A 17566-2024</t>
        </is>
      </c>
      <c r="B14" s="1" t="n">
        <v>45415</v>
      </c>
      <c r="C14" s="1" t="n">
        <v>45924</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24162-2025</t>
        </is>
      </c>
      <c r="B15" s="1" t="n">
        <v>45796.66684027778</v>
      </c>
      <c r="C15" s="1" t="n">
        <v>45924</v>
      </c>
      <c r="D15" t="inlineStr">
        <is>
          <t>VÄSTRA GÖTALANDS LÄN</t>
        </is>
      </c>
      <c r="E15" t="inlineStr">
        <is>
          <t>ALE</t>
        </is>
      </c>
      <c r="G15" t="n">
        <v>5.5</v>
      </c>
      <c r="H15" t="n">
        <v>4</v>
      </c>
      <c r="I15" t="n">
        <v>2</v>
      </c>
      <c r="J15" t="n">
        <v>1</v>
      </c>
      <c r="K15" t="n">
        <v>0</v>
      </c>
      <c r="L15" t="n">
        <v>0</v>
      </c>
      <c r="M15" t="n">
        <v>0</v>
      </c>
      <c r="N15" t="n">
        <v>0</v>
      </c>
      <c r="O15" t="n">
        <v>1</v>
      </c>
      <c r="P15" t="n">
        <v>0</v>
      </c>
      <c r="Q15" t="n">
        <v>6</v>
      </c>
      <c r="R15" s="2" t="inlineStr">
        <is>
          <t>Spillkråka
Blanksvart trämyra
Blåmossa
Kungsfågel
Trana
Revlummer</t>
        </is>
      </c>
      <c r="S15">
        <f>HYPERLINK("https://klasma.github.io/Logging_1440/artfynd/A 24162-2025 artfynd.xlsx", "A 24162-2025")</f>
        <v/>
      </c>
      <c r="T15">
        <f>HYPERLINK("https://klasma.github.io/Logging_1440/kartor/A 24162-2025 karta.png", "A 24162-2025")</f>
        <v/>
      </c>
      <c r="V15">
        <f>HYPERLINK("https://klasma.github.io/Logging_1440/klagomål/A 24162-2025 FSC-klagomål.docx", "A 24162-2025")</f>
        <v/>
      </c>
      <c r="W15">
        <f>HYPERLINK("https://klasma.github.io/Logging_1440/klagomålsmail/A 24162-2025 FSC-klagomål mail.docx", "A 24162-2025")</f>
        <v/>
      </c>
      <c r="X15">
        <f>HYPERLINK("https://klasma.github.io/Logging_1440/tillsyn/A 24162-2025 tillsynsbegäran.docx", "A 24162-2025")</f>
        <v/>
      </c>
      <c r="Y15">
        <f>HYPERLINK("https://klasma.github.io/Logging_1440/tillsynsmail/A 24162-2025 tillsynsbegäran mail.docx", "A 24162-2025")</f>
        <v/>
      </c>
      <c r="Z15">
        <f>HYPERLINK("https://klasma.github.io/Logging_1440/fåglar/A 24162-2025 prioriterade fågelarter.docx", "A 24162-2025")</f>
        <v/>
      </c>
    </row>
    <row r="16" ht="15" customHeight="1">
      <c r="A16" t="inlineStr">
        <is>
          <t>A 40059-2025</t>
        </is>
      </c>
      <c r="B16" s="1" t="n">
        <v>45894.42600694444</v>
      </c>
      <c r="C16" s="1" t="n">
        <v>45924</v>
      </c>
      <c r="D16" t="inlineStr">
        <is>
          <t>VÄSTRA GÖTALANDS LÄN</t>
        </is>
      </c>
      <c r="E16" t="inlineStr">
        <is>
          <t>ALE</t>
        </is>
      </c>
      <c r="G16" t="n">
        <v>0.9</v>
      </c>
      <c r="H16" t="n">
        <v>5</v>
      </c>
      <c r="I16" t="n">
        <v>1</v>
      </c>
      <c r="J16" t="n">
        <v>2</v>
      </c>
      <c r="K16" t="n">
        <v>0</v>
      </c>
      <c r="L16" t="n">
        <v>0</v>
      </c>
      <c r="M16" t="n">
        <v>0</v>
      </c>
      <c r="N16" t="n">
        <v>0</v>
      </c>
      <c r="O16" t="n">
        <v>2</v>
      </c>
      <c r="P16" t="n">
        <v>0</v>
      </c>
      <c r="Q16" t="n">
        <v>6</v>
      </c>
      <c r="R16" s="2" t="inlineStr">
        <is>
          <t>Spillkråka
Talltita
Blåmossa
Grönsiska
Tjäder
Trana</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563-2024</t>
        </is>
      </c>
      <c r="B17" s="1" t="n">
        <v>45299</v>
      </c>
      <c r="C17" s="1" t="n">
        <v>45924</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19934-2025</t>
        </is>
      </c>
      <c r="B18" s="1" t="n">
        <v>45771</v>
      </c>
      <c r="C18" s="1" t="n">
        <v>45924</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26491-2024</t>
        </is>
      </c>
      <c r="B19" s="1" t="n">
        <v>45469</v>
      </c>
      <c r="C19" s="1" t="n">
        <v>45924</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45924</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1503-2024</t>
        </is>
      </c>
      <c r="B21" s="1" t="n">
        <v>45306.35041666667</v>
      </c>
      <c r="C21" s="1" t="n">
        <v>45924</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45924</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13380-2025</t>
        </is>
      </c>
      <c r="B23" s="1" t="n">
        <v>45735.6765162037</v>
      </c>
      <c r="C23" s="1" t="n">
        <v>45924</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63569-2023</t>
        </is>
      </c>
      <c r="B24" s="1" t="n">
        <v>45275</v>
      </c>
      <c r="C24" s="1" t="n">
        <v>45924</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16534-2025</t>
        </is>
      </c>
      <c r="B25" s="1" t="n">
        <v>45751.65315972222</v>
      </c>
      <c r="C25" s="1" t="n">
        <v>45924</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20586-2023</t>
        </is>
      </c>
      <c r="B26" s="1" t="n">
        <v>45057</v>
      </c>
      <c r="C26" s="1" t="n">
        <v>45924</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20586-2023 artfynd.xlsx", "A 20586-2023")</f>
        <v/>
      </c>
      <c r="T26">
        <f>HYPERLINK("https://klasma.github.io/Logging_1440/kartor/A 20586-2023 karta.png", "A 20586-2023")</f>
        <v/>
      </c>
      <c r="V26">
        <f>HYPERLINK("https://klasma.github.io/Logging_1440/klagomål/A 20586-2023 FSC-klagomål.docx", "A 20586-2023")</f>
        <v/>
      </c>
      <c r="W26">
        <f>HYPERLINK("https://klasma.github.io/Logging_1440/klagomålsmail/A 20586-2023 FSC-klagomål mail.docx", "A 20586-2023")</f>
        <v/>
      </c>
      <c r="X26">
        <f>HYPERLINK("https://klasma.github.io/Logging_1440/tillsyn/A 20586-2023 tillsynsbegäran.docx", "A 20586-2023")</f>
        <v/>
      </c>
      <c r="Y26">
        <f>HYPERLINK("https://klasma.github.io/Logging_1440/tillsynsmail/A 20586-2023 tillsynsbegäran mail.docx", "A 20586-2023")</f>
        <v/>
      </c>
      <c r="Z26">
        <f>HYPERLINK("https://klasma.github.io/Logging_1440/fåglar/A 20586-2023 prioriterade fågelarter.docx", "A 20586-2023")</f>
        <v/>
      </c>
    </row>
    <row r="27" ht="15" customHeight="1">
      <c r="A27" t="inlineStr">
        <is>
          <t>A 380-2025</t>
        </is>
      </c>
      <c r="B27" s="1" t="n">
        <v>45662.43456018518</v>
      </c>
      <c r="C27" s="1" t="n">
        <v>45924</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42660-2024</t>
        </is>
      </c>
      <c r="B28" s="1" t="n">
        <v>45566.33841435185</v>
      </c>
      <c r="C28" s="1" t="n">
        <v>45924</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58954-2022</t>
        </is>
      </c>
      <c r="B29" s="1" t="n">
        <v>44903</v>
      </c>
      <c r="C29" s="1" t="n">
        <v>45924</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8955-2025</t>
        </is>
      </c>
      <c r="B30" s="1" t="n">
        <v>45713.46528935185</v>
      </c>
      <c r="C30" s="1" t="n">
        <v>45924</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26677-2025</t>
        </is>
      </c>
      <c r="B31" s="1" t="n">
        <v>45810.42446759259</v>
      </c>
      <c r="C31" s="1" t="n">
        <v>45924</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45924</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12084-2025</t>
        </is>
      </c>
      <c r="B33" s="1" t="n">
        <v>45728.95387731482</v>
      </c>
      <c r="C33" s="1" t="n">
        <v>45924</v>
      </c>
      <c r="D33" t="inlineStr">
        <is>
          <t>VÄSTRA GÖTALANDS LÄN</t>
        </is>
      </c>
      <c r="E33" t="inlineStr">
        <is>
          <t>ALE</t>
        </is>
      </c>
      <c r="G33" t="n">
        <v>2.4</v>
      </c>
      <c r="H33" t="n">
        <v>1</v>
      </c>
      <c r="I33" t="n">
        <v>0</v>
      </c>
      <c r="J33" t="n">
        <v>1</v>
      </c>
      <c r="K33" t="n">
        <v>0</v>
      </c>
      <c r="L33" t="n">
        <v>0</v>
      </c>
      <c r="M33" t="n">
        <v>0</v>
      </c>
      <c r="N33" t="n">
        <v>0</v>
      </c>
      <c r="O33" t="n">
        <v>1</v>
      </c>
      <c r="P33" t="n">
        <v>0</v>
      </c>
      <c r="Q33" t="n">
        <v>1</v>
      </c>
      <c r="R33" s="2" t="inlineStr">
        <is>
          <t>Spillkråka</t>
        </is>
      </c>
      <c r="S33">
        <f>HYPERLINK("https://klasma.github.io/Logging_1440/artfynd/A 12084-2025 artfynd.xlsx", "A 12084-2025")</f>
        <v/>
      </c>
      <c r="T33">
        <f>HYPERLINK("https://klasma.github.io/Logging_1440/kartor/A 12084-2025 karta.png", "A 12084-2025")</f>
        <v/>
      </c>
      <c r="V33">
        <f>HYPERLINK("https://klasma.github.io/Logging_1440/klagomål/A 12084-2025 FSC-klagomål.docx", "A 12084-2025")</f>
        <v/>
      </c>
      <c r="W33">
        <f>HYPERLINK("https://klasma.github.io/Logging_1440/klagomålsmail/A 12084-2025 FSC-klagomål mail.docx", "A 12084-2025")</f>
        <v/>
      </c>
      <c r="X33">
        <f>HYPERLINK("https://klasma.github.io/Logging_1440/tillsyn/A 12084-2025 tillsynsbegäran.docx", "A 12084-2025")</f>
        <v/>
      </c>
      <c r="Y33">
        <f>HYPERLINK("https://klasma.github.io/Logging_1440/tillsynsmail/A 12084-2025 tillsynsbegäran mail.docx", "A 12084-2025")</f>
        <v/>
      </c>
      <c r="Z33">
        <f>HYPERLINK("https://klasma.github.io/Logging_1440/fåglar/A 12084-2025 prioriterade fågelarter.docx", "A 12084-2025")</f>
        <v/>
      </c>
    </row>
    <row r="34" ht="15" customHeight="1">
      <c r="A34" t="inlineStr">
        <is>
          <t>A 26493-2024</t>
        </is>
      </c>
      <c r="B34" s="1" t="n">
        <v>45469</v>
      </c>
      <c r="C34" s="1" t="n">
        <v>45924</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12982-2024</t>
        </is>
      </c>
      <c r="B35" s="1" t="n">
        <v>45385.53569444444</v>
      </c>
      <c r="C35" s="1" t="n">
        <v>45924</v>
      </c>
      <c r="D35" t="inlineStr">
        <is>
          <t>VÄSTRA GÖTALANDS LÄN</t>
        </is>
      </c>
      <c r="E35" t="inlineStr">
        <is>
          <t>ALE</t>
        </is>
      </c>
      <c r="G35" t="n">
        <v>3.3</v>
      </c>
      <c r="H35" t="n">
        <v>1</v>
      </c>
      <c r="I35" t="n">
        <v>0</v>
      </c>
      <c r="J35" t="n">
        <v>0</v>
      </c>
      <c r="K35" t="n">
        <v>0</v>
      </c>
      <c r="L35" t="n">
        <v>0</v>
      </c>
      <c r="M35" t="n">
        <v>0</v>
      </c>
      <c r="N35" t="n">
        <v>0</v>
      </c>
      <c r="O35" t="n">
        <v>0</v>
      </c>
      <c r="P35" t="n">
        <v>0</v>
      </c>
      <c r="Q35" t="n">
        <v>1</v>
      </c>
      <c r="R35" s="2" t="inlineStr">
        <is>
          <t>Revlummer</t>
        </is>
      </c>
      <c r="S35">
        <f>HYPERLINK("https://klasma.github.io/Logging_1440/artfynd/A 12982-2024 artfynd.xlsx", "A 12982-2024")</f>
        <v/>
      </c>
      <c r="T35">
        <f>HYPERLINK("https://klasma.github.io/Logging_1440/kartor/A 12982-2024 karta.png", "A 12982-2024")</f>
        <v/>
      </c>
      <c r="V35">
        <f>HYPERLINK("https://klasma.github.io/Logging_1440/klagomål/A 12982-2024 FSC-klagomål.docx", "A 12982-2024")</f>
        <v/>
      </c>
      <c r="W35">
        <f>HYPERLINK("https://klasma.github.io/Logging_1440/klagomålsmail/A 12982-2024 FSC-klagomål mail.docx", "A 12982-2024")</f>
        <v/>
      </c>
      <c r="X35">
        <f>HYPERLINK("https://klasma.github.io/Logging_1440/tillsyn/A 12982-2024 tillsynsbegäran.docx", "A 12982-2024")</f>
        <v/>
      </c>
      <c r="Y35">
        <f>HYPERLINK("https://klasma.github.io/Logging_1440/tillsynsmail/A 12982-2024 tillsynsbegäran mail.docx", "A 12982-2024")</f>
        <v/>
      </c>
    </row>
    <row r="36" ht="15" customHeight="1">
      <c r="A36" t="inlineStr">
        <is>
          <t>A 21281-2021</t>
        </is>
      </c>
      <c r="B36" s="1" t="n">
        <v>44320.61850694445</v>
      </c>
      <c r="C36" s="1" t="n">
        <v>45924</v>
      </c>
      <c r="D36" t="inlineStr">
        <is>
          <t>VÄSTRA GÖTALANDS LÄN</t>
        </is>
      </c>
      <c r="E36" t="inlineStr">
        <is>
          <t>ALE</t>
        </is>
      </c>
      <c r="G36" t="n">
        <v>1.4</v>
      </c>
      <c r="H36" t="n">
        <v>0</v>
      </c>
      <c r="I36" t="n">
        <v>0</v>
      </c>
      <c r="J36" t="n">
        <v>0</v>
      </c>
      <c r="K36" t="n">
        <v>0</v>
      </c>
      <c r="L36" t="n">
        <v>0</v>
      </c>
      <c r="M36" t="n">
        <v>0</v>
      </c>
      <c r="N36" t="n">
        <v>0</v>
      </c>
      <c r="O36" t="n">
        <v>0</v>
      </c>
      <c r="P36" t="n">
        <v>0</v>
      </c>
      <c r="Q36" t="n">
        <v>0</v>
      </c>
      <c r="R36" s="2" t="inlineStr"/>
    </row>
    <row r="37" ht="15" customHeight="1">
      <c r="A37" t="inlineStr">
        <is>
          <t>A 14517-2021</t>
        </is>
      </c>
      <c r="B37" s="1" t="n">
        <v>44279.64517361111</v>
      </c>
      <c r="C37" s="1" t="n">
        <v>45924</v>
      </c>
      <c r="D37" t="inlineStr">
        <is>
          <t>VÄSTRA GÖTALANDS LÄN</t>
        </is>
      </c>
      <c r="E37" t="inlineStr">
        <is>
          <t>ALE</t>
        </is>
      </c>
      <c r="G37" t="n">
        <v>1.1</v>
      </c>
      <c r="H37" t="n">
        <v>0</v>
      </c>
      <c r="I37" t="n">
        <v>0</v>
      </c>
      <c r="J37" t="n">
        <v>0</v>
      </c>
      <c r="K37" t="n">
        <v>0</v>
      </c>
      <c r="L37" t="n">
        <v>0</v>
      </c>
      <c r="M37" t="n">
        <v>0</v>
      </c>
      <c r="N37" t="n">
        <v>0</v>
      </c>
      <c r="O37" t="n">
        <v>0</v>
      </c>
      <c r="P37" t="n">
        <v>0</v>
      </c>
      <c r="Q37" t="n">
        <v>0</v>
      </c>
      <c r="R37" s="2" t="inlineStr"/>
    </row>
    <row r="38" ht="15" customHeight="1">
      <c r="A38" t="inlineStr">
        <is>
          <t>A 1566-2022</t>
        </is>
      </c>
      <c r="B38" s="1" t="n">
        <v>44573</v>
      </c>
      <c r="C38" s="1" t="n">
        <v>45924</v>
      </c>
      <c r="D38" t="inlineStr">
        <is>
          <t>VÄSTRA GÖTALANDS LÄN</t>
        </is>
      </c>
      <c r="E38" t="inlineStr">
        <is>
          <t>ALE</t>
        </is>
      </c>
      <c r="G38" t="n">
        <v>3</v>
      </c>
      <c r="H38" t="n">
        <v>0</v>
      </c>
      <c r="I38" t="n">
        <v>0</v>
      </c>
      <c r="J38" t="n">
        <v>0</v>
      </c>
      <c r="K38" t="n">
        <v>0</v>
      </c>
      <c r="L38" t="n">
        <v>0</v>
      </c>
      <c r="M38" t="n">
        <v>0</v>
      </c>
      <c r="N38" t="n">
        <v>0</v>
      </c>
      <c r="O38" t="n">
        <v>0</v>
      </c>
      <c r="P38" t="n">
        <v>0</v>
      </c>
      <c r="Q38" t="n">
        <v>0</v>
      </c>
      <c r="R38" s="2" t="inlineStr"/>
    </row>
    <row r="39" ht="15" customHeight="1">
      <c r="A39" t="inlineStr">
        <is>
          <t>A 2003-2021</t>
        </is>
      </c>
      <c r="B39" s="1" t="n">
        <v>44210</v>
      </c>
      <c r="C39" s="1" t="n">
        <v>45924</v>
      </c>
      <c r="D39" t="inlineStr">
        <is>
          <t>VÄSTRA GÖTALANDS LÄN</t>
        </is>
      </c>
      <c r="E39" t="inlineStr">
        <is>
          <t>ALE</t>
        </is>
      </c>
      <c r="F39" t="inlineStr">
        <is>
          <t>Kommuner</t>
        </is>
      </c>
      <c r="G39" t="n">
        <v>0.6</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45924</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45924</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45924</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45924</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45924</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66467-2020</t>
        </is>
      </c>
      <c r="B45" s="1" t="n">
        <v>44176.78424768519</v>
      </c>
      <c r="C45" s="1" t="n">
        <v>45924</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45924</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58099-2020</t>
        </is>
      </c>
      <c r="B47" s="1" t="n">
        <v>44144</v>
      </c>
      <c r="C47" s="1" t="n">
        <v>45924</v>
      </c>
      <c r="D47" t="inlineStr">
        <is>
          <t>VÄSTRA GÖTALANDS LÄN</t>
        </is>
      </c>
      <c r="E47" t="inlineStr">
        <is>
          <t>ALE</t>
        </is>
      </c>
      <c r="G47" t="n">
        <v>4.6</v>
      </c>
      <c r="H47" t="n">
        <v>0</v>
      </c>
      <c r="I47" t="n">
        <v>0</v>
      </c>
      <c r="J47" t="n">
        <v>0</v>
      </c>
      <c r="K47" t="n">
        <v>0</v>
      </c>
      <c r="L47" t="n">
        <v>0</v>
      </c>
      <c r="M47" t="n">
        <v>0</v>
      </c>
      <c r="N47" t="n">
        <v>0</v>
      </c>
      <c r="O47" t="n">
        <v>0</v>
      </c>
      <c r="P47" t="n">
        <v>0</v>
      </c>
      <c r="Q47" t="n">
        <v>0</v>
      </c>
      <c r="R47" s="2" t="inlineStr"/>
    </row>
    <row r="48" ht="15" customHeight="1">
      <c r="A48" t="inlineStr">
        <is>
          <t>A 46391-2021</t>
        </is>
      </c>
      <c r="B48" s="1" t="n">
        <v>44443</v>
      </c>
      <c r="C48" s="1" t="n">
        <v>45924</v>
      </c>
      <c r="D48" t="inlineStr">
        <is>
          <t>VÄSTRA GÖTALANDS LÄN</t>
        </is>
      </c>
      <c r="E48" t="inlineStr">
        <is>
          <t>ALE</t>
        </is>
      </c>
      <c r="G48" t="n">
        <v>1.3</v>
      </c>
      <c r="H48" t="n">
        <v>0</v>
      </c>
      <c r="I48" t="n">
        <v>0</v>
      </c>
      <c r="J48" t="n">
        <v>0</v>
      </c>
      <c r="K48" t="n">
        <v>0</v>
      </c>
      <c r="L48" t="n">
        <v>0</v>
      </c>
      <c r="M48" t="n">
        <v>0</v>
      </c>
      <c r="N48" t="n">
        <v>0</v>
      </c>
      <c r="O48" t="n">
        <v>0</v>
      </c>
      <c r="P48" t="n">
        <v>0</v>
      </c>
      <c r="Q48" t="n">
        <v>0</v>
      </c>
      <c r="R48" s="2" t="inlineStr"/>
    </row>
    <row r="49" ht="15" customHeight="1">
      <c r="A49" t="inlineStr">
        <is>
          <t>A 45986-2021</t>
        </is>
      </c>
      <c r="B49" s="1" t="n">
        <v>44441</v>
      </c>
      <c r="C49" s="1" t="n">
        <v>45924</v>
      </c>
      <c r="D49" t="inlineStr">
        <is>
          <t>VÄSTRA GÖTALANDS LÄN</t>
        </is>
      </c>
      <c r="E49" t="inlineStr">
        <is>
          <t>ALE</t>
        </is>
      </c>
      <c r="G49" t="n">
        <v>1.4</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45924</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3293-2021</t>
        </is>
      </c>
      <c r="B51" s="1" t="n">
        <v>44217</v>
      </c>
      <c r="C51" s="1" t="n">
        <v>45924</v>
      </c>
      <c r="D51" t="inlineStr">
        <is>
          <t>VÄSTRA GÖTALANDS LÄN</t>
        </is>
      </c>
      <c r="E51" t="inlineStr">
        <is>
          <t>ALE</t>
        </is>
      </c>
      <c r="G51" t="n">
        <v>4.2</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45924</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45924</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45924</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45924</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45924</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45924</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65222-2021</t>
        </is>
      </c>
      <c r="B58" s="1" t="n">
        <v>44515</v>
      </c>
      <c r="C58" s="1" t="n">
        <v>45924</v>
      </c>
      <c r="D58" t="inlineStr">
        <is>
          <t>VÄSTRA GÖTALANDS LÄN</t>
        </is>
      </c>
      <c r="E58" t="inlineStr">
        <is>
          <t>ALE</t>
        </is>
      </c>
      <c r="G58" t="n">
        <v>1.2</v>
      </c>
      <c r="H58" t="n">
        <v>0</v>
      </c>
      <c r="I58" t="n">
        <v>0</v>
      </c>
      <c r="J58" t="n">
        <v>0</v>
      </c>
      <c r="K58" t="n">
        <v>0</v>
      </c>
      <c r="L58" t="n">
        <v>0</v>
      </c>
      <c r="M58" t="n">
        <v>0</v>
      </c>
      <c r="N58" t="n">
        <v>0</v>
      </c>
      <c r="O58" t="n">
        <v>0</v>
      </c>
      <c r="P58" t="n">
        <v>0</v>
      </c>
      <c r="Q58" t="n">
        <v>0</v>
      </c>
      <c r="R58" s="2" t="inlineStr"/>
    </row>
    <row r="59" ht="15" customHeight="1">
      <c r="A59" t="inlineStr">
        <is>
          <t>A 22138-2021</t>
        </is>
      </c>
      <c r="B59" s="1" t="n">
        <v>44324.67472222223</v>
      </c>
      <c r="C59" s="1" t="n">
        <v>45924</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45924</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35148-2021</t>
        </is>
      </c>
      <c r="B61" s="1" t="n">
        <v>44384</v>
      </c>
      <c r="C61" s="1" t="n">
        <v>45924</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6916-2023</t>
        </is>
      </c>
      <c r="B62" s="1" t="n">
        <v>44967.53349537037</v>
      </c>
      <c r="C62" s="1" t="n">
        <v>45924</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6947-2024</t>
        </is>
      </c>
      <c r="B63" s="1" t="n">
        <v>45343</v>
      </c>
      <c r="C63" s="1" t="n">
        <v>45924</v>
      </c>
      <c r="D63" t="inlineStr">
        <is>
          <t>VÄSTRA GÖTALANDS LÄN</t>
        </is>
      </c>
      <c r="E63" t="inlineStr">
        <is>
          <t>ALE</t>
        </is>
      </c>
      <c r="G63" t="n">
        <v>3.7</v>
      </c>
      <c r="H63" t="n">
        <v>0</v>
      </c>
      <c r="I63" t="n">
        <v>0</v>
      </c>
      <c r="J63" t="n">
        <v>0</v>
      </c>
      <c r="K63" t="n">
        <v>0</v>
      </c>
      <c r="L63" t="n">
        <v>0</v>
      </c>
      <c r="M63" t="n">
        <v>0</v>
      </c>
      <c r="N63" t="n">
        <v>0</v>
      </c>
      <c r="O63" t="n">
        <v>0</v>
      </c>
      <c r="P63" t="n">
        <v>0</v>
      </c>
      <c r="Q63" t="n">
        <v>0</v>
      </c>
      <c r="R63" s="2" t="inlineStr"/>
    </row>
    <row r="64" ht="15" customHeight="1">
      <c r="A64" t="inlineStr">
        <is>
          <t>A 4444-2024</t>
        </is>
      </c>
      <c r="B64" s="1" t="n">
        <v>45327</v>
      </c>
      <c r="C64" s="1" t="n">
        <v>45924</v>
      </c>
      <c r="D64" t="inlineStr">
        <is>
          <t>VÄSTRA GÖTALANDS LÄN</t>
        </is>
      </c>
      <c r="E64" t="inlineStr">
        <is>
          <t>ALE</t>
        </is>
      </c>
      <c r="G64" t="n">
        <v>0.6</v>
      </c>
      <c r="H64" t="n">
        <v>0</v>
      </c>
      <c r="I64" t="n">
        <v>0</v>
      </c>
      <c r="J64" t="n">
        <v>0</v>
      </c>
      <c r="K64" t="n">
        <v>0</v>
      </c>
      <c r="L64" t="n">
        <v>0</v>
      </c>
      <c r="M64" t="n">
        <v>0</v>
      </c>
      <c r="N64" t="n">
        <v>0</v>
      </c>
      <c r="O64" t="n">
        <v>0</v>
      </c>
      <c r="P64" t="n">
        <v>0</v>
      </c>
      <c r="Q64" t="n">
        <v>0</v>
      </c>
      <c r="R64" s="2" t="inlineStr"/>
    </row>
    <row r="65" ht="15" customHeight="1">
      <c r="A65" t="inlineStr">
        <is>
          <t>A 72801-2021</t>
        </is>
      </c>
      <c r="B65" s="1" t="n">
        <v>44546</v>
      </c>
      <c r="C65" s="1" t="n">
        <v>45924</v>
      </c>
      <c r="D65" t="inlineStr">
        <is>
          <t>VÄSTRA GÖTALANDS LÄN</t>
        </is>
      </c>
      <c r="E65" t="inlineStr">
        <is>
          <t>ALE</t>
        </is>
      </c>
      <c r="F65" t="inlineStr">
        <is>
          <t>Naturvårdsverket</t>
        </is>
      </c>
      <c r="G65" t="n">
        <v>1.4</v>
      </c>
      <c r="H65" t="n">
        <v>0</v>
      </c>
      <c r="I65" t="n">
        <v>0</v>
      </c>
      <c r="J65" t="n">
        <v>0</v>
      </c>
      <c r="K65" t="n">
        <v>0</v>
      </c>
      <c r="L65" t="n">
        <v>0</v>
      </c>
      <c r="M65" t="n">
        <v>0</v>
      </c>
      <c r="N65" t="n">
        <v>0</v>
      </c>
      <c r="O65" t="n">
        <v>0</v>
      </c>
      <c r="P65" t="n">
        <v>0</v>
      </c>
      <c r="Q65" t="n">
        <v>0</v>
      </c>
      <c r="R65" s="2" t="inlineStr"/>
    </row>
    <row r="66" ht="15" customHeight="1">
      <c r="A66" t="inlineStr">
        <is>
          <t>A 12445-2022</t>
        </is>
      </c>
      <c r="B66" s="1" t="n">
        <v>44638</v>
      </c>
      <c r="C66" s="1" t="n">
        <v>45924</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37461-2024</t>
        </is>
      </c>
      <c r="B67" s="1" t="n">
        <v>45540.72516203704</v>
      </c>
      <c r="C67" s="1" t="n">
        <v>45924</v>
      </c>
      <c r="D67" t="inlineStr">
        <is>
          <t>VÄSTRA GÖTALANDS LÄN</t>
        </is>
      </c>
      <c r="E67" t="inlineStr">
        <is>
          <t>ALE</t>
        </is>
      </c>
      <c r="G67" t="n">
        <v>1.6</v>
      </c>
      <c r="H67" t="n">
        <v>0</v>
      </c>
      <c r="I67" t="n">
        <v>0</v>
      </c>
      <c r="J67" t="n">
        <v>0</v>
      </c>
      <c r="K67" t="n">
        <v>0</v>
      </c>
      <c r="L67" t="n">
        <v>0</v>
      </c>
      <c r="M67" t="n">
        <v>0</v>
      </c>
      <c r="N67" t="n">
        <v>0</v>
      </c>
      <c r="O67" t="n">
        <v>0</v>
      </c>
      <c r="P67" t="n">
        <v>0</v>
      </c>
      <c r="Q67" t="n">
        <v>0</v>
      </c>
      <c r="R67" s="2" t="inlineStr"/>
    </row>
    <row r="68" ht="15" customHeight="1">
      <c r="A68" t="inlineStr">
        <is>
          <t>A 26083-2023</t>
        </is>
      </c>
      <c r="B68" s="1" t="n">
        <v>45091</v>
      </c>
      <c r="C68" s="1" t="n">
        <v>45924</v>
      </c>
      <c r="D68" t="inlineStr">
        <is>
          <t>VÄSTRA GÖTALANDS LÄN</t>
        </is>
      </c>
      <c r="E68" t="inlineStr">
        <is>
          <t>ALE</t>
        </is>
      </c>
      <c r="G68" t="n">
        <v>1.6</v>
      </c>
      <c r="H68" t="n">
        <v>0</v>
      </c>
      <c r="I68" t="n">
        <v>0</v>
      </c>
      <c r="J68" t="n">
        <v>0</v>
      </c>
      <c r="K68" t="n">
        <v>0</v>
      </c>
      <c r="L68" t="n">
        <v>0</v>
      </c>
      <c r="M68" t="n">
        <v>0</v>
      </c>
      <c r="N68" t="n">
        <v>0</v>
      </c>
      <c r="O68" t="n">
        <v>0</v>
      </c>
      <c r="P68" t="n">
        <v>0</v>
      </c>
      <c r="Q68" t="n">
        <v>0</v>
      </c>
      <c r="R68" s="2" t="inlineStr"/>
    </row>
    <row r="69" ht="15" customHeight="1">
      <c r="A69" t="inlineStr">
        <is>
          <t>A 25849-2025</t>
        </is>
      </c>
      <c r="B69" s="1" t="n">
        <v>45804</v>
      </c>
      <c r="C69" s="1" t="n">
        <v>45924</v>
      </c>
      <c r="D69" t="inlineStr">
        <is>
          <t>VÄSTRA GÖTALANDS LÄN</t>
        </is>
      </c>
      <c r="E69" t="inlineStr">
        <is>
          <t>ALE</t>
        </is>
      </c>
      <c r="G69" t="n">
        <v>0.8</v>
      </c>
      <c r="H69" t="n">
        <v>0</v>
      </c>
      <c r="I69" t="n">
        <v>0</v>
      </c>
      <c r="J69" t="n">
        <v>0</v>
      </c>
      <c r="K69" t="n">
        <v>0</v>
      </c>
      <c r="L69" t="n">
        <v>0</v>
      </c>
      <c r="M69" t="n">
        <v>0</v>
      </c>
      <c r="N69" t="n">
        <v>0</v>
      </c>
      <c r="O69" t="n">
        <v>0</v>
      </c>
      <c r="P69" t="n">
        <v>0</v>
      </c>
      <c r="Q69" t="n">
        <v>0</v>
      </c>
      <c r="R69" s="2" t="inlineStr"/>
    </row>
    <row r="70" ht="15" customHeight="1">
      <c r="A70" t="inlineStr">
        <is>
          <t>A 1822-2024</t>
        </is>
      </c>
      <c r="B70" s="1" t="n">
        <v>45307.6205787037</v>
      </c>
      <c r="C70" s="1" t="n">
        <v>45924</v>
      </c>
      <c r="D70" t="inlineStr">
        <is>
          <t>VÄSTRA GÖTALANDS LÄN</t>
        </is>
      </c>
      <c r="E70" t="inlineStr">
        <is>
          <t>ALE</t>
        </is>
      </c>
      <c r="G70" t="n">
        <v>2</v>
      </c>
      <c r="H70" t="n">
        <v>0</v>
      </c>
      <c r="I70" t="n">
        <v>0</v>
      </c>
      <c r="J70" t="n">
        <v>0</v>
      </c>
      <c r="K70" t="n">
        <v>0</v>
      </c>
      <c r="L70" t="n">
        <v>0</v>
      </c>
      <c r="M70" t="n">
        <v>0</v>
      </c>
      <c r="N70" t="n">
        <v>0</v>
      </c>
      <c r="O70" t="n">
        <v>0</v>
      </c>
      <c r="P70" t="n">
        <v>0</v>
      </c>
      <c r="Q70" t="n">
        <v>0</v>
      </c>
      <c r="R70" s="2" t="inlineStr"/>
    </row>
    <row r="71" ht="15" customHeight="1">
      <c r="A71" t="inlineStr">
        <is>
          <t>A 25848-2025</t>
        </is>
      </c>
      <c r="B71" s="1" t="n">
        <v>45804</v>
      </c>
      <c r="C71" s="1" t="n">
        <v>45924</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44429-2023</t>
        </is>
      </c>
      <c r="B72" s="1" t="n">
        <v>45189.35101851852</v>
      </c>
      <c r="C72" s="1" t="n">
        <v>45924</v>
      </c>
      <c r="D72" t="inlineStr">
        <is>
          <t>VÄSTRA GÖTALANDS LÄN</t>
        </is>
      </c>
      <c r="E72" t="inlineStr">
        <is>
          <t>ALE</t>
        </is>
      </c>
      <c r="G72" t="n">
        <v>0.1</v>
      </c>
      <c r="H72" t="n">
        <v>0</v>
      </c>
      <c r="I72" t="n">
        <v>0</v>
      </c>
      <c r="J72" t="n">
        <v>0</v>
      </c>
      <c r="K72" t="n">
        <v>0</v>
      </c>
      <c r="L72" t="n">
        <v>0</v>
      </c>
      <c r="M72" t="n">
        <v>0</v>
      </c>
      <c r="N72" t="n">
        <v>0</v>
      </c>
      <c r="O72" t="n">
        <v>0</v>
      </c>
      <c r="P72" t="n">
        <v>0</v>
      </c>
      <c r="Q72" t="n">
        <v>0</v>
      </c>
      <c r="R72" s="2" t="inlineStr"/>
    </row>
    <row r="73" ht="15" customHeight="1">
      <c r="A73" t="inlineStr">
        <is>
          <t>A 25840-2025</t>
        </is>
      </c>
      <c r="B73" s="1" t="n">
        <v>45804</v>
      </c>
      <c r="C73" s="1" t="n">
        <v>45924</v>
      </c>
      <c r="D73" t="inlineStr">
        <is>
          <t>VÄSTRA GÖTALANDS LÄN</t>
        </is>
      </c>
      <c r="E73" t="inlineStr">
        <is>
          <t>ALE</t>
        </is>
      </c>
      <c r="G73" t="n">
        <v>3.8</v>
      </c>
      <c r="H73" t="n">
        <v>0</v>
      </c>
      <c r="I73" t="n">
        <v>0</v>
      </c>
      <c r="J73" t="n">
        <v>0</v>
      </c>
      <c r="K73" t="n">
        <v>0</v>
      </c>
      <c r="L73" t="n">
        <v>0</v>
      </c>
      <c r="M73" t="n">
        <v>0</v>
      </c>
      <c r="N73" t="n">
        <v>0</v>
      </c>
      <c r="O73" t="n">
        <v>0</v>
      </c>
      <c r="P73" t="n">
        <v>0</v>
      </c>
      <c r="Q73" t="n">
        <v>0</v>
      </c>
      <c r="R73" s="2" t="inlineStr"/>
    </row>
    <row r="74" ht="15" customHeight="1">
      <c r="A74" t="inlineStr">
        <is>
          <t>A 34104-2024</t>
        </is>
      </c>
      <c r="B74" s="1" t="n">
        <v>45523.79202546296</v>
      </c>
      <c r="C74" s="1" t="n">
        <v>45924</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3418-2023</t>
        </is>
      </c>
      <c r="B75" s="1" t="n">
        <v>44949.56182870371</v>
      </c>
      <c r="C75" s="1" t="n">
        <v>45924</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57473-2022</t>
        </is>
      </c>
      <c r="B76" s="1" t="n">
        <v>44896</v>
      </c>
      <c r="C76" s="1" t="n">
        <v>45924</v>
      </c>
      <c r="D76" t="inlineStr">
        <is>
          <t>VÄSTRA GÖTALANDS LÄN</t>
        </is>
      </c>
      <c r="E76" t="inlineStr">
        <is>
          <t>ALE</t>
        </is>
      </c>
      <c r="G76" t="n">
        <v>0.7</v>
      </c>
      <c r="H76" t="n">
        <v>0</v>
      </c>
      <c r="I76" t="n">
        <v>0</v>
      </c>
      <c r="J76" t="n">
        <v>0</v>
      </c>
      <c r="K76" t="n">
        <v>0</v>
      </c>
      <c r="L76" t="n">
        <v>0</v>
      </c>
      <c r="M76" t="n">
        <v>0</v>
      </c>
      <c r="N76" t="n">
        <v>0</v>
      </c>
      <c r="O76" t="n">
        <v>0</v>
      </c>
      <c r="P76" t="n">
        <v>0</v>
      </c>
      <c r="Q76" t="n">
        <v>0</v>
      </c>
      <c r="R76" s="2" t="inlineStr"/>
    </row>
    <row r="77" ht="15" customHeight="1">
      <c r="A77" t="inlineStr">
        <is>
          <t>A 16344-2023</t>
        </is>
      </c>
      <c r="B77" s="1" t="n">
        <v>45028</v>
      </c>
      <c r="C77" s="1" t="n">
        <v>45924</v>
      </c>
      <c r="D77" t="inlineStr">
        <is>
          <t>VÄSTRA GÖTALANDS LÄN</t>
        </is>
      </c>
      <c r="E77" t="inlineStr">
        <is>
          <t>ALE</t>
        </is>
      </c>
      <c r="G77" t="n">
        <v>6.6</v>
      </c>
      <c r="H77" t="n">
        <v>0</v>
      </c>
      <c r="I77" t="n">
        <v>0</v>
      </c>
      <c r="J77" t="n">
        <v>0</v>
      </c>
      <c r="K77" t="n">
        <v>0</v>
      </c>
      <c r="L77" t="n">
        <v>0</v>
      </c>
      <c r="M77" t="n">
        <v>0</v>
      </c>
      <c r="N77" t="n">
        <v>0</v>
      </c>
      <c r="O77" t="n">
        <v>0</v>
      </c>
      <c r="P77" t="n">
        <v>0</v>
      </c>
      <c r="Q77" t="n">
        <v>0</v>
      </c>
      <c r="R77" s="2" t="inlineStr"/>
    </row>
    <row r="78" ht="15" customHeight="1">
      <c r="A78" t="inlineStr">
        <is>
          <t>A 18637-2023</t>
        </is>
      </c>
      <c r="B78" s="1" t="n">
        <v>45043</v>
      </c>
      <c r="C78" s="1" t="n">
        <v>45924</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4363-2024</t>
        </is>
      </c>
      <c r="B79" s="1" t="n">
        <v>45325</v>
      </c>
      <c r="C79" s="1" t="n">
        <v>45924</v>
      </c>
      <c r="D79" t="inlineStr">
        <is>
          <t>VÄSTRA GÖTALANDS LÄN</t>
        </is>
      </c>
      <c r="E79" t="inlineStr">
        <is>
          <t>ALE</t>
        </is>
      </c>
      <c r="G79" t="n">
        <v>0.6</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45924</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8659-2025</t>
        </is>
      </c>
      <c r="B81" s="1" t="n">
        <v>45712</v>
      </c>
      <c r="C81" s="1" t="n">
        <v>45924</v>
      </c>
      <c r="D81" t="inlineStr">
        <is>
          <t>VÄSTRA GÖTALANDS LÄN</t>
        </is>
      </c>
      <c r="E81" t="inlineStr">
        <is>
          <t>ALE</t>
        </is>
      </c>
      <c r="G81" t="n">
        <v>5.7</v>
      </c>
      <c r="H81" t="n">
        <v>0</v>
      </c>
      <c r="I81" t="n">
        <v>0</v>
      </c>
      <c r="J81" t="n">
        <v>0</v>
      </c>
      <c r="K81" t="n">
        <v>0</v>
      </c>
      <c r="L81" t="n">
        <v>0</v>
      </c>
      <c r="M81" t="n">
        <v>0</v>
      </c>
      <c r="N81" t="n">
        <v>0</v>
      </c>
      <c r="O81" t="n">
        <v>0</v>
      </c>
      <c r="P81" t="n">
        <v>0</v>
      </c>
      <c r="Q81" t="n">
        <v>0</v>
      </c>
      <c r="R81" s="2" t="inlineStr"/>
    </row>
    <row r="82" ht="15" customHeight="1">
      <c r="A82" t="inlineStr">
        <is>
          <t>A 5344-2024</t>
        </is>
      </c>
      <c r="B82" s="1" t="n">
        <v>45331</v>
      </c>
      <c r="C82" s="1" t="n">
        <v>45924</v>
      </c>
      <c r="D82" t="inlineStr">
        <is>
          <t>VÄSTRA GÖTALANDS LÄN</t>
        </is>
      </c>
      <c r="E82" t="inlineStr">
        <is>
          <t>ALE</t>
        </is>
      </c>
      <c r="G82" t="n">
        <v>2.5</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45924</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66551-2020</t>
        </is>
      </c>
      <c r="B84" s="1" t="n">
        <v>44179</v>
      </c>
      <c r="C84" s="1" t="n">
        <v>45924</v>
      </c>
      <c r="D84" t="inlineStr">
        <is>
          <t>VÄSTRA GÖTALANDS LÄN</t>
        </is>
      </c>
      <c r="E84" t="inlineStr">
        <is>
          <t>ALE</t>
        </is>
      </c>
      <c r="G84" t="n">
        <v>4.5</v>
      </c>
      <c r="H84" t="n">
        <v>0</v>
      </c>
      <c r="I84" t="n">
        <v>0</v>
      </c>
      <c r="J84" t="n">
        <v>0</v>
      </c>
      <c r="K84" t="n">
        <v>0</v>
      </c>
      <c r="L84" t="n">
        <v>0</v>
      </c>
      <c r="M84" t="n">
        <v>0</v>
      </c>
      <c r="N84" t="n">
        <v>0</v>
      </c>
      <c r="O84" t="n">
        <v>0</v>
      </c>
      <c r="P84" t="n">
        <v>0</v>
      </c>
      <c r="Q84" t="n">
        <v>0</v>
      </c>
      <c r="R84" s="2" t="inlineStr"/>
    </row>
    <row r="85" ht="15" customHeight="1">
      <c r="A85" t="inlineStr">
        <is>
          <t>A 1960-2024</t>
        </is>
      </c>
      <c r="B85" s="1" t="n">
        <v>45308.50962962963</v>
      </c>
      <c r="C85" s="1" t="n">
        <v>45924</v>
      </c>
      <c r="D85" t="inlineStr">
        <is>
          <t>VÄSTRA GÖTALANDS LÄN</t>
        </is>
      </c>
      <c r="E85" t="inlineStr">
        <is>
          <t>ALE</t>
        </is>
      </c>
      <c r="G85" t="n">
        <v>1.9</v>
      </c>
      <c r="H85" t="n">
        <v>0</v>
      </c>
      <c r="I85" t="n">
        <v>0</v>
      </c>
      <c r="J85" t="n">
        <v>0</v>
      </c>
      <c r="K85" t="n">
        <v>0</v>
      </c>
      <c r="L85" t="n">
        <v>0</v>
      </c>
      <c r="M85" t="n">
        <v>0</v>
      </c>
      <c r="N85" t="n">
        <v>0</v>
      </c>
      <c r="O85" t="n">
        <v>0</v>
      </c>
      <c r="P85" t="n">
        <v>0</v>
      </c>
      <c r="Q85" t="n">
        <v>0</v>
      </c>
      <c r="R85" s="2" t="inlineStr"/>
    </row>
    <row r="86" ht="15" customHeight="1">
      <c r="A86" t="inlineStr">
        <is>
          <t>A 41607-2022</t>
        </is>
      </c>
      <c r="B86" s="1" t="n">
        <v>44827.46658564815</v>
      </c>
      <c r="C86" s="1" t="n">
        <v>45924</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15499-2022</t>
        </is>
      </c>
      <c r="B87" s="1" t="n">
        <v>44662</v>
      </c>
      <c r="C87" s="1" t="n">
        <v>45924</v>
      </c>
      <c r="D87" t="inlineStr">
        <is>
          <t>VÄSTRA GÖTALANDS LÄN</t>
        </is>
      </c>
      <c r="E87" t="inlineStr">
        <is>
          <t>ALE</t>
        </is>
      </c>
      <c r="G87" t="n">
        <v>4.7</v>
      </c>
      <c r="H87" t="n">
        <v>0</v>
      </c>
      <c r="I87" t="n">
        <v>0</v>
      </c>
      <c r="J87" t="n">
        <v>0</v>
      </c>
      <c r="K87" t="n">
        <v>0</v>
      </c>
      <c r="L87" t="n">
        <v>0</v>
      </c>
      <c r="M87" t="n">
        <v>0</v>
      </c>
      <c r="N87" t="n">
        <v>0</v>
      </c>
      <c r="O87" t="n">
        <v>0</v>
      </c>
      <c r="P87" t="n">
        <v>0</v>
      </c>
      <c r="Q87" t="n">
        <v>0</v>
      </c>
      <c r="R87" s="2" t="inlineStr"/>
    </row>
    <row r="88" ht="15" customHeight="1">
      <c r="A88" t="inlineStr">
        <is>
          <t>A 29373-2025</t>
        </is>
      </c>
      <c r="B88" s="1" t="n">
        <v>45824.579375</v>
      </c>
      <c r="C88" s="1" t="n">
        <v>45924</v>
      </c>
      <c r="D88" t="inlineStr">
        <is>
          <t>VÄSTRA GÖTALANDS LÄN</t>
        </is>
      </c>
      <c r="E88" t="inlineStr">
        <is>
          <t>ALE</t>
        </is>
      </c>
      <c r="G88" t="n">
        <v>4.6</v>
      </c>
      <c r="H88" t="n">
        <v>0</v>
      </c>
      <c r="I88" t="n">
        <v>0</v>
      </c>
      <c r="J88" t="n">
        <v>0</v>
      </c>
      <c r="K88" t="n">
        <v>0</v>
      </c>
      <c r="L88" t="n">
        <v>0</v>
      </c>
      <c r="M88" t="n">
        <v>0</v>
      </c>
      <c r="N88" t="n">
        <v>0</v>
      </c>
      <c r="O88" t="n">
        <v>0</v>
      </c>
      <c r="P88" t="n">
        <v>0</v>
      </c>
      <c r="Q88" t="n">
        <v>0</v>
      </c>
      <c r="R88" s="2" t="inlineStr"/>
    </row>
    <row r="89" ht="15" customHeight="1">
      <c r="A89" t="inlineStr">
        <is>
          <t>A 13426-2025</t>
        </is>
      </c>
      <c r="B89" s="1" t="n">
        <v>45736.32780092592</v>
      </c>
      <c r="C89" s="1" t="n">
        <v>45924</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53476-2023</t>
        </is>
      </c>
      <c r="B90" s="1" t="n">
        <v>45230.33737268519</v>
      </c>
      <c r="C90" s="1" t="n">
        <v>45924</v>
      </c>
      <c r="D90" t="inlineStr">
        <is>
          <t>VÄSTRA GÖTALANDS LÄN</t>
        </is>
      </c>
      <c r="E90" t="inlineStr">
        <is>
          <t>ALE</t>
        </is>
      </c>
      <c r="G90" t="n">
        <v>1.9</v>
      </c>
      <c r="H90" t="n">
        <v>0</v>
      </c>
      <c r="I90" t="n">
        <v>0</v>
      </c>
      <c r="J90" t="n">
        <v>0</v>
      </c>
      <c r="K90" t="n">
        <v>0</v>
      </c>
      <c r="L90" t="n">
        <v>0</v>
      </c>
      <c r="M90" t="n">
        <v>0</v>
      </c>
      <c r="N90" t="n">
        <v>0</v>
      </c>
      <c r="O90" t="n">
        <v>0</v>
      </c>
      <c r="P90" t="n">
        <v>0</v>
      </c>
      <c r="Q90" t="n">
        <v>0</v>
      </c>
      <c r="R90" s="2" t="inlineStr"/>
    </row>
    <row r="91" ht="15" customHeight="1">
      <c r="A91" t="inlineStr">
        <is>
          <t>A 13382-2025</t>
        </is>
      </c>
      <c r="B91" s="1" t="n">
        <v>45735.67928240741</v>
      </c>
      <c r="C91" s="1" t="n">
        <v>45924</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20067-2023</t>
        </is>
      </c>
      <c r="B92" s="1" t="n">
        <v>45054</v>
      </c>
      <c r="C92" s="1" t="n">
        <v>45924</v>
      </c>
      <c r="D92" t="inlineStr">
        <is>
          <t>VÄSTRA GÖTALANDS LÄN</t>
        </is>
      </c>
      <c r="E92" t="inlineStr">
        <is>
          <t>ALE</t>
        </is>
      </c>
      <c r="G92" t="n">
        <v>0.4</v>
      </c>
      <c r="H92" t="n">
        <v>0</v>
      </c>
      <c r="I92" t="n">
        <v>0</v>
      </c>
      <c r="J92" t="n">
        <v>0</v>
      </c>
      <c r="K92" t="n">
        <v>0</v>
      </c>
      <c r="L92" t="n">
        <v>0</v>
      </c>
      <c r="M92" t="n">
        <v>0</v>
      </c>
      <c r="N92" t="n">
        <v>0</v>
      </c>
      <c r="O92" t="n">
        <v>0</v>
      </c>
      <c r="P92" t="n">
        <v>0</v>
      </c>
      <c r="Q92" t="n">
        <v>0</v>
      </c>
      <c r="R92" s="2" t="inlineStr"/>
    </row>
    <row r="93" ht="15" customHeight="1">
      <c r="A93" t="inlineStr">
        <is>
          <t>A 13903-2025</t>
        </is>
      </c>
      <c r="B93" s="1" t="n">
        <v>45737.63481481482</v>
      </c>
      <c r="C93" s="1" t="n">
        <v>45924</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55405-2021</t>
        </is>
      </c>
      <c r="B94" s="1" t="n">
        <v>44475.53733796296</v>
      </c>
      <c r="C94" s="1" t="n">
        <v>45924</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51164-2024</t>
        </is>
      </c>
      <c r="B95" s="1" t="n">
        <v>45603.5830787037</v>
      </c>
      <c r="C95" s="1" t="n">
        <v>45924</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63575-2023</t>
        </is>
      </c>
      <c r="B96" s="1" t="n">
        <v>45275.39715277778</v>
      </c>
      <c r="C96" s="1" t="n">
        <v>45924</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31407-2025</t>
        </is>
      </c>
      <c r="B97" s="1" t="n">
        <v>45833</v>
      </c>
      <c r="C97" s="1" t="n">
        <v>45924</v>
      </c>
      <c r="D97" t="inlineStr">
        <is>
          <t>VÄSTRA GÖTALANDS LÄN</t>
        </is>
      </c>
      <c r="E97" t="inlineStr">
        <is>
          <t>ALE</t>
        </is>
      </c>
      <c r="G97" t="n">
        <v>0.8</v>
      </c>
      <c r="H97" t="n">
        <v>0</v>
      </c>
      <c r="I97" t="n">
        <v>0</v>
      </c>
      <c r="J97" t="n">
        <v>0</v>
      </c>
      <c r="K97" t="n">
        <v>0</v>
      </c>
      <c r="L97" t="n">
        <v>0</v>
      </c>
      <c r="M97" t="n">
        <v>0</v>
      </c>
      <c r="N97" t="n">
        <v>0</v>
      </c>
      <c r="O97" t="n">
        <v>0</v>
      </c>
      <c r="P97" t="n">
        <v>0</v>
      </c>
      <c r="Q97" t="n">
        <v>0</v>
      </c>
      <c r="R97" s="2" t="inlineStr"/>
    </row>
    <row r="98" ht="15" customHeight="1">
      <c r="A98" t="inlineStr">
        <is>
          <t>A 31409-2025</t>
        </is>
      </c>
      <c r="B98" s="1" t="n">
        <v>45833</v>
      </c>
      <c r="C98" s="1" t="n">
        <v>45924</v>
      </c>
      <c r="D98" t="inlineStr">
        <is>
          <t>VÄSTRA GÖTALANDS LÄN</t>
        </is>
      </c>
      <c r="E98" t="inlineStr">
        <is>
          <t>ALE</t>
        </is>
      </c>
      <c r="G98" t="n">
        <v>0.8</v>
      </c>
      <c r="H98" t="n">
        <v>0</v>
      </c>
      <c r="I98" t="n">
        <v>0</v>
      </c>
      <c r="J98" t="n">
        <v>0</v>
      </c>
      <c r="K98" t="n">
        <v>0</v>
      </c>
      <c r="L98" t="n">
        <v>0</v>
      </c>
      <c r="M98" t="n">
        <v>0</v>
      </c>
      <c r="N98" t="n">
        <v>0</v>
      </c>
      <c r="O98" t="n">
        <v>0</v>
      </c>
      <c r="P98" t="n">
        <v>0</v>
      </c>
      <c r="Q98" t="n">
        <v>0</v>
      </c>
      <c r="R98" s="2" t="inlineStr"/>
    </row>
    <row r="99" ht="15" customHeight="1">
      <c r="A99" t="inlineStr">
        <is>
          <t>A 31488-2025</t>
        </is>
      </c>
      <c r="B99" s="1" t="n">
        <v>45833</v>
      </c>
      <c r="C99" s="1" t="n">
        <v>45924</v>
      </c>
      <c r="D99" t="inlineStr">
        <is>
          <t>VÄSTRA GÖTALANDS LÄN</t>
        </is>
      </c>
      <c r="E99" t="inlineStr">
        <is>
          <t>ALE</t>
        </is>
      </c>
      <c r="G99" t="n">
        <v>1.8</v>
      </c>
      <c r="H99" t="n">
        <v>0</v>
      </c>
      <c r="I99" t="n">
        <v>0</v>
      </c>
      <c r="J99" t="n">
        <v>0</v>
      </c>
      <c r="K99" t="n">
        <v>0</v>
      </c>
      <c r="L99" t="n">
        <v>0</v>
      </c>
      <c r="M99" t="n">
        <v>0</v>
      </c>
      <c r="N99" t="n">
        <v>0</v>
      </c>
      <c r="O99" t="n">
        <v>0</v>
      </c>
      <c r="P99" t="n">
        <v>0</v>
      </c>
      <c r="Q99" t="n">
        <v>0</v>
      </c>
      <c r="R99" s="2" t="inlineStr"/>
    </row>
    <row r="100" ht="15" customHeight="1">
      <c r="A100" t="inlineStr">
        <is>
          <t>A 31533-2025</t>
        </is>
      </c>
      <c r="B100" s="1" t="n">
        <v>45833</v>
      </c>
      <c r="C100" s="1" t="n">
        <v>45924</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44480.57173611111</v>
      </c>
      <c r="C101" s="1" t="n">
        <v>45924</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24642-2022</t>
        </is>
      </c>
      <c r="B102" s="1" t="n">
        <v>44727.59578703704</v>
      </c>
      <c r="C102" s="1" t="n">
        <v>45924</v>
      </c>
      <c r="D102" t="inlineStr">
        <is>
          <t>VÄSTRA GÖTALANDS LÄN</t>
        </is>
      </c>
      <c r="E102" t="inlineStr">
        <is>
          <t>ALE</t>
        </is>
      </c>
      <c r="G102" t="n">
        <v>10</v>
      </c>
      <c r="H102" t="n">
        <v>0</v>
      </c>
      <c r="I102" t="n">
        <v>0</v>
      </c>
      <c r="J102" t="n">
        <v>0</v>
      </c>
      <c r="K102" t="n">
        <v>0</v>
      </c>
      <c r="L102" t="n">
        <v>0</v>
      </c>
      <c r="M102" t="n">
        <v>0</v>
      </c>
      <c r="N102" t="n">
        <v>0</v>
      </c>
      <c r="O102" t="n">
        <v>0</v>
      </c>
      <c r="P102" t="n">
        <v>0</v>
      </c>
      <c r="Q102" t="n">
        <v>0</v>
      </c>
      <c r="R102" s="2" t="inlineStr"/>
    </row>
    <row r="103" ht="15" customHeight="1">
      <c r="A103" t="inlineStr">
        <is>
          <t>A 48257-2022</t>
        </is>
      </c>
      <c r="B103" s="1" t="n">
        <v>44858.47591435185</v>
      </c>
      <c r="C103" s="1" t="n">
        <v>45924</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41309-2024</t>
        </is>
      </c>
      <c r="B104" s="1" t="n">
        <v>45559</v>
      </c>
      <c r="C104" s="1" t="n">
        <v>45924</v>
      </c>
      <c r="D104" t="inlineStr">
        <is>
          <t>VÄSTRA GÖTALANDS LÄN</t>
        </is>
      </c>
      <c r="E104" t="inlineStr">
        <is>
          <t>ALE</t>
        </is>
      </c>
      <c r="G104" t="n">
        <v>8.4</v>
      </c>
      <c r="H104" t="n">
        <v>0</v>
      </c>
      <c r="I104" t="n">
        <v>0</v>
      </c>
      <c r="J104" t="n">
        <v>0</v>
      </c>
      <c r="K104" t="n">
        <v>0</v>
      </c>
      <c r="L104" t="n">
        <v>0</v>
      </c>
      <c r="M104" t="n">
        <v>0</v>
      </c>
      <c r="N104" t="n">
        <v>0</v>
      </c>
      <c r="O104" t="n">
        <v>0</v>
      </c>
      <c r="P104" t="n">
        <v>0</v>
      </c>
      <c r="Q104" t="n">
        <v>0</v>
      </c>
      <c r="R104" s="2" t="inlineStr"/>
    </row>
    <row r="105" ht="15" customHeight="1">
      <c r="A105" t="inlineStr">
        <is>
          <t>A 32762-2023</t>
        </is>
      </c>
      <c r="B105" s="1" t="n">
        <v>45123.46649305556</v>
      </c>
      <c r="C105" s="1" t="n">
        <v>45924</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7807-2023</t>
        </is>
      </c>
      <c r="B106" s="1" t="n">
        <v>44973</v>
      </c>
      <c r="C106" s="1" t="n">
        <v>45924</v>
      </c>
      <c r="D106" t="inlineStr">
        <is>
          <t>VÄSTRA GÖTALANDS LÄN</t>
        </is>
      </c>
      <c r="E106" t="inlineStr">
        <is>
          <t>ALE</t>
        </is>
      </c>
      <c r="G106" t="n">
        <v>10.5</v>
      </c>
      <c r="H106" t="n">
        <v>0</v>
      </c>
      <c r="I106" t="n">
        <v>0</v>
      </c>
      <c r="J106" t="n">
        <v>0</v>
      </c>
      <c r="K106" t="n">
        <v>0</v>
      </c>
      <c r="L106" t="n">
        <v>0</v>
      </c>
      <c r="M106" t="n">
        <v>0</v>
      </c>
      <c r="N106" t="n">
        <v>0</v>
      </c>
      <c r="O106" t="n">
        <v>0</v>
      </c>
      <c r="P106" t="n">
        <v>0</v>
      </c>
      <c r="Q106" t="n">
        <v>0</v>
      </c>
      <c r="R106" s="2" t="inlineStr"/>
    </row>
    <row r="107" ht="15" customHeight="1">
      <c r="A107" t="inlineStr">
        <is>
          <t>A 51564-2023</t>
        </is>
      </c>
      <c r="B107" s="1" t="n">
        <v>45222</v>
      </c>
      <c r="C107" s="1" t="n">
        <v>45924</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3413-2023</t>
        </is>
      </c>
      <c r="B108" s="1" t="n">
        <v>44949</v>
      </c>
      <c r="C108" s="1" t="n">
        <v>45924</v>
      </c>
      <c r="D108" t="inlineStr">
        <is>
          <t>VÄSTRA GÖTALANDS LÄN</t>
        </is>
      </c>
      <c r="E108" t="inlineStr">
        <is>
          <t>ALE</t>
        </is>
      </c>
      <c r="G108" t="n">
        <v>2.3</v>
      </c>
      <c r="H108" t="n">
        <v>0</v>
      </c>
      <c r="I108" t="n">
        <v>0</v>
      </c>
      <c r="J108" t="n">
        <v>0</v>
      </c>
      <c r="K108" t="n">
        <v>0</v>
      </c>
      <c r="L108" t="n">
        <v>0</v>
      </c>
      <c r="M108" t="n">
        <v>0</v>
      </c>
      <c r="N108" t="n">
        <v>0</v>
      </c>
      <c r="O108" t="n">
        <v>0</v>
      </c>
      <c r="P108" t="n">
        <v>0</v>
      </c>
      <c r="Q108" t="n">
        <v>0</v>
      </c>
      <c r="R108" s="2" t="inlineStr"/>
    </row>
    <row r="109" ht="15" customHeight="1">
      <c r="A109" t="inlineStr">
        <is>
          <t>A 40074-2025</t>
        </is>
      </c>
      <c r="B109" s="1" t="n">
        <v>45894.44685185186</v>
      </c>
      <c r="C109" s="1" t="n">
        <v>45924</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40931-2025</t>
        </is>
      </c>
      <c r="B110" s="1" t="n">
        <v>45897.64783564815</v>
      </c>
      <c r="C110" s="1" t="n">
        <v>45924</v>
      </c>
      <c r="D110" t="inlineStr">
        <is>
          <t>VÄSTRA GÖTALANDS LÄN</t>
        </is>
      </c>
      <c r="E110" t="inlineStr">
        <is>
          <t>ALE</t>
        </is>
      </c>
      <c r="G110" t="n">
        <v>4.3</v>
      </c>
      <c r="H110" t="n">
        <v>0</v>
      </c>
      <c r="I110" t="n">
        <v>0</v>
      </c>
      <c r="J110" t="n">
        <v>0</v>
      </c>
      <c r="K110" t="n">
        <v>0</v>
      </c>
      <c r="L110" t="n">
        <v>0</v>
      </c>
      <c r="M110" t="n">
        <v>0</v>
      </c>
      <c r="N110" t="n">
        <v>0</v>
      </c>
      <c r="O110" t="n">
        <v>0</v>
      </c>
      <c r="P110" t="n">
        <v>0</v>
      </c>
      <c r="Q110" t="n">
        <v>0</v>
      </c>
      <c r="R110" s="2" t="inlineStr"/>
    </row>
    <row r="111" ht="15" customHeight="1">
      <c r="A111" t="inlineStr">
        <is>
          <t>A 26157-2023</t>
        </is>
      </c>
      <c r="B111" s="1" t="n">
        <v>45091.50479166667</v>
      </c>
      <c r="C111" s="1" t="n">
        <v>45924</v>
      </c>
      <c r="D111" t="inlineStr">
        <is>
          <t>VÄSTRA GÖTALANDS LÄN</t>
        </is>
      </c>
      <c r="E111" t="inlineStr">
        <is>
          <t>ALE</t>
        </is>
      </c>
      <c r="G111" t="n">
        <v>2.6</v>
      </c>
      <c r="H111" t="n">
        <v>0</v>
      </c>
      <c r="I111" t="n">
        <v>0</v>
      </c>
      <c r="J111" t="n">
        <v>0</v>
      </c>
      <c r="K111" t="n">
        <v>0</v>
      </c>
      <c r="L111" t="n">
        <v>0</v>
      </c>
      <c r="M111" t="n">
        <v>0</v>
      </c>
      <c r="N111" t="n">
        <v>0</v>
      </c>
      <c r="O111" t="n">
        <v>0</v>
      </c>
      <c r="P111" t="n">
        <v>0</v>
      </c>
      <c r="Q111" t="n">
        <v>0</v>
      </c>
      <c r="R111" s="2" t="inlineStr"/>
    </row>
    <row r="112" ht="15" customHeight="1">
      <c r="A112" t="inlineStr">
        <is>
          <t>A 43732-2025</t>
        </is>
      </c>
      <c r="B112" s="1" t="n">
        <v>45912.43576388889</v>
      </c>
      <c r="C112" s="1" t="n">
        <v>45924</v>
      </c>
      <c r="D112" t="inlineStr">
        <is>
          <t>VÄSTRA GÖTALANDS LÄN</t>
        </is>
      </c>
      <c r="E112" t="inlineStr">
        <is>
          <t>ALE</t>
        </is>
      </c>
      <c r="G112" t="n">
        <v>2.9</v>
      </c>
      <c r="H112" t="n">
        <v>0</v>
      </c>
      <c r="I112" t="n">
        <v>0</v>
      </c>
      <c r="J112" t="n">
        <v>0</v>
      </c>
      <c r="K112" t="n">
        <v>0</v>
      </c>
      <c r="L112" t="n">
        <v>0</v>
      </c>
      <c r="M112" t="n">
        <v>0</v>
      </c>
      <c r="N112" t="n">
        <v>0</v>
      </c>
      <c r="O112" t="n">
        <v>0</v>
      </c>
      <c r="P112" t="n">
        <v>0</v>
      </c>
      <c r="Q112" t="n">
        <v>0</v>
      </c>
      <c r="R112" s="2" t="inlineStr"/>
    </row>
    <row r="113" ht="15" customHeight="1">
      <c r="A113" t="inlineStr">
        <is>
          <t>A 47087-2023</t>
        </is>
      </c>
      <c r="B113" s="1" t="n">
        <v>45196</v>
      </c>
      <c r="C113" s="1" t="n">
        <v>45924</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35959-2022</t>
        </is>
      </c>
      <c r="B114" s="1" t="n">
        <v>44802.57002314815</v>
      </c>
      <c r="C114" s="1" t="n">
        <v>45924</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14493-2024</t>
        </is>
      </c>
      <c r="B115" s="1" t="n">
        <v>45394.58491898148</v>
      </c>
      <c r="C115" s="1" t="n">
        <v>45924</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1500-2024</t>
        </is>
      </c>
      <c r="B116" s="1" t="n">
        <v>45306</v>
      </c>
      <c r="C116" s="1" t="n">
        <v>45924</v>
      </c>
      <c r="D116" t="inlineStr">
        <is>
          <t>VÄSTRA GÖTALANDS LÄN</t>
        </is>
      </c>
      <c r="E116" t="inlineStr">
        <is>
          <t>ALE</t>
        </is>
      </c>
      <c r="G116" t="n">
        <v>1.3</v>
      </c>
      <c r="H116" t="n">
        <v>0</v>
      </c>
      <c r="I116" t="n">
        <v>0</v>
      </c>
      <c r="J116" t="n">
        <v>0</v>
      </c>
      <c r="K116" t="n">
        <v>0</v>
      </c>
      <c r="L116" t="n">
        <v>0</v>
      </c>
      <c r="M116" t="n">
        <v>0</v>
      </c>
      <c r="N116" t="n">
        <v>0</v>
      </c>
      <c r="O116" t="n">
        <v>0</v>
      </c>
      <c r="P116" t="n">
        <v>0</v>
      </c>
      <c r="Q116" t="n">
        <v>0</v>
      </c>
      <c r="R116" s="2" t="inlineStr"/>
    </row>
    <row r="117" ht="15" customHeight="1">
      <c r="A117" t="inlineStr">
        <is>
          <t>A 27314-2021</t>
        </is>
      </c>
      <c r="B117" s="1" t="n">
        <v>44351.36537037037</v>
      </c>
      <c r="C117" s="1" t="n">
        <v>45924</v>
      </c>
      <c r="D117" t="inlineStr">
        <is>
          <t>VÄSTRA GÖTALANDS LÄN</t>
        </is>
      </c>
      <c r="E117" t="inlineStr">
        <is>
          <t>ALE</t>
        </is>
      </c>
      <c r="G117" t="n">
        <v>11.3</v>
      </c>
      <c r="H117" t="n">
        <v>0</v>
      </c>
      <c r="I117" t="n">
        <v>0</v>
      </c>
      <c r="J117" t="n">
        <v>0</v>
      </c>
      <c r="K117" t="n">
        <v>0</v>
      </c>
      <c r="L117" t="n">
        <v>0</v>
      </c>
      <c r="M117" t="n">
        <v>0</v>
      </c>
      <c r="N117" t="n">
        <v>0</v>
      </c>
      <c r="O117" t="n">
        <v>0</v>
      </c>
      <c r="P117" t="n">
        <v>0</v>
      </c>
      <c r="Q117" t="n">
        <v>0</v>
      </c>
      <c r="R117" s="2" t="inlineStr"/>
    </row>
    <row r="118" ht="15" customHeight="1">
      <c r="A118" t="inlineStr">
        <is>
          <t>A 1687-2024</t>
        </is>
      </c>
      <c r="B118" s="1" t="n">
        <v>45306</v>
      </c>
      <c r="C118" s="1" t="n">
        <v>45924</v>
      </c>
      <c r="D118" t="inlineStr">
        <is>
          <t>VÄSTRA GÖTALANDS LÄN</t>
        </is>
      </c>
      <c r="E118" t="inlineStr">
        <is>
          <t>ALE</t>
        </is>
      </c>
      <c r="G118" t="n">
        <v>3.4</v>
      </c>
      <c r="H118" t="n">
        <v>0</v>
      </c>
      <c r="I118" t="n">
        <v>0</v>
      </c>
      <c r="J118" t="n">
        <v>0</v>
      </c>
      <c r="K118" t="n">
        <v>0</v>
      </c>
      <c r="L118" t="n">
        <v>0</v>
      </c>
      <c r="M118" t="n">
        <v>0</v>
      </c>
      <c r="N118" t="n">
        <v>0</v>
      </c>
      <c r="O118" t="n">
        <v>0</v>
      </c>
      <c r="P118" t="n">
        <v>0</v>
      </c>
      <c r="Q118" t="n">
        <v>0</v>
      </c>
      <c r="R118" s="2" t="inlineStr"/>
    </row>
    <row r="119" ht="15" customHeight="1">
      <c r="A119" t="inlineStr">
        <is>
          <t>A 5875-2023</t>
        </is>
      </c>
      <c r="B119" s="1" t="n">
        <v>44963</v>
      </c>
      <c r="C119" s="1" t="n">
        <v>45924</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64199-2021</t>
        </is>
      </c>
      <c r="B120" s="1" t="n">
        <v>44510</v>
      </c>
      <c r="C120" s="1" t="n">
        <v>45924</v>
      </c>
      <c r="D120" t="inlineStr">
        <is>
          <t>VÄSTRA GÖTALANDS LÄN</t>
        </is>
      </c>
      <c r="E120" t="inlineStr">
        <is>
          <t>ALE</t>
        </is>
      </c>
      <c r="G120" t="n">
        <v>5.7</v>
      </c>
      <c r="H120" t="n">
        <v>0</v>
      </c>
      <c r="I120" t="n">
        <v>0</v>
      </c>
      <c r="J120" t="n">
        <v>0</v>
      </c>
      <c r="K120" t="n">
        <v>0</v>
      </c>
      <c r="L120" t="n">
        <v>0</v>
      </c>
      <c r="M120" t="n">
        <v>0</v>
      </c>
      <c r="N120" t="n">
        <v>0</v>
      </c>
      <c r="O120" t="n">
        <v>0</v>
      </c>
      <c r="P120" t="n">
        <v>0</v>
      </c>
      <c r="Q120" t="n">
        <v>0</v>
      </c>
      <c r="R120" s="2" t="inlineStr"/>
    </row>
    <row r="121" ht="15" customHeight="1">
      <c r="A121" t="inlineStr">
        <is>
          <t>A 14458-2024</t>
        </is>
      </c>
      <c r="B121" s="1" t="n">
        <v>45394</v>
      </c>
      <c r="C121" s="1" t="n">
        <v>45924</v>
      </c>
      <c r="D121" t="inlineStr">
        <is>
          <t>VÄSTRA GÖTALANDS LÄN</t>
        </is>
      </c>
      <c r="E121" t="inlineStr">
        <is>
          <t>ALE</t>
        </is>
      </c>
      <c r="G121" t="n">
        <v>0.5</v>
      </c>
      <c r="H121" t="n">
        <v>0</v>
      </c>
      <c r="I121" t="n">
        <v>0</v>
      </c>
      <c r="J121" t="n">
        <v>0</v>
      </c>
      <c r="K121" t="n">
        <v>0</v>
      </c>
      <c r="L121" t="n">
        <v>0</v>
      </c>
      <c r="M121" t="n">
        <v>0</v>
      </c>
      <c r="N121" t="n">
        <v>0</v>
      </c>
      <c r="O121" t="n">
        <v>0</v>
      </c>
      <c r="P121" t="n">
        <v>0</v>
      </c>
      <c r="Q121" t="n">
        <v>0</v>
      </c>
      <c r="R121" s="2" t="inlineStr"/>
    </row>
    <row r="122" ht="15" customHeight="1">
      <c r="A122" t="inlineStr">
        <is>
          <t>A 67160-2021</t>
        </is>
      </c>
      <c r="B122" s="1" t="n">
        <v>44523</v>
      </c>
      <c r="C122" s="1" t="n">
        <v>45924</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42446-2023</t>
        </is>
      </c>
      <c r="B123" s="1" t="n">
        <v>45180</v>
      </c>
      <c r="C123" s="1" t="n">
        <v>45924</v>
      </c>
      <c r="D123" t="inlineStr">
        <is>
          <t>VÄSTRA GÖTALANDS LÄN</t>
        </is>
      </c>
      <c r="E123" t="inlineStr">
        <is>
          <t>ALE</t>
        </is>
      </c>
      <c r="G123" t="n">
        <v>0.8</v>
      </c>
      <c r="H123" t="n">
        <v>0</v>
      </c>
      <c r="I123" t="n">
        <v>0</v>
      </c>
      <c r="J123" t="n">
        <v>0</v>
      </c>
      <c r="K123" t="n">
        <v>0</v>
      </c>
      <c r="L123" t="n">
        <v>0</v>
      </c>
      <c r="M123" t="n">
        <v>0</v>
      </c>
      <c r="N123" t="n">
        <v>0</v>
      </c>
      <c r="O123" t="n">
        <v>0</v>
      </c>
      <c r="P123" t="n">
        <v>0</v>
      </c>
      <c r="Q123" t="n">
        <v>0</v>
      </c>
      <c r="R123" s="2" t="inlineStr"/>
    </row>
    <row r="124" ht="15" customHeight="1">
      <c r="A124" t="inlineStr">
        <is>
          <t>A 53121-2024</t>
        </is>
      </c>
      <c r="B124" s="1" t="n">
        <v>45611</v>
      </c>
      <c r="C124" s="1" t="n">
        <v>45924</v>
      </c>
      <c r="D124" t="inlineStr">
        <is>
          <t>VÄSTRA GÖTALANDS LÄN</t>
        </is>
      </c>
      <c r="E124" t="inlineStr">
        <is>
          <t>ALE</t>
        </is>
      </c>
      <c r="G124" t="n">
        <v>3.4</v>
      </c>
      <c r="H124" t="n">
        <v>0</v>
      </c>
      <c r="I124" t="n">
        <v>0</v>
      </c>
      <c r="J124" t="n">
        <v>0</v>
      </c>
      <c r="K124" t="n">
        <v>0</v>
      </c>
      <c r="L124" t="n">
        <v>0</v>
      </c>
      <c r="M124" t="n">
        <v>0</v>
      </c>
      <c r="N124" t="n">
        <v>0</v>
      </c>
      <c r="O124" t="n">
        <v>0</v>
      </c>
      <c r="P124" t="n">
        <v>0</v>
      </c>
      <c r="Q124" t="n">
        <v>0</v>
      </c>
      <c r="R124" s="2" t="inlineStr"/>
    </row>
    <row r="125" ht="15" customHeight="1">
      <c r="A125" t="inlineStr">
        <is>
          <t>A 33237-2024</t>
        </is>
      </c>
      <c r="B125" s="1" t="n">
        <v>45518.59173611111</v>
      </c>
      <c r="C125" s="1" t="n">
        <v>45924</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12055-2022</t>
        </is>
      </c>
      <c r="B126" s="1" t="n">
        <v>44636</v>
      </c>
      <c r="C126" s="1" t="n">
        <v>45924</v>
      </c>
      <c r="D126" t="inlineStr">
        <is>
          <t>VÄSTRA GÖTALANDS LÄN</t>
        </is>
      </c>
      <c r="E126" t="inlineStr">
        <is>
          <t>ALE</t>
        </is>
      </c>
      <c r="G126" t="n">
        <v>0.2</v>
      </c>
      <c r="H126" t="n">
        <v>0</v>
      </c>
      <c r="I126" t="n">
        <v>0</v>
      </c>
      <c r="J126" t="n">
        <v>0</v>
      </c>
      <c r="K126" t="n">
        <v>0</v>
      </c>
      <c r="L126" t="n">
        <v>0</v>
      </c>
      <c r="M126" t="n">
        <v>0</v>
      </c>
      <c r="N126" t="n">
        <v>0</v>
      </c>
      <c r="O126" t="n">
        <v>0</v>
      </c>
      <c r="P126" t="n">
        <v>0</v>
      </c>
      <c r="Q126" t="n">
        <v>0</v>
      </c>
      <c r="R126" s="2" t="inlineStr"/>
    </row>
    <row r="127" ht="15" customHeight="1">
      <c r="A127" t="inlineStr">
        <is>
          <t>A 3520-2022</t>
        </is>
      </c>
      <c r="B127" s="1" t="n">
        <v>44585.72818287037</v>
      </c>
      <c r="C127" s="1" t="n">
        <v>45924</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65226-2021</t>
        </is>
      </c>
      <c r="B128" s="1" t="n">
        <v>44515</v>
      </c>
      <c r="C128" s="1" t="n">
        <v>45924</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9193-2025</t>
        </is>
      </c>
      <c r="B129" s="1" t="n">
        <v>45714</v>
      </c>
      <c r="C129" s="1" t="n">
        <v>45924</v>
      </c>
      <c r="D129" t="inlineStr">
        <is>
          <t>VÄSTRA GÖTALANDS LÄN</t>
        </is>
      </c>
      <c r="E129" t="inlineStr">
        <is>
          <t>ALE</t>
        </is>
      </c>
      <c r="G129" t="n">
        <v>7.1</v>
      </c>
      <c r="H129" t="n">
        <v>0</v>
      </c>
      <c r="I129" t="n">
        <v>0</v>
      </c>
      <c r="J129" t="n">
        <v>0</v>
      </c>
      <c r="K129" t="n">
        <v>0</v>
      </c>
      <c r="L129" t="n">
        <v>0</v>
      </c>
      <c r="M129" t="n">
        <v>0</v>
      </c>
      <c r="N129" t="n">
        <v>0</v>
      </c>
      <c r="O129" t="n">
        <v>0</v>
      </c>
      <c r="P129" t="n">
        <v>0</v>
      </c>
      <c r="Q129" t="n">
        <v>0</v>
      </c>
      <c r="R129" s="2" t="inlineStr"/>
    </row>
    <row r="130" ht="15" customHeight="1">
      <c r="A130" t="inlineStr">
        <is>
          <t>A 36763-2022</t>
        </is>
      </c>
      <c r="B130" s="1" t="n">
        <v>44805</v>
      </c>
      <c r="C130" s="1" t="n">
        <v>45924</v>
      </c>
      <c r="D130" t="inlineStr">
        <is>
          <t>VÄSTRA GÖTALANDS LÄN</t>
        </is>
      </c>
      <c r="E130" t="inlineStr">
        <is>
          <t>ALE</t>
        </is>
      </c>
      <c r="G130" t="n">
        <v>6.1</v>
      </c>
      <c r="H130" t="n">
        <v>0</v>
      </c>
      <c r="I130" t="n">
        <v>0</v>
      </c>
      <c r="J130" t="n">
        <v>0</v>
      </c>
      <c r="K130" t="n">
        <v>0</v>
      </c>
      <c r="L130" t="n">
        <v>0</v>
      </c>
      <c r="M130" t="n">
        <v>0</v>
      </c>
      <c r="N130" t="n">
        <v>0</v>
      </c>
      <c r="O130" t="n">
        <v>0</v>
      </c>
      <c r="P130" t="n">
        <v>0</v>
      </c>
      <c r="Q130" t="n">
        <v>0</v>
      </c>
      <c r="R130" s="2" t="inlineStr"/>
    </row>
    <row r="131" ht="15" customHeight="1">
      <c r="A131" t="inlineStr">
        <is>
          <t>A 18999-2021</t>
        </is>
      </c>
      <c r="B131" s="1" t="n">
        <v>44308</v>
      </c>
      <c r="C131" s="1" t="n">
        <v>45924</v>
      </c>
      <c r="D131" t="inlineStr">
        <is>
          <t>VÄSTRA GÖTALANDS LÄN</t>
        </is>
      </c>
      <c r="E131" t="inlineStr">
        <is>
          <t>ALE</t>
        </is>
      </c>
      <c r="G131" t="n">
        <v>3.7</v>
      </c>
      <c r="H131" t="n">
        <v>0</v>
      </c>
      <c r="I131" t="n">
        <v>0</v>
      </c>
      <c r="J131" t="n">
        <v>0</v>
      </c>
      <c r="K131" t="n">
        <v>0</v>
      </c>
      <c r="L131" t="n">
        <v>0</v>
      </c>
      <c r="M131" t="n">
        <v>0</v>
      </c>
      <c r="N131" t="n">
        <v>0</v>
      </c>
      <c r="O131" t="n">
        <v>0</v>
      </c>
      <c r="P131" t="n">
        <v>0</v>
      </c>
      <c r="Q131" t="n">
        <v>0</v>
      </c>
      <c r="R131" s="2" t="inlineStr"/>
    </row>
    <row r="132" ht="15" customHeight="1">
      <c r="A132" t="inlineStr">
        <is>
          <t>A 3407-2023</t>
        </is>
      </c>
      <c r="B132" s="1" t="n">
        <v>44949.54909722223</v>
      </c>
      <c r="C132" s="1" t="n">
        <v>45924</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17044-2025</t>
        </is>
      </c>
      <c r="B133" s="1" t="n">
        <v>45755.58891203703</v>
      </c>
      <c r="C133" s="1" t="n">
        <v>45924</v>
      </c>
      <c r="D133" t="inlineStr">
        <is>
          <t>VÄSTRA GÖTALANDS LÄN</t>
        </is>
      </c>
      <c r="E133" t="inlineStr">
        <is>
          <t>ALE</t>
        </is>
      </c>
      <c r="G133" t="n">
        <v>1.5</v>
      </c>
      <c r="H133" t="n">
        <v>0</v>
      </c>
      <c r="I133" t="n">
        <v>0</v>
      </c>
      <c r="J133" t="n">
        <v>0</v>
      </c>
      <c r="K133" t="n">
        <v>0</v>
      </c>
      <c r="L133" t="n">
        <v>0</v>
      </c>
      <c r="M133" t="n">
        <v>0</v>
      </c>
      <c r="N133" t="n">
        <v>0</v>
      </c>
      <c r="O133" t="n">
        <v>0</v>
      </c>
      <c r="P133" t="n">
        <v>0</v>
      </c>
      <c r="Q133" t="n">
        <v>0</v>
      </c>
      <c r="R133" s="2" t="inlineStr"/>
    </row>
    <row r="134" ht="15" customHeight="1">
      <c r="A134" t="inlineStr">
        <is>
          <t>A 15241-2025</t>
        </is>
      </c>
      <c r="B134" s="1" t="n">
        <v>45744.61255787037</v>
      </c>
      <c r="C134" s="1" t="n">
        <v>45924</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55488-2022</t>
        </is>
      </c>
      <c r="B135" s="1" t="n">
        <v>44887</v>
      </c>
      <c r="C135" s="1" t="n">
        <v>45924</v>
      </c>
      <c r="D135" t="inlineStr">
        <is>
          <t>VÄSTRA GÖTALANDS LÄN</t>
        </is>
      </c>
      <c r="E135" t="inlineStr">
        <is>
          <t>ALE</t>
        </is>
      </c>
      <c r="G135" t="n">
        <v>2.5</v>
      </c>
      <c r="H135" t="n">
        <v>0</v>
      </c>
      <c r="I135" t="n">
        <v>0</v>
      </c>
      <c r="J135" t="n">
        <v>0</v>
      </c>
      <c r="K135" t="n">
        <v>0</v>
      </c>
      <c r="L135" t="n">
        <v>0</v>
      </c>
      <c r="M135" t="n">
        <v>0</v>
      </c>
      <c r="N135" t="n">
        <v>0</v>
      </c>
      <c r="O135" t="n">
        <v>0</v>
      </c>
      <c r="P135" t="n">
        <v>0</v>
      </c>
      <c r="Q135" t="n">
        <v>0</v>
      </c>
      <c r="R135" s="2" t="inlineStr"/>
    </row>
    <row r="136" ht="15" customHeight="1">
      <c r="A136" t="inlineStr">
        <is>
          <t>A 49680-2024</t>
        </is>
      </c>
      <c r="B136" s="1" t="n">
        <v>45596.66880787037</v>
      </c>
      <c r="C136" s="1" t="n">
        <v>45924</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34153-2024</t>
        </is>
      </c>
      <c r="B137" s="1" t="n">
        <v>45524.38400462963</v>
      </c>
      <c r="C137" s="1" t="n">
        <v>45924</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14731-2022</t>
        </is>
      </c>
      <c r="B138" s="1" t="n">
        <v>44656</v>
      </c>
      <c r="C138" s="1" t="n">
        <v>45924</v>
      </c>
      <c r="D138" t="inlineStr">
        <is>
          <t>VÄSTRA GÖTALANDS LÄN</t>
        </is>
      </c>
      <c r="E138" t="inlineStr">
        <is>
          <t>ALE</t>
        </is>
      </c>
      <c r="G138" t="n">
        <v>1.8</v>
      </c>
      <c r="H138" t="n">
        <v>0</v>
      </c>
      <c r="I138" t="n">
        <v>0</v>
      </c>
      <c r="J138" t="n">
        <v>0</v>
      </c>
      <c r="K138" t="n">
        <v>0</v>
      </c>
      <c r="L138" t="n">
        <v>0</v>
      </c>
      <c r="M138" t="n">
        <v>0</v>
      </c>
      <c r="N138" t="n">
        <v>0</v>
      </c>
      <c r="O138" t="n">
        <v>0</v>
      </c>
      <c r="P138" t="n">
        <v>0</v>
      </c>
      <c r="Q138" t="n">
        <v>0</v>
      </c>
      <c r="R138" s="2" t="inlineStr"/>
    </row>
    <row r="139" ht="15" customHeight="1">
      <c r="A139" t="inlineStr">
        <is>
          <t>A 16601-2025</t>
        </is>
      </c>
      <c r="B139" s="1" t="n">
        <v>45753.53189814815</v>
      </c>
      <c r="C139" s="1" t="n">
        <v>45924</v>
      </c>
      <c r="D139" t="inlineStr">
        <is>
          <t>VÄSTRA GÖTALANDS LÄN</t>
        </is>
      </c>
      <c r="E139" t="inlineStr">
        <is>
          <t>ALE</t>
        </is>
      </c>
      <c r="G139" t="n">
        <v>1.7</v>
      </c>
      <c r="H139" t="n">
        <v>0</v>
      </c>
      <c r="I139" t="n">
        <v>0</v>
      </c>
      <c r="J139" t="n">
        <v>0</v>
      </c>
      <c r="K139" t="n">
        <v>0</v>
      </c>
      <c r="L139" t="n">
        <v>0</v>
      </c>
      <c r="M139" t="n">
        <v>0</v>
      </c>
      <c r="N139" t="n">
        <v>0</v>
      </c>
      <c r="O139" t="n">
        <v>0</v>
      </c>
      <c r="P139" t="n">
        <v>0</v>
      </c>
      <c r="Q139" t="n">
        <v>0</v>
      </c>
      <c r="R139" s="2" t="inlineStr"/>
    </row>
    <row r="140" ht="15" customHeight="1">
      <c r="A140" t="inlineStr">
        <is>
          <t>A 60233-2024</t>
        </is>
      </c>
      <c r="B140" s="1" t="n">
        <v>45642.74851851852</v>
      </c>
      <c r="C140" s="1" t="n">
        <v>45924</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36403-2024</t>
        </is>
      </c>
      <c r="B141" s="1" t="n">
        <v>45535.69445601852</v>
      </c>
      <c r="C141" s="1" t="n">
        <v>45924</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200-2022</t>
        </is>
      </c>
      <c r="B142" s="1" t="n">
        <v>44564</v>
      </c>
      <c r="C142" s="1" t="n">
        <v>45924</v>
      </c>
      <c r="D142" t="inlineStr">
        <is>
          <t>VÄSTRA GÖTALANDS LÄN</t>
        </is>
      </c>
      <c r="E142" t="inlineStr">
        <is>
          <t>ALE</t>
        </is>
      </c>
      <c r="G142" t="n">
        <v>6.8</v>
      </c>
      <c r="H142" t="n">
        <v>0</v>
      </c>
      <c r="I142" t="n">
        <v>0</v>
      </c>
      <c r="J142" t="n">
        <v>0</v>
      </c>
      <c r="K142" t="n">
        <v>0</v>
      </c>
      <c r="L142" t="n">
        <v>0</v>
      </c>
      <c r="M142" t="n">
        <v>0</v>
      </c>
      <c r="N142" t="n">
        <v>0</v>
      </c>
      <c r="O142" t="n">
        <v>0</v>
      </c>
      <c r="P142" t="n">
        <v>0</v>
      </c>
      <c r="Q142" t="n">
        <v>0</v>
      </c>
      <c r="R142" s="2" t="inlineStr"/>
    </row>
    <row r="143" ht="15" customHeight="1">
      <c r="A143" t="inlineStr">
        <is>
          <t>A 41598-2022</t>
        </is>
      </c>
      <c r="B143" s="1" t="n">
        <v>44827.4609837963</v>
      </c>
      <c r="C143" s="1" t="n">
        <v>45924</v>
      </c>
      <c r="D143" t="inlineStr">
        <is>
          <t>VÄSTRA GÖTALANDS LÄN</t>
        </is>
      </c>
      <c r="E143" t="inlineStr">
        <is>
          <t>ALE</t>
        </is>
      </c>
      <c r="G143" t="n">
        <v>2</v>
      </c>
      <c r="H143" t="n">
        <v>0</v>
      </c>
      <c r="I143" t="n">
        <v>0</v>
      </c>
      <c r="J143" t="n">
        <v>0</v>
      </c>
      <c r="K143" t="n">
        <v>0</v>
      </c>
      <c r="L143" t="n">
        <v>0</v>
      </c>
      <c r="M143" t="n">
        <v>0</v>
      </c>
      <c r="N143" t="n">
        <v>0</v>
      </c>
      <c r="O143" t="n">
        <v>0</v>
      </c>
      <c r="P143" t="n">
        <v>0</v>
      </c>
      <c r="Q143" t="n">
        <v>0</v>
      </c>
      <c r="R143" s="2" t="inlineStr"/>
    </row>
    <row r="144" ht="15" customHeight="1">
      <c r="A144" t="inlineStr">
        <is>
          <t>A 4642-2024</t>
        </is>
      </c>
      <c r="B144" s="1" t="n">
        <v>45328.43502314815</v>
      </c>
      <c r="C144" s="1" t="n">
        <v>45924</v>
      </c>
      <c r="D144" t="inlineStr">
        <is>
          <t>VÄSTRA GÖTALANDS LÄN</t>
        </is>
      </c>
      <c r="E144" t="inlineStr">
        <is>
          <t>ALE</t>
        </is>
      </c>
      <c r="G144" t="n">
        <v>7.1</v>
      </c>
      <c r="H144" t="n">
        <v>0</v>
      </c>
      <c r="I144" t="n">
        <v>0</v>
      </c>
      <c r="J144" t="n">
        <v>0</v>
      </c>
      <c r="K144" t="n">
        <v>0</v>
      </c>
      <c r="L144" t="n">
        <v>0</v>
      </c>
      <c r="M144" t="n">
        <v>0</v>
      </c>
      <c r="N144" t="n">
        <v>0</v>
      </c>
      <c r="O144" t="n">
        <v>0</v>
      </c>
      <c r="P144" t="n">
        <v>0</v>
      </c>
      <c r="Q144" t="n">
        <v>0</v>
      </c>
      <c r="R144" s="2" t="inlineStr"/>
    </row>
    <row r="145" ht="15" customHeight="1">
      <c r="A145" t="inlineStr">
        <is>
          <t>A 15582-2025</t>
        </is>
      </c>
      <c r="B145" s="1" t="n">
        <v>45747.81394675926</v>
      </c>
      <c r="C145" s="1" t="n">
        <v>45924</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69325-2020</t>
        </is>
      </c>
      <c r="B146" s="1" t="n">
        <v>44193</v>
      </c>
      <c r="C146" s="1" t="n">
        <v>45924</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7892-2024</t>
        </is>
      </c>
      <c r="B147" s="1" t="n">
        <v>45350.40921296296</v>
      </c>
      <c r="C147" s="1" t="n">
        <v>45924</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45924</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3457-2022</t>
        </is>
      </c>
      <c r="B149" s="1" t="n">
        <v>44585</v>
      </c>
      <c r="C149" s="1" t="n">
        <v>45924</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8956-2025</t>
        </is>
      </c>
      <c r="B150" s="1" t="n">
        <v>45713.46825231481</v>
      </c>
      <c r="C150" s="1" t="n">
        <v>45924</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50451-2024</t>
        </is>
      </c>
      <c r="B151" s="1" t="n">
        <v>45601.44248842593</v>
      </c>
      <c r="C151" s="1" t="n">
        <v>45924</v>
      </c>
      <c r="D151" t="inlineStr">
        <is>
          <t>VÄSTRA GÖTALANDS LÄN</t>
        </is>
      </c>
      <c r="E151" t="inlineStr">
        <is>
          <t>ALE</t>
        </is>
      </c>
      <c r="G151" t="n">
        <v>2.9</v>
      </c>
      <c r="H151" t="n">
        <v>0</v>
      </c>
      <c r="I151" t="n">
        <v>0</v>
      </c>
      <c r="J151" t="n">
        <v>0</v>
      </c>
      <c r="K151" t="n">
        <v>0</v>
      </c>
      <c r="L151" t="n">
        <v>0</v>
      </c>
      <c r="M151" t="n">
        <v>0</v>
      </c>
      <c r="N151" t="n">
        <v>0</v>
      </c>
      <c r="O151" t="n">
        <v>0</v>
      </c>
      <c r="P151" t="n">
        <v>0</v>
      </c>
      <c r="Q151" t="n">
        <v>0</v>
      </c>
      <c r="R151" s="2" t="inlineStr"/>
    </row>
    <row r="152" ht="15" customHeight="1">
      <c r="A152" t="inlineStr">
        <is>
          <t>A 4971-2024</t>
        </is>
      </c>
      <c r="B152" s="1" t="n">
        <v>45329</v>
      </c>
      <c r="C152" s="1" t="n">
        <v>45924</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c r="A153" t="inlineStr">
        <is>
          <t>A 22946-2025</t>
        </is>
      </c>
      <c r="B153" s="1" t="n">
        <v>45790.48229166667</v>
      </c>
      <c r="C153" s="1" t="n">
        <v>45924</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2025-09-24T10:13:49Z</dcterms:created>
  <dcterms:modified xmlns:dcterms="http://purl.org/dc/terms/" xmlns:xsi="http://www.w3.org/2001/XMLSchema-instance" xsi:type="dcterms:W3CDTF">2025-09-24T10:13:49Z</dcterms:modified>
</cp:coreProperties>
</file>