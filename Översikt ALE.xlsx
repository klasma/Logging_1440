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45928</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45928</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45928</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45928</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45928</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45928</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45928</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45928</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45928</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45928</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37005-2025</t>
        </is>
      </c>
      <c r="B12" s="1" t="n">
        <v>45874.69311342593</v>
      </c>
      <c r="C12" s="1" t="n">
        <v>45928</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32849-2023</t>
        </is>
      </c>
      <c r="B13" s="1" t="n">
        <v>45124</v>
      </c>
      <c r="C13" s="1" t="n">
        <v>45928</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17566-2024</t>
        </is>
      </c>
      <c r="B14" s="1" t="n">
        <v>45415</v>
      </c>
      <c r="C14" s="1" t="n">
        <v>45928</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563-2024</t>
        </is>
      </c>
      <c r="B15" s="1" t="n">
        <v>45299</v>
      </c>
      <c r="C15" s="1" t="n">
        <v>45928</v>
      </c>
      <c r="D15" t="inlineStr">
        <is>
          <t>VÄSTRA GÖTALANDS LÄN</t>
        </is>
      </c>
      <c r="E15" t="inlineStr">
        <is>
          <t>ALE</t>
        </is>
      </c>
      <c r="F15" t="inlineStr">
        <is>
          <t>Kyrkan</t>
        </is>
      </c>
      <c r="G15" t="n">
        <v>26</v>
      </c>
      <c r="H15" t="n">
        <v>4</v>
      </c>
      <c r="I15" t="n">
        <v>1</v>
      </c>
      <c r="J15" t="n">
        <v>3</v>
      </c>
      <c r="K15" t="n">
        <v>0</v>
      </c>
      <c r="L15" t="n">
        <v>0</v>
      </c>
      <c r="M15" t="n">
        <v>0</v>
      </c>
      <c r="N15" t="n">
        <v>0</v>
      </c>
      <c r="O15" t="n">
        <v>3</v>
      </c>
      <c r="P15" t="n">
        <v>0</v>
      </c>
      <c r="Q15" t="n">
        <v>6</v>
      </c>
      <c r="R15" s="2" t="inlineStr">
        <is>
          <t>Kortskaftad ärgspik
Spillkråka
Talltita
Björksplintborre
Tjäder
Revlummer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24162-2025</t>
        </is>
      </c>
      <c r="B16" s="1" t="n">
        <v>45796.66684027778</v>
      </c>
      <c r="C16" s="1" t="n">
        <v>45928</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40059-2025</t>
        </is>
      </c>
      <c r="B17" s="1" t="n">
        <v>45894.42600694444</v>
      </c>
      <c r="C17" s="1" t="n">
        <v>45928</v>
      </c>
      <c r="D17" t="inlineStr">
        <is>
          <t>VÄSTRA GÖTALANDS LÄN</t>
        </is>
      </c>
      <c r="E17" t="inlineStr">
        <is>
          <t>ALE</t>
        </is>
      </c>
      <c r="G17" t="n">
        <v>0.9</v>
      </c>
      <c r="H17" t="n">
        <v>5</v>
      </c>
      <c r="I17" t="n">
        <v>1</v>
      </c>
      <c r="J17" t="n">
        <v>2</v>
      </c>
      <c r="K17" t="n">
        <v>0</v>
      </c>
      <c r="L17" t="n">
        <v>0</v>
      </c>
      <c r="M17" t="n">
        <v>0</v>
      </c>
      <c r="N17" t="n">
        <v>0</v>
      </c>
      <c r="O17" t="n">
        <v>2</v>
      </c>
      <c r="P17" t="n">
        <v>0</v>
      </c>
      <c r="Q17" t="n">
        <v>6</v>
      </c>
      <c r="R17" s="2" t="inlineStr">
        <is>
          <t>Spillkråka
Talltita
Blåmossa
Grönsiska
Tjäder
Trana</t>
        </is>
      </c>
      <c r="S17">
        <f>HYPERLINK("https://klasma.github.io/Logging_1440/artfynd/A 40059-2025 artfynd.xlsx", "A 40059-2025")</f>
        <v/>
      </c>
      <c r="T17">
        <f>HYPERLINK("https://klasma.github.io/Logging_1440/kartor/A 40059-2025 karta.png", "A 40059-2025")</f>
        <v/>
      </c>
      <c r="V17">
        <f>HYPERLINK("https://klasma.github.io/Logging_1440/klagomål/A 40059-2025 FSC-klagomål.docx", "A 40059-2025")</f>
        <v/>
      </c>
      <c r="W17">
        <f>HYPERLINK("https://klasma.github.io/Logging_1440/klagomålsmail/A 40059-2025 FSC-klagomål mail.docx", "A 40059-2025")</f>
        <v/>
      </c>
      <c r="X17">
        <f>HYPERLINK("https://klasma.github.io/Logging_1440/tillsyn/A 40059-2025 tillsynsbegäran.docx", "A 40059-2025")</f>
        <v/>
      </c>
      <c r="Y17">
        <f>HYPERLINK("https://klasma.github.io/Logging_1440/tillsynsmail/A 40059-2025 tillsynsbegäran mail.docx", "A 40059-2025")</f>
        <v/>
      </c>
      <c r="Z17">
        <f>HYPERLINK("https://klasma.github.io/Logging_1440/fåglar/A 40059-2025 prioriterade fågelarter.docx", "A 40059-2025")</f>
        <v/>
      </c>
    </row>
    <row r="18" ht="15" customHeight="1">
      <c r="A18" t="inlineStr">
        <is>
          <t>A 26491-2024</t>
        </is>
      </c>
      <c r="B18" s="1" t="n">
        <v>45469</v>
      </c>
      <c r="C18" s="1" t="n">
        <v>45928</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45928</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19934-2025</t>
        </is>
      </c>
      <c r="B20" s="1" t="n">
        <v>45771</v>
      </c>
      <c r="C20" s="1" t="n">
        <v>45928</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58954-2022</t>
        </is>
      </c>
      <c r="B21" s="1" t="n">
        <v>44903</v>
      </c>
      <c r="C21" s="1" t="n">
        <v>45928</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16534-2025</t>
        </is>
      </c>
      <c r="B22" s="1" t="n">
        <v>45751.65315972222</v>
      </c>
      <c r="C22" s="1" t="n">
        <v>45928</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20586-2023</t>
        </is>
      </c>
      <c r="B23" s="1" t="n">
        <v>45057</v>
      </c>
      <c r="C23" s="1" t="n">
        <v>45928</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380-2025</t>
        </is>
      </c>
      <c r="B24" s="1" t="n">
        <v>45662.43456018518</v>
      </c>
      <c r="C24" s="1" t="n">
        <v>45928</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8955-2025</t>
        </is>
      </c>
      <c r="B25" s="1" t="n">
        <v>45713.46528935185</v>
      </c>
      <c r="C25" s="1" t="n">
        <v>45928</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42660-2024</t>
        </is>
      </c>
      <c r="B26" s="1" t="n">
        <v>45566.33841435185</v>
      </c>
      <c r="C26" s="1" t="n">
        <v>45928</v>
      </c>
      <c r="D26" t="inlineStr">
        <is>
          <t>VÄSTRA GÖTALANDS LÄN</t>
        </is>
      </c>
      <c r="E26" t="inlineStr">
        <is>
          <t>ALE</t>
        </is>
      </c>
      <c r="G26" t="n">
        <v>2.5</v>
      </c>
      <c r="H26" t="n">
        <v>2</v>
      </c>
      <c r="I26" t="n">
        <v>0</v>
      </c>
      <c r="J26" t="n">
        <v>0</v>
      </c>
      <c r="K26" t="n">
        <v>0</v>
      </c>
      <c r="L26" t="n">
        <v>0</v>
      </c>
      <c r="M26" t="n">
        <v>0</v>
      </c>
      <c r="N26" t="n">
        <v>0</v>
      </c>
      <c r="O26" t="n">
        <v>0</v>
      </c>
      <c r="P26" t="n">
        <v>0</v>
      </c>
      <c r="Q26" t="n">
        <v>2</v>
      </c>
      <c r="R26" s="2" t="inlineStr">
        <is>
          <t>Mattlummer
Revlummer</t>
        </is>
      </c>
      <c r="S26">
        <f>HYPERLINK("https://klasma.github.io/Logging_1440/artfynd/A 42660-2024 artfynd.xlsx", "A 42660-2024")</f>
        <v/>
      </c>
      <c r="T26">
        <f>HYPERLINK("https://klasma.github.io/Logging_1440/kartor/A 42660-2024 karta.png", "A 42660-2024")</f>
        <v/>
      </c>
      <c r="V26">
        <f>HYPERLINK("https://klasma.github.io/Logging_1440/klagomål/A 42660-2024 FSC-klagomål.docx", "A 42660-2024")</f>
        <v/>
      </c>
      <c r="W26">
        <f>HYPERLINK("https://klasma.github.io/Logging_1440/klagomålsmail/A 42660-2024 FSC-klagomål mail.docx", "A 42660-2024")</f>
        <v/>
      </c>
      <c r="X26">
        <f>HYPERLINK("https://klasma.github.io/Logging_1440/tillsyn/A 42660-2024 tillsynsbegäran.docx", "A 42660-2024")</f>
        <v/>
      </c>
      <c r="Y26">
        <f>HYPERLINK("https://klasma.github.io/Logging_1440/tillsynsmail/A 42660-2024 tillsynsbegäran mail.docx", "A 42660-2024")</f>
        <v/>
      </c>
    </row>
    <row r="27" ht="15" customHeight="1">
      <c r="A27" t="inlineStr">
        <is>
          <t>A 63569-2023</t>
        </is>
      </c>
      <c r="B27" s="1" t="n">
        <v>45275</v>
      </c>
      <c r="C27" s="1" t="n">
        <v>45928</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2270-2025</t>
        </is>
      </c>
      <c r="B28" s="1" t="n">
        <v>45673.54403935185</v>
      </c>
      <c r="C28" s="1" t="n">
        <v>45928</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45928</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45928</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12982-2024</t>
        </is>
      </c>
      <c r="B31" s="1" t="n">
        <v>45385.53569444444</v>
      </c>
      <c r="C31" s="1" t="n">
        <v>45928</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26677-2025</t>
        </is>
      </c>
      <c r="B32" s="1" t="n">
        <v>45810.42446759259</v>
      </c>
      <c r="C32" s="1" t="n">
        <v>45928</v>
      </c>
      <c r="D32" t="inlineStr">
        <is>
          <t>VÄSTRA GÖTALANDS LÄN</t>
        </is>
      </c>
      <c r="E32" t="inlineStr">
        <is>
          <t>ALE</t>
        </is>
      </c>
      <c r="G32" t="n">
        <v>1.2</v>
      </c>
      <c r="H32" t="n">
        <v>0</v>
      </c>
      <c r="I32" t="n">
        <v>1</v>
      </c>
      <c r="J32" t="n">
        <v>0</v>
      </c>
      <c r="K32" t="n">
        <v>0</v>
      </c>
      <c r="L32" t="n">
        <v>0</v>
      </c>
      <c r="M32" t="n">
        <v>0</v>
      </c>
      <c r="N32" t="n">
        <v>0</v>
      </c>
      <c r="O32" t="n">
        <v>0</v>
      </c>
      <c r="P32" t="n">
        <v>0</v>
      </c>
      <c r="Q32" t="n">
        <v>1</v>
      </c>
      <c r="R32" s="2" t="inlineStr">
        <is>
          <t>Västlig hakmossa</t>
        </is>
      </c>
      <c r="S32">
        <f>HYPERLINK("https://klasma.github.io/Logging_1440/artfynd/A 26677-2025 artfynd.xlsx", "A 26677-2025")</f>
        <v/>
      </c>
      <c r="T32">
        <f>HYPERLINK("https://klasma.github.io/Logging_1440/kartor/A 26677-2025 karta.png", "A 26677-2025")</f>
        <v/>
      </c>
      <c r="V32">
        <f>HYPERLINK("https://klasma.github.io/Logging_1440/klagomål/A 26677-2025 FSC-klagomål.docx", "A 26677-2025")</f>
        <v/>
      </c>
      <c r="W32">
        <f>HYPERLINK("https://klasma.github.io/Logging_1440/klagomålsmail/A 26677-2025 FSC-klagomål mail.docx", "A 26677-2025")</f>
        <v/>
      </c>
      <c r="X32">
        <f>HYPERLINK("https://klasma.github.io/Logging_1440/tillsyn/A 26677-2025 tillsynsbegäran.docx", "A 26677-2025")</f>
        <v/>
      </c>
      <c r="Y32">
        <f>HYPERLINK("https://klasma.github.io/Logging_1440/tillsynsmail/A 26677-2025 tillsynsbegäran mail.docx", "A 26677-2025")</f>
        <v/>
      </c>
    </row>
    <row r="33" ht="15" customHeight="1">
      <c r="A33" t="inlineStr">
        <is>
          <t>A 26493-2024</t>
        </is>
      </c>
      <c r="B33" s="1" t="n">
        <v>45469</v>
      </c>
      <c r="C33" s="1" t="n">
        <v>45928</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13902-2025</t>
        </is>
      </c>
      <c r="B34" s="1" t="n">
        <v>45737.63446759259</v>
      </c>
      <c r="C34" s="1" t="n">
        <v>45928</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12084-2025</t>
        </is>
      </c>
      <c r="B35" s="1" t="n">
        <v>45728.95387731482</v>
      </c>
      <c r="C35" s="1" t="n">
        <v>45928</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21281-2021</t>
        </is>
      </c>
      <c r="B36" s="1" t="n">
        <v>44320.61850694445</v>
      </c>
      <c r="C36" s="1" t="n">
        <v>45928</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45928</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45928</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45928</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45928</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45928</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45928</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45928</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45928</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45928</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45928</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45928</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45928</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45928</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45928</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45928</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45928</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45928</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45928</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45928</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45928</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53476-2023</t>
        </is>
      </c>
      <c r="B57" s="1" t="n">
        <v>45230.33737268519</v>
      </c>
      <c r="C57" s="1" t="n">
        <v>45928</v>
      </c>
      <c r="D57" t="inlineStr">
        <is>
          <t>VÄSTRA GÖTALANDS LÄN</t>
        </is>
      </c>
      <c r="E57" t="inlineStr">
        <is>
          <t>ALE</t>
        </is>
      </c>
      <c r="G57" t="n">
        <v>1.9</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45928</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45928</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15508-2022</t>
        </is>
      </c>
      <c r="B60" s="1" t="n">
        <v>44662.39761574074</v>
      </c>
      <c r="C60" s="1" t="n">
        <v>45928</v>
      </c>
      <c r="D60" t="inlineStr">
        <is>
          <t>VÄSTRA GÖTALANDS LÄN</t>
        </is>
      </c>
      <c r="E60" t="inlineStr">
        <is>
          <t>ALE</t>
        </is>
      </c>
      <c r="G60" t="n">
        <v>0.4</v>
      </c>
      <c r="H60" t="n">
        <v>0</v>
      </c>
      <c r="I60" t="n">
        <v>0</v>
      </c>
      <c r="J60" t="n">
        <v>0</v>
      </c>
      <c r="K60" t="n">
        <v>0</v>
      </c>
      <c r="L60" t="n">
        <v>0</v>
      </c>
      <c r="M60" t="n">
        <v>0</v>
      </c>
      <c r="N60" t="n">
        <v>0</v>
      </c>
      <c r="O60" t="n">
        <v>0</v>
      </c>
      <c r="P60" t="n">
        <v>0</v>
      </c>
      <c r="Q60" t="n">
        <v>0</v>
      </c>
      <c r="R60" s="2" t="inlineStr"/>
    </row>
    <row r="61" ht="15" customHeight="1">
      <c r="A61" t="inlineStr">
        <is>
          <t>A 31566-2021</t>
        </is>
      </c>
      <c r="B61" s="1" t="n">
        <v>44369</v>
      </c>
      <c r="C61" s="1" t="n">
        <v>45928</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41607-2022</t>
        </is>
      </c>
      <c r="B62" s="1" t="n">
        <v>44827.46658564815</v>
      </c>
      <c r="C62" s="1" t="n">
        <v>45928</v>
      </c>
      <c r="D62" t="inlineStr">
        <is>
          <t>VÄSTRA GÖTALANDS LÄN</t>
        </is>
      </c>
      <c r="E62" t="inlineStr">
        <is>
          <t>ALE</t>
        </is>
      </c>
      <c r="G62" t="n">
        <v>3.6</v>
      </c>
      <c r="H62" t="n">
        <v>0</v>
      </c>
      <c r="I62" t="n">
        <v>0</v>
      </c>
      <c r="J62" t="n">
        <v>0</v>
      </c>
      <c r="K62" t="n">
        <v>0</v>
      </c>
      <c r="L62" t="n">
        <v>0</v>
      </c>
      <c r="M62" t="n">
        <v>0</v>
      </c>
      <c r="N62" t="n">
        <v>0</v>
      </c>
      <c r="O62" t="n">
        <v>0</v>
      </c>
      <c r="P62" t="n">
        <v>0</v>
      </c>
      <c r="Q62" t="n">
        <v>0</v>
      </c>
      <c r="R62" s="2" t="inlineStr"/>
    </row>
    <row r="63" ht="15" customHeight="1">
      <c r="A63" t="inlineStr">
        <is>
          <t>A 26157-2023</t>
        </is>
      </c>
      <c r="B63" s="1" t="n">
        <v>45091.50479166667</v>
      </c>
      <c r="C63" s="1" t="n">
        <v>45928</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46391-2021</t>
        </is>
      </c>
      <c r="B64" s="1" t="n">
        <v>44443</v>
      </c>
      <c r="C64" s="1" t="n">
        <v>45928</v>
      </c>
      <c r="D64" t="inlineStr">
        <is>
          <t>VÄSTRA GÖTALANDS LÄN</t>
        </is>
      </c>
      <c r="E64" t="inlineStr">
        <is>
          <t>ALE</t>
        </is>
      </c>
      <c r="G64" t="n">
        <v>1.3</v>
      </c>
      <c r="H64" t="n">
        <v>0</v>
      </c>
      <c r="I64" t="n">
        <v>0</v>
      </c>
      <c r="J64" t="n">
        <v>0</v>
      </c>
      <c r="K64" t="n">
        <v>0</v>
      </c>
      <c r="L64" t="n">
        <v>0</v>
      </c>
      <c r="M64" t="n">
        <v>0</v>
      </c>
      <c r="N64" t="n">
        <v>0</v>
      </c>
      <c r="O64" t="n">
        <v>0</v>
      </c>
      <c r="P64" t="n">
        <v>0</v>
      </c>
      <c r="Q64" t="n">
        <v>0</v>
      </c>
      <c r="R64" s="2" t="inlineStr"/>
    </row>
    <row r="65" ht="15" customHeight="1">
      <c r="A65" t="inlineStr">
        <is>
          <t>A 14493-2024</t>
        </is>
      </c>
      <c r="B65" s="1" t="n">
        <v>45394.58491898148</v>
      </c>
      <c r="C65" s="1" t="n">
        <v>45928</v>
      </c>
      <c r="D65" t="inlineStr">
        <is>
          <t>VÄSTRA GÖTALANDS LÄN</t>
        </is>
      </c>
      <c r="E65" t="inlineStr">
        <is>
          <t>ALE</t>
        </is>
      </c>
      <c r="G65" t="n">
        <v>2.3</v>
      </c>
      <c r="H65" t="n">
        <v>0</v>
      </c>
      <c r="I65" t="n">
        <v>0</v>
      </c>
      <c r="J65" t="n">
        <v>0</v>
      </c>
      <c r="K65" t="n">
        <v>0</v>
      </c>
      <c r="L65" t="n">
        <v>0</v>
      </c>
      <c r="M65" t="n">
        <v>0</v>
      </c>
      <c r="N65" t="n">
        <v>0</v>
      </c>
      <c r="O65" t="n">
        <v>0</v>
      </c>
      <c r="P65" t="n">
        <v>0</v>
      </c>
      <c r="Q65" t="n">
        <v>0</v>
      </c>
      <c r="R65" s="2" t="inlineStr"/>
    </row>
    <row r="66" ht="15" customHeight="1">
      <c r="A66" t="inlineStr">
        <is>
          <t>A 45986-2021</t>
        </is>
      </c>
      <c r="B66" s="1" t="n">
        <v>44441</v>
      </c>
      <c r="C66" s="1" t="n">
        <v>45928</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34153-2024</t>
        </is>
      </c>
      <c r="B67" s="1" t="n">
        <v>45524.38400462963</v>
      </c>
      <c r="C67" s="1" t="n">
        <v>45928</v>
      </c>
      <c r="D67" t="inlineStr">
        <is>
          <t>VÄSTRA GÖTALANDS LÄN</t>
        </is>
      </c>
      <c r="E67" t="inlineStr">
        <is>
          <t>ALE</t>
        </is>
      </c>
      <c r="G67" t="n">
        <v>0.8</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45928</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40931-2025</t>
        </is>
      </c>
      <c r="B69" s="1" t="n">
        <v>45897.64783564815</v>
      </c>
      <c r="C69" s="1" t="n">
        <v>45928</v>
      </c>
      <c r="D69" t="inlineStr">
        <is>
          <t>VÄSTRA GÖTALANDS LÄN</t>
        </is>
      </c>
      <c r="E69" t="inlineStr">
        <is>
          <t>ALE</t>
        </is>
      </c>
      <c r="G69" t="n">
        <v>4.3</v>
      </c>
      <c r="H69" t="n">
        <v>0</v>
      </c>
      <c r="I69" t="n">
        <v>0</v>
      </c>
      <c r="J69" t="n">
        <v>0</v>
      </c>
      <c r="K69" t="n">
        <v>0</v>
      </c>
      <c r="L69" t="n">
        <v>0</v>
      </c>
      <c r="M69" t="n">
        <v>0</v>
      </c>
      <c r="N69" t="n">
        <v>0</v>
      </c>
      <c r="O69" t="n">
        <v>0</v>
      </c>
      <c r="P69" t="n">
        <v>0</v>
      </c>
      <c r="Q69" t="n">
        <v>0</v>
      </c>
      <c r="R69" s="2" t="inlineStr"/>
    </row>
    <row r="70" ht="15" customHeight="1">
      <c r="A70" t="inlineStr">
        <is>
          <t>A 41309-2024</t>
        </is>
      </c>
      <c r="B70" s="1" t="n">
        <v>45559</v>
      </c>
      <c r="C70" s="1" t="n">
        <v>45928</v>
      </c>
      <c r="D70" t="inlineStr">
        <is>
          <t>VÄSTRA GÖTALANDS LÄN</t>
        </is>
      </c>
      <c r="E70" t="inlineStr">
        <is>
          <t>ALE</t>
        </is>
      </c>
      <c r="G70" t="n">
        <v>8.4</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45928</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15499-2022</t>
        </is>
      </c>
      <c r="B72" s="1" t="n">
        <v>44662</v>
      </c>
      <c r="C72" s="1" t="n">
        <v>45928</v>
      </c>
      <c r="D72" t="inlineStr">
        <is>
          <t>VÄSTRA GÖTALANDS LÄN</t>
        </is>
      </c>
      <c r="E72" t="inlineStr">
        <is>
          <t>ALE</t>
        </is>
      </c>
      <c r="G72" t="n">
        <v>4.7</v>
      </c>
      <c r="H72" t="n">
        <v>0</v>
      </c>
      <c r="I72" t="n">
        <v>0</v>
      </c>
      <c r="J72" t="n">
        <v>0</v>
      </c>
      <c r="K72" t="n">
        <v>0</v>
      </c>
      <c r="L72" t="n">
        <v>0</v>
      </c>
      <c r="M72" t="n">
        <v>0</v>
      </c>
      <c r="N72" t="n">
        <v>0</v>
      </c>
      <c r="O72" t="n">
        <v>0</v>
      </c>
      <c r="P72" t="n">
        <v>0</v>
      </c>
      <c r="Q72" t="n">
        <v>0</v>
      </c>
      <c r="R72" s="2" t="inlineStr"/>
    </row>
    <row r="73" ht="15" customHeight="1">
      <c r="A73" t="inlineStr">
        <is>
          <t>A 45988-2021</t>
        </is>
      </c>
      <c r="B73" s="1" t="n">
        <v>44441</v>
      </c>
      <c r="C73" s="1" t="n">
        <v>45928</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5875-2023</t>
        </is>
      </c>
      <c r="B74" s="1" t="n">
        <v>44963</v>
      </c>
      <c r="C74" s="1" t="n">
        <v>45928</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3407-2023</t>
        </is>
      </c>
      <c r="B75" s="1" t="n">
        <v>44949.54909722223</v>
      </c>
      <c r="C75" s="1" t="n">
        <v>45928</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3413-2023</t>
        </is>
      </c>
      <c r="B76" s="1" t="n">
        <v>44949</v>
      </c>
      <c r="C76" s="1" t="n">
        <v>45928</v>
      </c>
      <c r="D76" t="inlineStr">
        <is>
          <t>VÄSTRA GÖTALANDS LÄN</t>
        </is>
      </c>
      <c r="E76" t="inlineStr">
        <is>
          <t>ALE</t>
        </is>
      </c>
      <c r="G76" t="n">
        <v>2.3</v>
      </c>
      <c r="H76" t="n">
        <v>0</v>
      </c>
      <c r="I76" t="n">
        <v>0</v>
      </c>
      <c r="J76" t="n">
        <v>0</v>
      </c>
      <c r="K76" t="n">
        <v>0</v>
      </c>
      <c r="L76" t="n">
        <v>0</v>
      </c>
      <c r="M76" t="n">
        <v>0</v>
      </c>
      <c r="N76" t="n">
        <v>0</v>
      </c>
      <c r="O76" t="n">
        <v>0</v>
      </c>
      <c r="P76" t="n">
        <v>0</v>
      </c>
      <c r="Q76" t="n">
        <v>0</v>
      </c>
      <c r="R76" s="2" t="inlineStr"/>
    </row>
    <row r="77" ht="15" customHeight="1">
      <c r="A77" t="inlineStr">
        <is>
          <t>A 26083-2023</t>
        </is>
      </c>
      <c r="B77" s="1" t="n">
        <v>45091</v>
      </c>
      <c r="C77" s="1" t="n">
        <v>45928</v>
      </c>
      <c r="D77" t="inlineStr">
        <is>
          <t>VÄSTRA GÖTALANDS LÄN</t>
        </is>
      </c>
      <c r="E77" t="inlineStr">
        <is>
          <t>ALE</t>
        </is>
      </c>
      <c r="G77" t="n">
        <v>1.6</v>
      </c>
      <c r="H77" t="n">
        <v>0</v>
      </c>
      <c r="I77" t="n">
        <v>0</v>
      </c>
      <c r="J77" t="n">
        <v>0</v>
      </c>
      <c r="K77" t="n">
        <v>0</v>
      </c>
      <c r="L77" t="n">
        <v>0</v>
      </c>
      <c r="M77" t="n">
        <v>0</v>
      </c>
      <c r="N77" t="n">
        <v>0</v>
      </c>
      <c r="O77" t="n">
        <v>0</v>
      </c>
      <c r="P77" t="n">
        <v>0</v>
      </c>
      <c r="Q77" t="n">
        <v>0</v>
      </c>
      <c r="R77" s="2" t="inlineStr"/>
    </row>
    <row r="78" ht="15" customHeight="1">
      <c r="A78" t="inlineStr">
        <is>
          <t>A 27314-2021</t>
        </is>
      </c>
      <c r="B78" s="1" t="n">
        <v>44351.36537037037</v>
      </c>
      <c r="C78" s="1" t="n">
        <v>45928</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63575-2023</t>
        </is>
      </c>
      <c r="B79" s="1" t="n">
        <v>45275.39715277778</v>
      </c>
      <c r="C79" s="1" t="n">
        <v>45928</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45928</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45928</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43732-2025</t>
        </is>
      </c>
      <c r="B82" s="1" t="n">
        <v>45912.43576388889</v>
      </c>
      <c r="C82" s="1" t="n">
        <v>45928</v>
      </c>
      <c r="D82" t="inlineStr">
        <is>
          <t>VÄSTRA GÖTALANDS LÄN</t>
        </is>
      </c>
      <c r="E82" t="inlineStr">
        <is>
          <t>ALE</t>
        </is>
      </c>
      <c r="G82" t="n">
        <v>2.9</v>
      </c>
      <c r="H82" t="n">
        <v>0</v>
      </c>
      <c r="I82" t="n">
        <v>0</v>
      </c>
      <c r="J82" t="n">
        <v>0</v>
      </c>
      <c r="K82" t="n">
        <v>0</v>
      </c>
      <c r="L82" t="n">
        <v>0</v>
      </c>
      <c r="M82" t="n">
        <v>0</v>
      </c>
      <c r="N82" t="n">
        <v>0</v>
      </c>
      <c r="O82" t="n">
        <v>0</v>
      </c>
      <c r="P82" t="n">
        <v>0</v>
      </c>
      <c r="Q82" t="n">
        <v>0</v>
      </c>
      <c r="R82" s="2" t="inlineStr"/>
    </row>
    <row r="83" ht="15" customHeight="1">
      <c r="A83" t="inlineStr">
        <is>
          <t>A 3418-2023</t>
        </is>
      </c>
      <c r="B83" s="1" t="n">
        <v>44949.56182870371</v>
      </c>
      <c r="C83" s="1" t="n">
        <v>45928</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65226-2021</t>
        </is>
      </c>
      <c r="B84" s="1" t="n">
        <v>44515</v>
      </c>
      <c r="C84" s="1" t="n">
        <v>45928</v>
      </c>
      <c r="D84" t="inlineStr">
        <is>
          <t>VÄSTRA GÖTALANDS LÄN</t>
        </is>
      </c>
      <c r="E84" t="inlineStr">
        <is>
          <t>ALE</t>
        </is>
      </c>
      <c r="G84" t="n">
        <v>0.7</v>
      </c>
      <c r="H84" t="n">
        <v>0</v>
      </c>
      <c r="I84" t="n">
        <v>0</v>
      </c>
      <c r="J84" t="n">
        <v>0</v>
      </c>
      <c r="K84" t="n">
        <v>0</v>
      </c>
      <c r="L84" t="n">
        <v>0</v>
      </c>
      <c r="M84" t="n">
        <v>0</v>
      </c>
      <c r="N84" t="n">
        <v>0</v>
      </c>
      <c r="O84" t="n">
        <v>0</v>
      </c>
      <c r="P84" t="n">
        <v>0</v>
      </c>
      <c r="Q84" t="n">
        <v>0</v>
      </c>
      <c r="R84" s="2" t="inlineStr"/>
    </row>
    <row r="85" ht="15" customHeight="1">
      <c r="A85" t="inlineStr">
        <is>
          <t>A 12055-2022</t>
        </is>
      </c>
      <c r="B85" s="1" t="n">
        <v>44636</v>
      </c>
      <c r="C85" s="1" t="n">
        <v>45928</v>
      </c>
      <c r="D85" t="inlineStr">
        <is>
          <t>VÄSTRA GÖTALANDS LÄN</t>
        </is>
      </c>
      <c r="E85" t="inlineStr">
        <is>
          <t>ALE</t>
        </is>
      </c>
      <c r="G85" t="n">
        <v>0.2</v>
      </c>
      <c r="H85" t="n">
        <v>0</v>
      </c>
      <c r="I85" t="n">
        <v>0</v>
      </c>
      <c r="J85" t="n">
        <v>0</v>
      </c>
      <c r="K85" t="n">
        <v>0</v>
      </c>
      <c r="L85" t="n">
        <v>0</v>
      </c>
      <c r="M85" t="n">
        <v>0</v>
      </c>
      <c r="N85" t="n">
        <v>0</v>
      </c>
      <c r="O85" t="n">
        <v>0</v>
      </c>
      <c r="P85" t="n">
        <v>0</v>
      </c>
      <c r="Q85" t="n">
        <v>0</v>
      </c>
      <c r="R85" s="2" t="inlineStr"/>
    </row>
    <row r="86" ht="15" customHeight="1">
      <c r="A86" t="inlineStr">
        <is>
          <t>A 3457-2022</t>
        </is>
      </c>
      <c r="B86" s="1" t="n">
        <v>44585</v>
      </c>
      <c r="C86" s="1" t="n">
        <v>45928</v>
      </c>
      <c r="D86" t="inlineStr">
        <is>
          <t>VÄSTRA GÖTALANDS LÄN</t>
        </is>
      </c>
      <c r="E86" t="inlineStr">
        <is>
          <t>ALE</t>
        </is>
      </c>
      <c r="G86" t="n">
        <v>5.1</v>
      </c>
      <c r="H86" t="n">
        <v>0</v>
      </c>
      <c r="I86" t="n">
        <v>0</v>
      </c>
      <c r="J86" t="n">
        <v>0</v>
      </c>
      <c r="K86" t="n">
        <v>0</v>
      </c>
      <c r="L86" t="n">
        <v>0</v>
      </c>
      <c r="M86" t="n">
        <v>0</v>
      </c>
      <c r="N86" t="n">
        <v>0</v>
      </c>
      <c r="O86" t="n">
        <v>0</v>
      </c>
      <c r="P86" t="n">
        <v>0</v>
      </c>
      <c r="Q86" t="n">
        <v>0</v>
      </c>
      <c r="R86" s="2" t="inlineStr"/>
    </row>
    <row r="87" ht="15" customHeight="1">
      <c r="A87" t="inlineStr">
        <is>
          <t>A 36403-2024</t>
        </is>
      </c>
      <c r="B87" s="1" t="n">
        <v>45535.69445601852</v>
      </c>
      <c r="C87" s="1" t="n">
        <v>45928</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69325-2020</t>
        </is>
      </c>
      <c r="B88" s="1" t="n">
        <v>44193</v>
      </c>
      <c r="C88" s="1" t="n">
        <v>45928</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5916-2023</t>
        </is>
      </c>
      <c r="B89" s="1" t="n">
        <v>44963</v>
      </c>
      <c r="C89" s="1" t="n">
        <v>45928</v>
      </c>
      <c r="D89" t="inlineStr">
        <is>
          <t>VÄSTRA GÖTALANDS LÄN</t>
        </is>
      </c>
      <c r="E89" t="inlineStr">
        <is>
          <t>ALE</t>
        </is>
      </c>
      <c r="G89" t="n">
        <v>4.2</v>
      </c>
      <c r="H89" t="n">
        <v>0</v>
      </c>
      <c r="I89" t="n">
        <v>0</v>
      </c>
      <c r="J89" t="n">
        <v>0</v>
      </c>
      <c r="K89" t="n">
        <v>0</v>
      </c>
      <c r="L89" t="n">
        <v>0</v>
      </c>
      <c r="M89" t="n">
        <v>0</v>
      </c>
      <c r="N89" t="n">
        <v>0</v>
      </c>
      <c r="O89" t="n">
        <v>0</v>
      </c>
      <c r="P89" t="n">
        <v>0</v>
      </c>
      <c r="Q89" t="n">
        <v>0</v>
      </c>
      <c r="R89" s="2" t="inlineStr"/>
    </row>
    <row r="90" ht="15" customHeight="1">
      <c r="A90" t="inlineStr">
        <is>
          <t>A 55405-2021</t>
        </is>
      </c>
      <c r="B90" s="1" t="n">
        <v>44475.53733796296</v>
      </c>
      <c r="C90" s="1" t="n">
        <v>45928</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46227-2025</t>
        </is>
      </c>
      <c r="B91" s="1" t="n">
        <v>45924.90386574074</v>
      </c>
      <c r="C91" s="1" t="n">
        <v>45928</v>
      </c>
      <c r="D91" t="inlineStr">
        <is>
          <t>VÄSTRA GÖTALANDS LÄN</t>
        </is>
      </c>
      <c r="E91" t="inlineStr">
        <is>
          <t>ALE</t>
        </is>
      </c>
      <c r="G91" t="n">
        <v>0.3</v>
      </c>
      <c r="H91" t="n">
        <v>0</v>
      </c>
      <c r="I91" t="n">
        <v>0</v>
      </c>
      <c r="J91" t="n">
        <v>0</v>
      </c>
      <c r="K91" t="n">
        <v>0</v>
      </c>
      <c r="L91" t="n">
        <v>0</v>
      </c>
      <c r="M91" t="n">
        <v>0</v>
      </c>
      <c r="N91" t="n">
        <v>0</v>
      </c>
      <c r="O91" t="n">
        <v>0</v>
      </c>
      <c r="P91" t="n">
        <v>0</v>
      </c>
      <c r="Q91" t="n">
        <v>0</v>
      </c>
      <c r="R91" s="2" t="inlineStr"/>
    </row>
    <row r="92" ht="15" customHeight="1">
      <c r="A92" t="inlineStr">
        <is>
          <t>A 46084-2025</t>
        </is>
      </c>
      <c r="B92" s="1" t="n">
        <v>45924.51282407407</v>
      </c>
      <c r="C92" s="1" t="n">
        <v>45928</v>
      </c>
      <c r="D92" t="inlineStr">
        <is>
          <t>VÄSTRA GÖTALANDS LÄN</t>
        </is>
      </c>
      <c r="E92" t="inlineStr">
        <is>
          <t>ALE</t>
        </is>
      </c>
      <c r="G92" t="n">
        <v>4.2</v>
      </c>
      <c r="H92" t="n">
        <v>0</v>
      </c>
      <c r="I92" t="n">
        <v>0</v>
      </c>
      <c r="J92" t="n">
        <v>0</v>
      </c>
      <c r="K92" t="n">
        <v>0</v>
      </c>
      <c r="L92" t="n">
        <v>0</v>
      </c>
      <c r="M92" t="n">
        <v>0</v>
      </c>
      <c r="N92" t="n">
        <v>0</v>
      </c>
      <c r="O92" t="n">
        <v>0</v>
      </c>
      <c r="P92" t="n">
        <v>0</v>
      </c>
      <c r="Q92" t="n">
        <v>0</v>
      </c>
      <c r="R92" s="2" t="inlineStr"/>
    </row>
    <row r="93" ht="15" customHeight="1">
      <c r="A93" t="inlineStr">
        <is>
          <t>A 35959-2022</t>
        </is>
      </c>
      <c r="B93" s="1" t="n">
        <v>44802.57002314815</v>
      </c>
      <c r="C93" s="1" t="n">
        <v>45928</v>
      </c>
      <c r="D93" t="inlineStr">
        <is>
          <t>VÄSTRA GÖTALANDS LÄN</t>
        </is>
      </c>
      <c r="E93" t="inlineStr">
        <is>
          <t>ALE</t>
        </is>
      </c>
      <c r="G93" t="n">
        <v>1</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45928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45928</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45928</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17044-2025</t>
        </is>
      </c>
      <c r="B97" s="1" t="n">
        <v>45755.58891203703</v>
      </c>
      <c r="C97" s="1" t="n">
        <v>45928</v>
      </c>
      <c r="D97" t="inlineStr">
        <is>
          <t>VÄSTRA GÖTALANDS LÄN</t>
        </is>
      </c>
      <c r="E97" t="inlineStr">
        <is>
          <t>ALE</t>
        </is>
      </c>
      <c r="G97" t="n">
        <v>1.5</v>
      </c>
      <c r="H97" t="n">
        <v>0</v>
      </c>
      <c r="I97" t="n">
        <v>0</v>
      </c>
      <c r="J97" t="n">
        <v>0</v>
      </c>
      <c r="K97" t="n">
        <v>0</v>
      </c>
      <c r="L97" t="n">
        <v>0</v>
      </c>
      <c r="M97" t="n">
        <v>0</v>
      </c>
      <c r="N97" t="n">
        <v>0</v>
      </c>
      <c r="O97" t="n">
        <v>0</v>
      </c>
      <c r="P97" t="n">
        <v>0</v>
      </c>
      <c r="Q97" t="n">
        <v>0</v>
      </c>
      <c r="R97" s="2" t="inlineStr"/>
    </row>
    <row r="98" ht="15" customHeight="1">
      <c r="A98" t="inlineStr">
        <is>
          <t>A 4363-2024</t>
        </is>
      </c>
      <c r="B98" s="1" t="n">
        <v>45325</v>
      </c>
      <c r="C98" s="1" t="n">
        <v>45928</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16601-2025</t>
        </is>
      </c>
      <c r="B99" s="1" t="n">
        <v>45753.53189814815</v>
      </c>
      <c r="C99" s="1" t="n">
        <v>45928</v>
      </c>
      <c r="D99" t="inlineStr">
        <is>
          <t>VÄSTRA GÖTALANDS LÄN</t>
        </is>
      </c>
      <c r="E99" t="inlineStr">
        <is>
          <t>ALE</t>
        </is>
      </c>
      <c r="G99" t="n">
        <v>1.7</v>
      </c>
      <c r="H99" t="n">
        <v>0</v>
      </c>
      <c r="I99" t="n">
        <v>0</v>
      </c>
      <c r="J99" t="n">
        <v>0</v>
      </c>
      <c r="K99" t="n">
        <v>0</v>
      </c>
      <c r="L99" t="n">
        <v>0</v>
      </c>
      <c r="M99" t="n">
        <v>0</v>
      </c>
      <c r="N99" t="n">
        <v>0</v>
      </c>
      <c r="O99" t="n">
        <v>0</v>
      </c>
      <c r="P99" t="n">
        <v>0</v>
      </c>
      <c r="Q99" t="n">
        <v>0</v>
      </c>
      <c r="R99" s="2" t="inlineStr"/>
    </row>
    <row r="100" ht="15" customHeight="1">
      <c r="A100" t="inlineStr">
        <is>
          <t>A 20067-2023</t>
        </is>
      </c>
      <c r="B100" s="1" t="n">
        <v>45054</v>
      </c>
      <c r="C100" s="1" t="n">
        <v>45928</v>
      </c>
      <c r="D100" t="inlineStr">
        <is>
          <t>VÄSTRA GÖTALANDS LÄN</t>
        </is>
      </c>
      <c r="E100" t="inlineStr">
        <is>
          <t>ALE</t>
        </is>
      </c>
      <c r="G100" t="n">
        <v>0.4</v>
      </c>
      <c r="H100" t="n">
        <v>0</v>
      </c>
      <c r="I100" t="n">
        <v>0</v>
      </c>
      <c r="J100" t="n">
        <v>0</v>
      </c>
      <c r="K100" t="n">
        <v>0</v>
      </c>
      <c r="L100" t="n">
        <v>0</v>
      </c>
      <c r="M100" t="n">
        <v>0</v>
      </c>
      <c r="N100" t="n">
        <v>0</v>
      </c>
      <c r="O100" t="n">
        <v>0</v>
      </c>
      <c r="P100" t="n">
        <v>0</v>
      </c>
      <c r="Q100" t="n">
        <v>0</v>
      </c>
      <c r="R100" s="2" t="inlineStr"/>
    </row>
    <row r="101" ht="15" customHeight="1">
      <c r="A101" t="inlineStr">
        <is>
          <t>A 46226-2025</t>
        </is>
      </c>
      <c r="B101" s="1" t="n">
        <v>45924</v>
      </c>
      <c r="C101" s="1" t="n">
        <v>45928</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45928</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34104-2024</t>
        </is>
      </c>
      <c r="B103" s="1" t="n">
        <v>45523.79202546296</v>
      </c>
      <c r="C103" s="1" t="n">
        <v>45928</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48257-2022</t>
        </is>
      </c>
      <c r="B104" s="1" t="n">
        <v>44858.47591435185</v>
      </c>
      <c r="C104" s="1" t="n">
        <v>45928</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45928</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45928</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6916-2023</t>
        </is>
      </c>
      <c r="B107" s="1" t="n">
        <v>44967.53349537037</v>
      </c>
      <c r="C107" s="1" t="n">
        <v>45928</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64199-2021</t>
        </is>
      </c>
      <c r="B108" s="1" t="n">
        <v>44510</v>
      </c>
      <c r="C108" s="1" t="n">
        <v>45928</v>
      </c>
      <c r="D108" t="inlineStr">
        <is>
          <t>VÄSTRA GÖTALANDS LÄN</t>
        </is>
      </c>
      <c r="E108" t="inlineStr">
        <is>
          <t>ALE</t>
        </is>
      </c>
      <c r="G108" t="n">
        <v>5.7</v>
      </c>
      <c r="H108" t="n">
        <v>0</v>
      </c>
      <c r="I108" t="n">
        <v>0</v>
      </c>
      <c r="J108" t="n">
        <v>0</v>
      </c>
      <c r="K108" t="n">
        <v>0</v>
      </c>
      <c r="L108" t="n">
        <v>0</v>
      </c>
      <c r="M108" t="n">
        <v>0</v>
      </c>
      <c r="N108" t="n">
        <v>0</v>
      </c>
      <c r="O108" t="n">
        <v>0</v>
      </c>
      <c r="P108" t="n">
        <v>0</v>
      </c>
      <c r="Q108" t="n">
        <v>0</v>
      </c>
      <c r="R108" s="2" t="inlineStr"/>
    </row>
    <row r="109" ht="15" customHeight="1">
      <c r="A109" t="inlineStr">
        <is>
          <t>A 50451-2024</t>
        </is>
      </c>
      <c r="B109" s="1" t="n">
        <v>45601.44248842593</v>
      </c>
      <c r="C109" s="1" t="n">
        <v>45928</v>
      </c>
      <c r="D109" t="inlineStr">
        <is>
          <t>VÄSTRA GÖTALANDS LÄN</t>
        </is>
      </c>
      <c r="E109" t="inlineStr">
        <is>
          <t>ALE</t>
        </is>
      </c>
      <c r="G109" t="n">
        <v>2.9</v>
      </c>
      <c r="H109" t="n">
        <v>0</v>
      </c>
      <c r="I109" t="n">
        <v>0</v>
      </c>
      <c r="J109" t="n">
        <v>0</v>
      </c>
      <c r="K109" t="n">
        <v>0</v>
      </c>
      <c r="L109" t="n">
        <v>0</v>
      </c>
      <c r="M109" t="n">
        <v>0</v>
      </c>
      <c r="N109" t="n">
        <v>0</v>
      </c>
      <c r="O109" t="n">
        <v>0</v>
      </c>
      <c r="P109" t="n">
        <v>0</v>
      </c>
      <c r="Q109" t="n">
        <v>0</v>
      </c>
      <c r="R109" s="2" t="inlineStr"/>
    </row>
    <row r="110" ht="15" customHeight="1">
      <c r="A110" t="inlineStr">
        <is>
          <t>A 49680-2024</t>
        </is>
      </c>
      <c r="B110" s="1" t="n">
        <v>45596.66880787037</v>
      </c>
      <c r="C110" s="1" t="n">
        <v>45928</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15582-2025</t>
        </is>
      </c>
      <c r="B111" s="1" t="n">
        <v>45747.81394675926</v>
      </c>
      <c r="C111" s="1" t="n">
        <v>45928</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57473-2022</t>
        </is>
      </c>
      <c r="B112" s="1" t="n">
        <v>44896</v>
      </c>
      <c r="C112" s="1" t="n">
        <v>45928</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22946-2025</t>
        </is>
      </c>
      <c r="B113" s="1" t="n">
        <v>45790.48229166667</v>
      </c>
      <c r="C113" s="1" t="n">
        <v>45928</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7807-2023</t>
        </is>
      </c>
      <c r="B114" s="1" t="n">
        <v>44973</v>
      </c>
      <c r="C114" s="1" t="n">
        <v>45928</v>
      </c>
      <c r="D114" t="inlineStr">
        <is>
          <t>VÄSTRA GÖTALANDS LÄN</t>
        </is>
      </c>
      <c r="E114" t="inlineStr">
        <is>
          <t>ALE</t>
        </is>
      </c>
      <c r="G114" t="n">
        <v>10.5</v>
      </c>
      <c r="H114" t="n">
        <v>0</v>
      </c>
      <c r="I114" t="n">
        <v>0</v>
      </c>
      <c r="J114" t="n">
        <v>0</v>
      </c>
      <c r="K114" t="n">
        <v>0</v>
      </c>
      <c r="L114" t="n">
        <v>0</v>
      </c>
      <c r="M114" t="n">
        <v>0</v>
      </c>
      <c r="N114" t="n">
        <v>0</v>
      </c>
      <c r="O114" t="n">
        <v>0</v>
      </c>
      <c r="P114" t="n">
        <v>0</v>
      </c>
      <c r="Q114" t="n">
        <v>0</v>
      </c>
      <c r="R114" s="2" t="inlineStr"/>
    </row>
    <row r="115" ht="15" customHeight="1">
      <c r="A115" t="inlineStr">
        <is>
          <t>A 55488-2022</t>
        </is>
      </c>
      <c r="B115" s="1" t="n">
        <v>44887</v>
      </c>
      <c r="C115" s="1" t="n">
        <v>45928</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4971-2024</t>
        </is>
      </c>
      <c r="B116" s="1" t="n">
        <v>45329</v>
      </c>
      <c r="C116" s="1" t="n">
        <v>45928</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37461-2024</t>
        </is>
      </c>
      <c r="B117" s="1" t="n">
        <v>45540.72516203704</v>
      </c>
      <c r="C117" s="1" t="n">
        <v>45928</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42446-2023</t>
        </is>
      </c>
      <c r="B118" s="1" t="n">
        <v>45180</v>
      </c>
      <c r="C118" s="1" t="n">
        <v>45928</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45928</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16344-2023</t>
        </is>
      </c>
      <c r="B120" s="1" t="n">
        <v>45028</v>
      </c>
      <c r="C120" s="1" t="n">
        <v>45928</v>
      </c>
      <c r="D120" t="inlineStr">
        <is>
          <t>VÄSTRA GÖTALANDS LÄN</t>
        </is>
      </c>
      <c r="E120" t="inlineStr">
        <is>
          <t>ALE</t>
        </is>
      </c>
      <c r="G120" t="n">
        <v>6.6</v>
      </c>
      <c r="H120" t="n">
        <v>0</v>
      </c>
      <c r="I120" t="n">
        <v>0</v>
      </c>
      <c r="J120" t="n">
        <v>0</v>
      </c>
      <c r="K120" t="n">
        <v>0</v>
      </c>
      <c r="L120" t="n">
        <v>0</v>
      </c>
      <c r="M120" t="n">
        <v>0</v>
      </c>
      <c r="N120" t="n">
        <v>0</v>
      </c>
      <c r="O120" t="n">
        <v>0</v>
      </c>
      <c r="P120" t="n">
        <v>0</v>
      </c>
      <c r="Q120" t="n">
        <v>0</v>
      </c>
      <c r="R120" s="2" t="inlineStr"/>
    </row>
    <row r="121" ht="15" customHeight="1">
      <c r="A121" t="inlineStr">
        <is>
          <t>A 32762-2023</t>
        </is>
      </c>
      <c r="B121" s="1" t="n">
        <v>45123.46649305556</v>
      </c>
      <c r="C121" s="1" t="n">
        <v>45928</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44827.4609837963</v>
      </c>
      <c r="C122" s="1" t="n">
        <v>45928</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14458-2024</t>
        </is>
      </c>
      <c r="B123" s="1" t="n">
        <v>45394</v>
      </c>
      <c r="C123" s="1" t="n">
        <v>45928</v>
      </c>
      <c r="D123" t="inlineStr">
        <is>
          <t>VÄSTRA GÖTALANDS LÄN</t>
        </is>
      </c>
      <c r="E123" t="inlineStr">
        <is>
          <t>ALE</t>
        </is>
      </c>
      <c r="G123" t="n">
        <v>0.5</v>
      </c>
      <c r="H123" t="n">
        <v>0</v>
      </c>
      <c r="I123" t="n">
        <v>0</v>
      </c>
      <c r="J123" t="n">
        <v>0</v>
      </c>
      <c r="K123" t="n">
        <v>0</v>
      </c>
      <c r="L123" t="n">
        <v>0</v>
      </c>
      <c r="M123" t="n">
        <v>0</v>
      </c>
      <c r="N123" t="n">
        <v>0</v>
      </c>
      <c r="O123" t="n">
        <v>0</v>
      </c>
      <c r="P123" t="n">
        <v>0</v>
      </c>
      <c r="Q123" t="n">
        <v>0</v>
      </c>
      <c r="R123" s="2" t="inlineStr"/>
    </row>
    <row r="124" ht="15" customHeight="1">
      <c r="A124" t="inlineStr">
        <is>
          <t>A 25849-2025</t>
        </is>
      </c>
      <c r="B124" s="1" t="n">
        <v>45804</v>
      </c>
      <c r="C124" s="1" t="n">
        <v>45928</v>
      </c>
      <c r="D124" t="inlineStr">
        <is>
          <t>VÄSTRA GÖTALANDS LÄN</t>
        </is>
      </c>
      <c r="E124" t="inlineStr">
        <is>
          <t>ALE</t>
        </is>
      </c>
      <c r="G124" t="n">
        <v>0.8</v>
      </c>
      <c r="H124" t="n">
        <v>0</v>
      </c>
      <c r="I124" t="n">
        <v>0</v>
      </c>
      <c r="J124" t="n">
        <v>0</v>
      </c>
      <c r="K124" t="n">
        <v>0</v>
      </c>
      <c r="L124" t="n">
        <v>0</v>
      </c>
      <c r="M124" t="n">
        <v>0</v>
      </c>
      <c r="N124" t="n">
        <v>0</v>
      </c>
      <c r="O124" t="n">
        <v>0</v>
      </c>
      <c r="P124" t="n">
        <v>0</v>
      </c>
      <c r="Q124" t="n">
        <v>0</v>
      </c>
      <c r="R124" s="2" t="inlineStr"/>
    </row>
    <row r="125" ht="15" customHeight="1">
      <c r="A125" t="inlineStr">
        <is>
          <t>A 25848-2025</t>
        </is>
      </c>
      <c r="B125" s="1" t="n">
        <v>45804</v>
      </c>
      <c r="C125" s="1" t="n">
        <v>45928</v>
      </c>
      <c r="D125" t="inlineStr">
        <is>
          <t>VÄSTRA GÖTALANDS LÄN</t>
        </is>
      </c>
      <c r="E125" t="inlineStr">
        <is>
          <t>ALE</t>
        </is>
      </c>
      <c r="G125" t="n">
        <v>1.1</v>
      </c>
      <c r="H125" t="n">
        <v>0</v>
      </c>
      <c r="I125" t="n">
        <v>0</v>
      </c>
      <c r="J125" t="n">
        <v>0</v>
      </c>
      <c r="K125" t="n">
        <v>0</v>
      </c>
      <c r="L125" t="n">
        <v>0</v>
      </c>
      <c r="M125" t="n">
        <v>0</v>
      </c>
      <c r="N125" t="n">
        <v>0</v>
      </c>
      <c r="O125" t="n">
        <v>0</v>
      </c>
      <c r="P125" t="n">
        <v>0</v>
      </c>
      <c r="Q125" t="n">
        <v>0</v>
      </c>
      <c r="R125" s="2" t="inlineStr"/>
    </row>
    <row r="126" ht="15" customHeight="1">
      <c r="A126" t="inlineStr">
        <is>
          <t>A 25840-2025</t>
        </is>
      </c>
      <c r="B126" s="1" t="n">
        <v>45804</v>
      </c>
      <c r="C126" s="1" t="n">
        <v>45928</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53121-2024</t>
        </is>
      </c>
      <c r="B127" s="1" t="n">
        <v>45611</v>
      </c>
      <c r="C127" s="1" t="n">
        <v>45928</v>
      </c>
      <c r="D127" t="inlineStr">
        <is>
          <t>VÄSTRA GÖTALANDS LÄN</t>
        </is>
      </c>
      <c r="E127" t="inlineStr">
        <is>
          <t>ALE</t>
        </is>
      </c>
      <c r="G127" t="n">
        <v>3.4</v>
      </c>
      <c r="H127" t="n">
        <v>0</v>
      </c>
      <c r="I127" t="n">
        <v>0</v>
      </c>
      <c r="J127" t="n">
        <v>0</v>
      </c>
      <c r="K127" t="n">
        <v>0</v>
      </c>
      <c r="L127" t="n">
        <v>0</v>
      </c>
      <c r="M127" t="n">
        <v>0</v>
      </c>
      <c r="N127" t="n">
        <v>0</v>
      </c>
      <c r="O127" t="n">
        <v>0</v>
      </c>
      <c r="P127" t="n">
        <v>0</v>
      </c>
      <c r="Q127" t="n">
        <v>0</v>
      </c>
      <c r="R127" s="2" t="inlineStr"/>
    </row>
    <row r="128" ht="15" customHeight="1">
      <c r="A128" t="inlineStr">
        <is>
          <t>A 47087-2023</t>
        </is>
      </c>
      <c r="B128" s="1" t="n">
        <v>45196</v>
      </c>
      <c r="C128" s="1" t="n">
        <v>45928</v>
      </c>
      <c r="D128" t="inlineStr">
        <is>
          <t>VÄSTRA GÖTALANDS LÄN</t>
        </is>
      </c>
      <c r="E128" t="inlineStr">
        <is>
          <t>ALE</t>
        </is>
      </c>
      <c r="G128" t="n">
        <v>1.6</v>
      </c>
      <c r="H128" t="n">
        <v>0</v>
      </c>
      <c r="I128" t="n">
        <v>0</v>
      </c>
      <c r="J128" t="n">
        <v>0</v>
      </c>
      <c r="K128" t="n">
        <v>0</v>
      </c>
      <c r="L128" t="n">
        <v>0</v>
      </c>
      <c r="M128" t="n">
        <v>0</v>
      </c>
      <c r="N128" t="n">
        <v>0</v>
      </c>
      <c r="O128" t="n">
        <v>0</v>
      </c>
      <c r="P128" t="n">
        <v>0</v>
      </c>
      <c r="Q128" t="n">
        <v>0</v>
      </c>
      <c r="R128" s="2" t="inlineStr"/>
    </row>
    <row r="129" ht="15" customHeight="1">
      <c r="A129" t="inlineStr">
        <is>
          <t>A 4642-2024</t>
        </is>
      </c>
      <c r="B129" s="1" t="n">
        <v>45328.43502314815</v>
      </c>
      <c r="C129" s="1" t="n">
        <v>45928</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8659-2025</t>
        </is>
      </c>
      <c r="B130" s="1" t="n">
        <v>45712</v>
      </c>
      <c r="C130" s="1" t="n">
        <v>45928</v>
      </c>
      <c r="D130" t="inlineStr">
        <is>
          <t>VÄSTRA GÖTALANDS LÄN</t>
        </is>
      </c>
      <c r="E130" t="inlineStr">
        <is>
          <t>ALE</t>
        </is>
      </c>
      <c r="G130" t="n">
        <v>5.7</v>
      </c>
      <c r="H130" t="n">
        <v>0</v>
      </c>
      <c r="I130" t="n">
        <v>0</v>
      </c>
      <c r="J130" t="n">
        <v>0</v>
      </c>
      <c r="K130" t="n">
        <v>0</v>
      </c>
      <c r="L130" t="n">
        <v>0</v>
      </c>
      <c r="M130" t="n">
        <v>0</v>
      </c>
      <c r="N130" t="n">
        <v>0</v>
      </c>
      <c r="O130" t="n">
        <v>0</v>
      </c>
      <c r="P130" t="n">
        <v>0</v>
      </c>
      <c r="Q130" t="n">
        <v>0</v>
      </c>
      <c r="R130" s="2" t="inlineStr"/>
    </row>
    <row r="131" ht="15" customHeight="1">
      <c r="A131" t="inlineStr">
        <is>
          <t>A 5344-2024</t>
        </is>
      </c>
      <c r="B131" s="1" t="n">
        <v>45331</v>
      </c>
      <c r="C131" s="1" t="n">
        <v>45928</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18637-2023</t>
        </is>
      </c>
      <c r="B132" s="1" t="n">
        <v>45043</v>
      </c>
      <c r="C132" s="1" t="n">
        <v>45928</v>
      </c>
      <c r="D132" t="inlineStr">
        <is>
          <t>VÄSTRA GÖTALANDS LÄN</t>
        </is>
      </c>
      <c r="E132" t="inlineStr">
        <is>
          <t>ALE</t>
        </is>
      </c>
      <c r="G132" t="n">
        <v>3.6</v>
      </c>
      <c r="H132" t="n">
        <v>0</v>
      </c>
      <c r="I132" t="n">
        <v>0</v>
      </c>
      <c r="J132" t="n">
        <v>0</v>
      </c>
      <c r="K132" t="n">
        <v>0</v>
      </c>
      <c r="L132" t="n">
        <v>0</v>
      </c>
      <c r="M132" t="n">
        <v>0</v>
      </c>
      <c r="N132" t="n">
        <v>0</v>
      </c>
      <c r="O132" t="n">
        <v>0</v>
      </c>
      <c r="P132" t="n">
        <v>0</v>
      </c>
      <c r="Q132" t="n">
        <v>0</v>
      </c>
      <c r="R132" s="2" t="inlineStr"/>
    </row>
    <row r="133" ht="15" customHeight="1">
      <c r="A133" t="inlineStr">
        <is>
          <t>A 59933-2023</t>
        </is>
      </c>
      <c r="B133" s="1" t="n">
        <v>45257</v>
      </c>
      <c r="C133" s="1" t="n">
        <v>45928</v>
      </c>
      <c r="D133" t="inlineStr">
        <is>
          <t>VÄSTRA GÖTALANDS LÄN</t>
        </is>
      </c>
      <c r="E133" t="inlineStr">
        <is>
          <t>ALE</t>
        </is>
      </c>
      <c r="G133" t="n">
        <v>2.7</v>
      </c>
      <c r="H133" t="n">
        <v>0</v>
      </c>
      <c r="I133" t="n">
        <v>0</v>
      </c>
      <c r="J133" t="n">
        <v>0</v>
      </c>
      <c r="K133" t="n">
        <v>0</v>
      </c>
      <c r="L133" t="n">
        <v>0</v>
      </c>
      <c r="M133" t="n">
        <v>0</v>
      </c>
      <c r="N133" t="n">
        <v>0</v>
      </c>
      <c r="O133" t="n">
        <v>0</v>
      </c>
      <c r="P133" t="n">
        <v>0</v>
      </c>
      <c r="Q133" t="n">
        <v>0</v>
      </c>
      <c r="R133" s="2" t="inlineStr"/>
    </row>
    <row r="134" ht="15" customHeight="1">
      <c r="A134" t="inlineStr">
        <is>
          <t>A 29373-2025</t>
        </is>
      </c>
      <c r="B134" s="1" t="n">
        <v>45824.579375</v>
      </c>
      <c r="C134" s="1" t="n">
        <v>45928</v>
      </c>
      <c r="D134" t="inlineStr">
        <is>
          <t>VÄSTRA GÖTALANDS LÄN</t>
        </is>
      </c>
      <c r="E134" t="inlineStr">
        <is>
          <t>ALE</t>
        </is>
      </c>
      <c r="G134" t="n">
        <v>4.6</v>
      </c>
      <c r="H134" t="n">
        <v>0</v>
      </c>
      <c r="I134" t="n">
        <v>0</v>
      </c>
      <c r="J134" t="n">
        <v>0</v>
      </c>
      <c r="K134" t="n">
        <v>0</v>
      </c>
      <c r="L134" t="n">
        <v>0</v>
      </c>
      <c r="M134" t="n">
        <v>0</v>
      </c>
      <c r="N134" t="n">
        <v>0</v>
      </c>
      <c r="O134" t="n">
        <v>0</v>
      </c>
      <c r="P134" t="n">
        <v>0</v>
      </c>
      <c r="Q134" t="n">
        <v>0</v>
      </c>
      <c r="R134" s="2" t="inlineStr"/>
    </row>
    <row r="135" ht="15" customHeight="1">
      <c r="A135" t="inlineStr">
        <is>
          <t>A 14731-2022</t>
        </is>
      </c>
      <c r="B135" s="1" t="n">
        <v>44656</v>
      </c>
      <c r="C135" s="1" t="n">
        <v>45928</v>
      </c>
      <c r="D135" t="inlineStr">
        <is>
          <t>VÄSTRA GÖTALANDS LÄN</t>
        </is>
      </c>
      <c r="E135" t="inlineStr">
        <is>
          <t>ALE</t>
        </is>
      </c>
      <c r="G135" t="n">
        <v>1.8</v>
      </c>
      <c r="H135" t="n">
        <v>0</v>
      </c>
      <c r="I135" t="n">
        <v>0</v>
      </c>
      <c r="J135" t="n">
        <v>0</v>
      </c>
      <c r="K135" t="n">
        <v>0</v>
      </c>
      <c r="L135" t="n">
        <v>0</v>
      </c>
      <c r="M135" t="n">
        <v>0</v>
      </c>
      <c r="N135" t="n">
        <v>0</v>
      </c>
      <c r="O135" t="n">
        <v>0</v>
      </c>
      <c r="P135" t="n">
        <v>0</v>
      </c>
      <c r="Q135" t="n">
        <v>0</v>
      </c>
      <c r="R135" s="2" t="inlineStr"/>
    </row>
    <row r="136" ht="15" customHeight="1">
      <c r="A136" t="inlineStr">
        <is>
          <t>A 13382-2025</t>
        </is>
      </c>
      <c r="B136" s="1" t="n">
        <v>45735.67928240741</v>
      </c>
      <c r="C136" s="1" t="n">
        <v>45928</v>
      </c>
      <c r="D136" t="inlineStr">
        <is>
          <t>VÄSTRA GÖTALANDS LÄN</t>
        </is>
      </c>
      <c r="E136" t="inlineStr">
        <is>
          <t>ALE</t>
        </is>
      </c>
      <c r="G136" t="n">
        <v>0.9</v>
      </c>
      <c r="H136" t="n">
        <v>0</v>
      </c>
      <c r="I136" t="n">
        <v>0</v>
      </c>
      <c r="J136" t="n">
        <v>0</v>
      </c>
      <c r="K136" t="n">
        <v>0</v>
      </c>
      <c r="L136" t="n">
        <v>0</v>
      </c>
      <c r="M136" t="n">
        <v>0</v>
      </c>
      <c r="N136" t="n">
        <v>0</v>
      </c>
      <c r="O136" t="n">
        <v>0</v>
      </c>
      <c r="P136" t="n">
        <v>0</v>
      </c>
      <c r="Q136" t="n">
        <v>0</v>
      </c>
      <c r="R136" s="2" t="inlineStr"/>
    </row>
    <row r="137" ht="15" customHeight="1">
      <c r="A137" t="inlineStr">
        <is>
          <t>A 13426-2025</t>
        </is>
      </c>
      <c r="B137" s="1" t="n">
        <v>45736.32780092592</v>
      </c>
      <c r="C137" s="1" t="n">
        <v>45928</v>
      </c>
      <c r="D137" t="inlineStr">
        <is>
          <t>VÄSTRA GÖTALANDS LÄN</t>
        </is>
      </c>
      <c r="E137" t="inlineStr">
        <is>
          <t>ALE</t>
        </is>
      </c>
      <c r="G137" t="n">
        <v>1.5</v>
      </c>
      <c r="H137" t="n">
        <v>0</v>
      </c>
      <c r="I137" t="n">
        <v>0</v>
      </c>
      <c r="J137" t="n">
        <v>0</v>
      </c>
      <c r="K137" t="n">
        <v>0</v>
      </c>
      <c r="L137" t="n">
        <v>0</v>
      </c>
      <c r="M137" t="n">
        <v>0</v>
      </c>
      <c r="N137" t="n">
        <v>0</v>
      </c>
      <c r="O137" t="n">
        <v>0</v>
      </c>
      <c r="P137" t="n">
        <v>0</v>
      </c>
      <c r="Q137" t="n">
        <v>0</v>
      </c>
      <c r="R137" s="2" t="inlineStr"/>
    </row>
    <row r="138" ht="15" customHeight="1">
      <c r="A138" t="inlineStr">
        <is>
          <t>A 13903-2025</t>
        </is>
      </c>
      <c r="B138" s="1" t="n">
        <v>45737.63481481482</v>
      </c>
      <c r="C138" s="1" t="n">
        <v>45928</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3520-2022</t>
        </is>
      </c>
      <c r="B139" s="1" t="n">
        <v>44585.72818287037</v>
      </c>
      <c r="C139" s="1" t="n">
        <v>45928</v>
      </c>
      <c r="D139" t="inlineStr">
        <is>
          <t>VÄSTRA GÖTALANDS LÄN</t>
        </is>
      </c>
      <c r="E139" t="inlineStr">
        <is>
          <t>ALE</t>
        </is>
      </c>
      <c r="G139" t="n">
        <v>2.3</v>
      </c>
      <c r="H139" t="n">
        <v>0</v>
      </c>
      <c r="I139" t="n">
        <v>0</v>
      </c>
      <c r="J139" t="n">
        <v>0</v>
      </c>
      <c r="K139" t="n">
        <v>0</v>
      </c>
      <c r="L139" t="n">
        <v>0</v>
      </c>
      <c r="M139" t="n">
        <v>0</v>
      </c>
      <c r="N139" t="n">
        <v>0</v>
      </c>
      <c r="O139" t="n">
        <v>0</v>
      </c>
      <c r="P139" t="n">
        <v>0</v>
      </c>
      <c r="Q139" t="n">
        <v>0</v>
      </c>
      <c r="R139" s="2" t="inlineStr"/>
    </row>
    <row r="140" ht="15" customHeight="1">
      <c r="A140" t="inlineStr">
        <is>
          <t>A 31407-2025</t>
        </is>
      </c>
      <c r="B140" s="1" t="n">
        <v>45833</v>
      </c>
      <c r="C140" s="1" t="n">
        <v>45928</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31409-2025</t>
        </is>
      </c>
      <c r="B141" s="1" t="n">
        <v>45833</v>
      </c>
      <c r="C141" s="1" t="n">
        <v>45928</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31533-2025</t>
        </is>
      </c>
      <c r="B142" s="1" t="n">
        <v>45833</v>
      </c>
      <c r="C142" s="1" t="n">
        <v>45928</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31488-2025</t>
        </is>
      </c>
      <c r="B143" s="1" t="n">
        <v>45833</v>
      </c>
      <c r="C143" s="1" t="n">
        <v>45928</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66551-2020</t>
        </is>
      </c>
      <c r="B144" s="1" t="n">
        <v>44179</v>
      </c>
      <c r="C144" s="1" t="n">
        <v>45928</v>
      </c>
      <c r="D144" t="inlineStr">
        <is>
          <t>VÄSTRA GÖTALANDS LÄN</t>
        </is>
      </c>
      <c r="E144" t="inlineStr">
        <is>
          <t>ALE</t>
        </is>
      </c>
      <c r="G144" t="n">
        <v>4.5</v>
      </c>
      <c r="H144" t="n">
        <v>0</v>
      </c>
      <c r="I144" t="n">
        <v>0</v>
      </c>
      <c r="J144" t="n">
        <v>0</v>
      </c>
      <c r="K144" t="n">
        <v>0</v>
      </c>
      <c r="L144" t="n">
        <v>0</v>
      </c>
      <c r="M144" t="n">
        <v>0</v>
      </c>
      <c r="N144" t="n">
        <v>0</v>
      </c>
      <c r="O144" t="n">
        <v>0</v>
      </c>
      <c r="P144" t="n">
        <v>0</v>
      </c>
      <c r="Q144" t="n">
        <v>0</v>
      </c>
      <c r="R144" s="2" t="inlineStr"/>
    </row>
    <row r="145" ht="15" customHeight="1">
      <c r="A145" t="inlineStr">
        <is>
          <t>A 33237-2024</t>
        </is>
      </c>
      <c r="B145" s="1" t="n">
        <v>45518.59173611111</v>
      </c>
      <c r="C145" s="1" t="n">
        <v>45928</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44429-2023</t>
        </is>
      </c>
      <c r="B146" s="1" t="n">
        <v>45189.35101851852</v>
      </c>
      <c r="C146" s="1" t="n">
        <v>45928</v>
      </c>
      <c r="D146" t="inlineStr">
        <is>
          <t>VÄSTRA GÖTALANDS LÄN</t>
        </is>
      </c>
      <c r="E146" t="inlineStr">
        <is>
          <t>ALE</t>
        </is>
      </c>
      <c r="G146" t="n">
        <v>0.1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45928</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51164-2024</t>
        </is>
      </c>
      <c r="B148" s="1" t="n">
        <v>45603.5830787037</v>
      </c>
      <c r="C148" s="1" t="n">
        <v>45928</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4444-2024</t>
        </is>
      </c>
      <c r="B149" s="1" t="n">
        <v>45327</v>
      </c>
      <c r="C149" s="1" t="n">
        <v>45928</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72801-2021</t>
        </is>
      </c>
      <c r="B150" s="1" t="n">
        <v>44546</v>
      </c>
      <c r="C150" s="1" t="n">
        <v>45928</v>
      </c>
      <c r="D150" t="inlineStr">
        <is>
          <t>VÄSTRA GÖTALANDS LÄN</t>
        </is>
      </c>
      <c r="E150" t="inlineStr">
        <is>
          <t>ALE</t>
        </is>
      </c>
      <c r="F150" t="inlineStr">
        <is>
          <t>Naturvårdsverket</t>
        </is>
      </c>
      <c r="G150" t="n">
        <v>1.4</v>
      </c>
      <c r="H150" t="n">
        <v>0</v>
      </c>
      <c r="I150" t="n">
        <v>0</v>
      </c>
      <c r="J150" t="n">
        <v>0</v>
      </c>
      <c r="K150" t="n">
        <v>0</v>
      </c>
      <c r="L150" t="n">
        <v>0</v>
      </c>
      <c r="M150" t="n">
        <v>0</v>
      </c>
      <c r="N150" t="n">
        <v>0</v>
      </c>
      <c r="O150" t="n">
        <v>0</v>
      </c>
      <c r="P150" t="n">
        <v>0</v>
      </c>
      <c r="Q150" t="n">
        <v>0</v>
      </c>
      <c r="R150" s="2" t="inlineStr"/>
    </row>
    <row r="151" ht="15" customHeight="1">
      <c r="A151" t="inlineStr">
        <is>
          <t>A 40074-2025</t>
        </is>
      </c>
      <c r="B151" s="1" t="n">
        <v>45894.44685185186</v>
      </c>
      <c r="C151" s="1" t="n">
        <v>45928</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45928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1822-2024</t>
        </is>
      </c>
      <c r="B153" s="1" t="n">
        <v>45307.6205787037</v>
      </c>
      <c r="C153" s="1" t="n">
        <v>45928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9193-2025</t>
        </is>
      </c>
      <c r="B154" s="1" t="n">
        <v>45714</v>
      </c>
      <c r="C154" s="1" t="n">
        <v>45928</v>
      </c>
      <c r="D154" t="inlineStr">
        <is>
          <t>VÄSTRA GÖTALANDS LÄN</t>
        </is>
      </c>
      <c r="E154" t="inlineStr">
        <is>
          <t>ALE</t>
        </is>
      </c>
      <c r="G154" t="n">
        <v>7.1</v>
      </c>
      <c r="H154" t="n">
        <v>0</v>
      </c>
      <c r="I154" t="n">
        <v>0</v>
      </c>
      <c r="J154" t="n">
        <v>0</v>
      </c>
      <c r="K154" t="n">
        <v>0</v>
      </c>
      <c r="L154" t="n">
        <v>0</v>
      </c>
      <c r="M154" t="n">
        <v>0</v>
      </c>
      <c r="N154" t="n">
        <v>0</v>
      </c>
      <c r="O154" t="n">
        <v>0</v>
      </c>
      <c r="P154" t="n">
        <v>0</v>
      </c>
      <c r="Q154" t="n">
        <v>0</v>
      </c>
      <c r="R154" s="2" t="inlineStr"/>
    </row>
    <row r="155" ht="15" customHeight="1">
      <c r="A155" t="inlineStr">
        <is>
          <t>A 15241-2025</t>
        </is>
      </c>
      <c r="B155" s="1" t="n">
        <v>45744.61255787037</v>
      </c>
      <c r="C155" s="1" t="n">
        <v>45928</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c r="A156" t="inlineStr">
        <is>
          <t>A 6947-2024</t>
        </is>
      </c>
      <c r="B156" s="1" t="n">
        <v>45343</v>
      </c>
      <c r="C156" s="1" t="n">
        <v>45928</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2025-09-28T12:19:15Z</dcterms:created>
  <dcterms:modified xmlns:dcterms="http://purl.org/dc/terms/" xmlns:xsi="http://www.w3.org/2001/XMLSchema-instance" xsi:type="dcterms:W3CDTF">2025-09-28T12:19:15Z</dcterms:modified>
</cp:coreProperties>
</file>