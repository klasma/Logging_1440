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45917</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45917</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45917</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45917</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45917</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45917</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22637-2025</t>
        </is>
      </c>
      <c r="B12" s="1" t="n">
        <v>45789</v>
      </c>
      <c r="C12" s="1" t="n">
        <v>45917</v>
      </c>
      <c r="D12" t="inlineStr">
        <is>
          <t>VÄSTRA GÖTALANDS LÄN</t>
        </is>
      </c>
      <c r="E12" t="inlineStr">
        <is>
          <t>ALE</t>
        </is>
      </c>
      <c r="G12" t="n">
        <v>2.3</v>
      </c>
      <c r="H12" t="n">
        <v>1</v>
      </c>
      <c r="I12" t="n">
        <v>5</v>
      </c>
      <c r="J12" t="n">
        <v>1</v>
      </c>
      <c r="K12" t="n">
        <v>0</v>
      </c>
      <c r="L12" t="n">
        <v>1</v>
      </c>
      <c r="M12" t="n">
        <v>0</v>
      </c>
      <c r="N12" t="n">
        <v>0</v>
      </c>
      <c r="O12" t="n">
        <v>2</v>
      </c>
      <c r="P12" t="n">
        <v>1</v>
      </c>
      <c r="Q12" t="n">
        <v>7</v>
      </c>
      <c r="R12" s="2" t="inlineStr">
        <is>
          <t>Ask
Spillkråka
Platt fjädermossa
Skogshakmossa
Stor revmossa
Tibast
Trubbfjädermossa</t>
        </is>
      </c>
      <c r="S12">
        <f>HYPERLINK("https://klasma.github.io/Logging_1440/artfynd/A 22637-2025 artfynd.xlsx", "A 22637-2025")</f>
        <v/>
      </c>
      <c r="T12">
        <f>HYPERLINK("https://klasma.github.io/Logging_1440/kartor/A 22637-2025 karta.png", "A 22637-2025")</f>
        <v/>
      </c>
      <c r="V12">
        <f>HYPERLINK("https://klasma.github.io/Logging_1440/klagomål/A 22637-2025 FSC-klagomål.docx", "A 22637-2025")</f>
        <v/>
      </c>
      <c r="W12">
        <f>HYPERLINK("https://klasma.github.io/Logging_1440/klagomålsmail/A 22637-2025 FSC-klagomål mail.docx", "A 22637-2025")</f>
        <v/>
      </c>
      <c r="X12">
        <f>HYPERLINK("https://klasma.github.io/Logging_1440/tillsyn/A 22637-2025 tillsynsbegäran.docx", "A 22637-2025")</f>
        <v/>
      </c>
      <c r="Y12">
        <f>HYPERLINK("https://klasma.github.io/Logging_1440/tillsynsmail/A 22637-2025 tillsynsbegäran mail.docx", "A 22637-2025")</f>
        <v/>
      </c>
      <c r="Z12">
        <f>HYPERLINK("https://klasma.github.io/Logging_1440/fåglar/A 22637-2025 prioriterade fågelarter.docx", "A 22637-2025")</f>
        <v/>
      </c>
    </row>
    <row r="13" ht="15" customHeight="1">
      <c r="A13" t="inlineStr">
        <is>
          <t>A 17566-2024</t>
        </is>
      </c>
      <c r="B13" s="1" t="n">
        <v>45415</v>
      </c>
      <c r="C13" s="1" t="n">
        <v>45917</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24162-2025</t>
        </is>
      </c>
      <c r="B14" s="1" t="n">
        <v>45796.66684027778</v>
      </c>
      <c r="C14" s="1" t="n">
        <v>45917</v>
      </c>
      <c r="D14" t="inlineStr">
        <is>
          <t>VÄSTRA GÖTALANDS LÄN</t>
        </is>
      </c>
      <c r="E14" t="inlineStr">
        <is>
          <t>ALE</t>
        </is>
      </c>
      <c r="G14" t="n">
        <v>5.5</v>
      </c>
      <c r="H14" t="n">
        <v>4</v>
      </c>
      <c r="I14" t="n">
        <v>2</v>
      </c>
      <c r="J14" t="n">
        <v>1</v>
      </c>
      <c r="K14" t="n">
        <v>0</v>
      </c>
      <c r="L14" t="n">
        <v>0</v>
      </c>
      <c r="M14" t="n">
        <v>0</v>
      </c>
      <c r="N14" t="n">
        <v>0</v>
      </c>
      <c r="O14" t="n">
        <v>1</v>
      </c>
      <c r="P14" t="n">
        <v>0</v>
      </c>
      <c r="Q14" t="n">
        <v>6</v>
      </c>
      <c r="R14" s="2" t="inlineStr">
        <is>
          <t>Spillkråka
Blanksvart trämyra
Blåmossa
Kungsfågel
Trana
Revlummer</t>
        </is>
      </c>
      <c r="S14">
        <f>HYPERLINK("https://klasma.github.io/Logging_1440/artfynd/A 24162-2025 artfynd.xlsx", "A 24162-2025")</f>
        <v/>
      </c>
      <c r="T14">
        <f>HYPERLINK("https://klasma.github.io/Logging_1440/kartor/A 24162-2025 karta.png", "A 24162-2025")</f>
        <v/>
      </c>
      <c r="V14">
        <f>HYPERLINK("https://klasma.github.io/Logging_1440/klagomål/A 24162-2025 FSC-klagomål.docx", "A 24162-2025")</f>
        <v/>
      </c>
      <c r="W14">
        <f>HYPERLINK("https://klasma.github.io/Logging_1440/klagomålsmail/A 24162-2025 FSC-klagomål mail.docx", "A 24162-2025")</f>
        <v/>
      </c>
      <c r="X14">
        <f>HYPERLINK("https://klasma.github.io/Logging_1440/tillsyn/A 24162-2025 tillsynsbegäran.docx", "A 24162-2025")</f>
        <v/>
      </c>
      <c r="Y14">
        <f>HYPERLINK("https://klasma.github.io/Logging_1440/tillsynsmail/A 24162-2025 tillsynsbegäran mail.docx", "A 24162-2025")</f>
        <v/>
      </c>
      <c r="Z14">
        <f>HYPERLINK("https://klasma.github.io/Logging_1440/fåglar/A 24162-2025 prioriterade fågelarter.docx", "A 24162-2025")</f>
        <v/>
      </c>
    </row>
    <row r="15" ht="15" customHeight="1">
      <c r="A15" t="inlineStr">
        <is>
          <t>A 37005-2025</t>
        </is>
      </c>
      <c r="B15" s="1" t="n">
        <v>45874.69311342593</v>
      </c>
      <c r="C15" s="1" t="n">
        <v>45917</v>
      </c>
      <c r="D15" t="inlineStr">
        <is>
          <t>VÄSTRA GÖTALANDS LÄN</t>
        </is>
      </c>
      <c r="E15" t="inlineStr">
        <is>
          <t>ALE</t>
        </is>
      </c>
      <c r="G15" t="n">
        <v>1.9</v>
      </c>
      <c r="H15" t="n">
        <v>4</v>
      </c>
      <c r="I15" t="n">
        <v>2</v>
      </c>
      <c r="J15" t="n">
        <v>1</v>
      </c>
      <c r="K15" t="n">
        <v>0</v>
      </c>
      <c r="L15" t="n">
        <v>0</v>
      </c>
      <c r="M15" t="n">
        <v>0</v>
      </c>
      <c r="N15" t="n">
        <v>0</v>
      </c>
      <c r="O15" t="n">
        <v>1</v>
      </c>
      <c r="P15" t="n">
        <v>0</v>
      </c>
      <c r="Q15" t="n">
        <v>6</v>
      </c>
      <c r="R15" s="2" t="inlineStr">
        <is>
          <t>Spillkråka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563-2024</t>
        </is>
      </c>
      <c r="B16" s="1" t="n">
        <v>45299</v>
      </c>
      <c r="C16" s="1" t="n">
        <v>45917</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26491-2024</t>
        </is>
      </c>
      <c r="B17" s="1" t="n">
        <v>45469</v>
      </c>
      <c r="C17" s="1" t="n">
        <v>45917</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45917</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19934-2025</t>
        </is>
      </c>
      <c r="B19" s="1" t="n">
        <v>45771</v>
      </c>
      <c r="C19" s="1" t="n">
        <v>45917</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2270-2025</t>
        </is>
      </c>
      <c r="B20" s="1" t="n">
        <v>45673.54403935185</v>
      </c>
      <c r="C20" s="1" t="n">
        <v>45917</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1503-2024</t>
        </is>
      </c>
      <c r="B21" s="1" t="n">
        <v>45306.35041666667</v>
      </c>
      <c r="C21" s="1" t="n">
        <v>45917</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58954-2022</t>
        </is>
      </c>
      <c r="B22" s="1" t="n">
        <v>44903</v>
      </c>
      <c r="C22" s="1" t="n">
        <v>45917</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13380-2025</t>
        </is>
      </c>
      <c r="B23" s="1" t="n">
        <v>45735.6765162037</v>
      </c>
      <c r="C23" s="1" t="n">
        <v>45917</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45917</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45917</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45917</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63569-2023</t>
        </is>
      </c>
      <c r="B27" s="1" t="n">
        <v>45275</v>
      </c>
      <c r="C27" s="1" t="n">
        <v>45917</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8955-2025</t>
        </is>
      </c>
      <c r="B28" s="1" t="n">
        <v>45713.46528935185</v>
      </c>
      <c r="C28" s="1" t="n">
        <v>45917</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26677-2025</t>
        </is>
      </c>
      <c r="B29" s="1" t="n">
        <v>45810.42446759259</v>
      </c>
      <c r="C29" s="1" t="n">
        <v>45917</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45917</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45917</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26493-2024</t>
        </is>
      </c>
      <c r="B32" s="1" t="n">
        <v>45469</v>
      </c>
      <c r="C32" s="1" t="n">
        <v>45917</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12084-2025</t>
        </is>
      </c>
      <c r="B33" s="1" t="n">
        <v>45728.95387731482</v>
      </c>
      <c r="C33" s="1" t="n">
        <v>45917</v>
      </c>
      <c r="D33" t="inlineStr">
        <is>
          <t>VÄSTRA GÖTALANDS LÄN</t>
        </is>
      </c>
      <c r="E33" t="inlineStr">
        <is>
          <t>ALE</t>
        </is>
      </c>
      <c r="G33" t="n">
        <v>2.4</v>
      </c>
      <c r="H33" t="n">
        <v>1</v>
      </c>
      <c r="I33" t="n">
        <v>0</v>
      </c>
      <c r="J33" t="n">
        <v>1</v>
      </c>
      <c r="K33" t="n">
        <v>0</v>
      </c>
      <c r="L33" t="n">
        <v>0</v>
      </c>
      <c r="M33" t="n">
        <v>0</v>
      </c>
      <c r="N33" t="n">
        <v>0</v>
      </c>
      <c r="O33" t="n">
        <v>1</v>
      </c>
      <c r="P33" t="n">
        <v>0</v>
      </c>
      <c r="Q33" t="n">
        <v>1</v>
      </c>
      <c r="R33" s="2" t="inlineStr">
        <is>
          <t>Spillkråka</t>
        </is>
      </c>
      <c r="S33">
        <f>HYPERLINK("https://klasma.github.io/Logging_1440/artfynd/A 12084-2025 artfynd.xlsx", "A 12084-2025")</f>
        <v/>
      </c>
      <c r="T33">
        <f>HYPERLINK("https://klasma.github.io/Logging_1440/kartor/A 12084-2025 karta.png", "A 12084-2025")</f>
        <v/>
      </c>
      <c r="V33">
        <f>HYPERLINK("https://klasma.github.io/Logging_1440/klagomål/A 12084-2025 FSC-klagomål.docx", "A 12084-2025")</f>
        <v/>
      </c>
      <c r="W33">
        <f>HYPERLINK("https://klasma.github.io/Logging_1440/klagomålsmail/A 12084-2025 FSC-klagomål mail.docx", "A 12084-2025")</f>
        <v/>
      </c>
      <c r="X33">
        <f>HYPERLINK("https://klasma.github.io/Logging_1440/tillsyn/A 12084-2025 tillsynsbegäran.docx", "A 12084-2025")</f>
        <v/>
      </c>
      <c r="Y33">
        <f>HYPERLINK("https://klasma.github.io/Logging_1440/tillsynsmail/A 12084-2025 tillsynsbegäran mail.docx", "A 12084-2025")</f>
        <v/>
      </c>
      <c r="Z33">
        <f>HYPERLINK("https://klasma.github.io/Logging_1440/fåglar/A 12084-2025 prioriterade fågelarter.docx", "A 12084-2025")</f>
        <v/>
      </c>
    </row>
    <row r="34" ht="15" customHeight="1">
      <c r="A34" t="inlineStr">
        <is>
          <t>A 21281-2021</t>
        </is>
      </c>
      <c r="B34" s="1" t="n">
        <v>44320.61850694445</v>
      </c>
      <c r="C34" s="1" t="n">
        <v>45917</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45917</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45917</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45917</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45917</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45917</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45917</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45917</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45917</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45917</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45917</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45917</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45917</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45917</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45917</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45917</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45917</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45917</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45917</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12445-2022</t>
        </is>
      </c>
      <c r="B54" s="1" t="n">
        <v>44638</v>
      </c>
      <c r="C54" s="1" t="n">
        <v>45917</v>
      </c>
      <c r="D54" t="inlineStr">
        <is>
          <t>VÄSTRA GÖTALANDS LÄN</t>
        </is>
      </c>
      <c r="E54" t="inlineStr">
        <is>
          <t>ALE</t>
        </is>
      </c>
      <c r="G54" t="n">
        <v>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45917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53476-2023</t>
        </is>
      </c>
      <c r="B56" s="1" t="n">
        <v>45230.33737268519</v>
      </c>
      <c r="C56" s="1" t="n">
        <v>45917</v>
      </c>
      <c r="D56" t="inlineStr">
        <is>
          <t>VÄSTRA GÖTALANDS LÄN</t>
        </is>
      </c>
      <c r="E56" t="inlineStr">
        <is>
          <t>ALE</t>
        </is>
      </c>
      <c r="G56" t="n">
        <v>1.9</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45917</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45917</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45917</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45917</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45917</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45917</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26157-2023</t>
        </is>
      </c>
      <c r="B63" s="1" t="n">
        <v>45091.50479166667</v>
      </c>
      <c r="C63" s="1" t="n">
        <v>45917</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45917</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36403-2024</t>
        </is>
      </c>
      <c r="B65" s="1" t="n">
        <v>45535.69445601852</v>
      </c>
      <c r="C65" s="1" t="n">
        <v>45917</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9193-2025</t>
        </is>
      </c>
      <c r="B66" s="1" t="n">
        <v>45714</v>
      </c>
      <c r="C66" s="1" t="n">
        <v>45917</v>
      </c>
      <c r="D66" t="inlineStr">
        <is>
          <t>VÄSTRA GÖTALANDS LÄN</t>
        </is>
      </c>
      <c r="E66" t="inlineStr">
        <is>
          <t>ALE</t>
        </is>
      </c>
      <c r="G66" t="n">
        <v>7.1</v>
      </c>
      <c r="H66" t="n">
        <v>0</v>
      </c>
      <c r="I66" t="n">
        <v>0</v>
      </c>
      <c r="J66" t="n">
        <v>0</v>
      </c>
      <c r="K66" t="n">
        <v>0</v>
      </c>
      <c r="L66" t="n">
        <v>0</v>
      </c>
      <c r="M66" t="n">
        <v>0</v>
      </c>
      <c r="N66" t="n">
        <v>0</v>
      </c>
      <c r="O66" t="n">
        <v>0</v>
      </c>
      <c r="P66" t="n">
        <v>0</v>
      </c>
      <c r="Q66" t="n">
        <v>0</v>
      </c>
      <c r="R66" s="2" t="inlineStr"/>
    </row>
    <row r="67" ht="15" customHeight="1">
      <c r="A67" t="inlineStr">
        <is>
          <t>A 15241-2025</t>
        </is>
      </c>
      <c r="B67" s="1" t="n">
        <v>45744.61255787037</v>
      </c>
      <c r="C67" s="1" t="n">
        <v>45917</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45917</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8659-2025</t>
        </is>
      </c>
      <c r="B69" s="1" t="n">
        <v>45712</v>
      </c>
      <c r="C69" s="1" t="n">
        <v>45917</v>
      </c>
      <c r="D69" t="inlineStr">
        <is>
          <t>VÄSTRA GÖTALANDS LÄN</t>
        </is>
      </c>
      <c r="E69" t="inlineStr">
        <is>
          <t>ALE</t>
        </is>
      </c>
      <c r="G69" t="n">
        <v>5.7</v>
      </c>
      <c r="H69" t="n">
        <v>0</v>
      </c>
      <c r="I69" t="n">
        <v>0</v>
      </c>
      <c r="J69" t="n">
        <v>0</v>
      </c>
      <c r="K69" t="n">
        <v>0</v>
      </c>
      <c r="L69" t="n">
        <v>0</v>
      </c>
      <c r="M69" t="n">
        <v>0</v>
      </c>
      <c r="N69" t="n">
        <v>0</v>
      </c>
      <c r="O69" t="n">
        <v>0</v>
      </c>
      <c r="P69" t="n">
        <v>0</v>
      </c>
      <c r="Q69" t="n">
        <v>0</v>
      </c>
      <c r="R69" s="2" t="inlineStr"/>
    </row>
    <row r="70" ht="15" customHeight="1">
      <c r="A70" t="inlineStr">
        <is>
          <t>A 5344-2024</t>
        </is>
      </c>
      <c r="B70" s="1" t="n">
        <v>45331</v>
      </c>
      <c r="C70" s="1" t="n">
        <v>45917</v>
      </c>
      <c r="D70" t="inlineStr">
        <is>
          <t>VÄSTRA GÖTALANDS LÄN</t>
        </is>
      </c>
      <c r="E70" t="inlineStr">
        <is>
          <t>ALE</t>
        </is>
      </c>
      <c r="G70" t="n">
        <v>2.5</v>
      </c>
      <c r="H70" t="n">
        <v>0</v>
      </c>
      <c r="I70" t="n">
        <v>0</v>
      </c>
      <c r="J70" t="n">
        <v>0</v>
      </c>
      <c r="K70" t="n">
        <v>0</v>
      </c>
      <c r="L70" t="n">
        <v>0</v>
      </c>
      <c r="M70" t="n">
        <v>0</v>
      </c>
      <c r="N70" t="n">
        <v>0</v>
      </c>
      <c r="O70" t="n">
        <v>0</v>
      </c>
      <c r="P70" t="n">
        <v>0</v>
      </c>
      <c r="Q70" t="n">
        <v>0</v>
      </c>
      <c r="R70" s="2" t="inlineStr"/>
    </row>
    <row r="71" ht="15" customHeight="1">
      <c r="A71" t="inlineStr">
        <is>
          <t>A 18637-2023</t>
        </is>
      </c>
      <c r="B71" s="1" t="n">
        <v>45043</v>
      </c>
      <c r="C71" s="1" t="n">
        <v>45917</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59933-2023</t>
        </is>
      </c>
      <c r="B72" s="1" t="n">
        <v>45257</v>
      </c>
      <c r="C72" s="1" t="n">
        <v>45917</v>
      </c>
      <c r="D72" t="inlineStr">
        <is>
          <t>VÄSTRA GÖTALANDS LÄN</t>
        </is>
      </c>
      <c r="E72" t="inlineStr">
        <is>
          <t>ALE</t>
        </is>
      </c>
      <c r="G72" t="n">
        <v>2.7</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45917</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55405-2021</t>
        </is>
      </c>
      <c r="B74" s="1" t="n">
        <v>44475.53733796296</v>
      </c>
      <c r="C74" s="1" t="n">
        <v>45917</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6947-2024</t>
        </is>
      </c>
      <c r="B75" s="1" t="n">
        <v>45343</v>
      </c>
      <c r="C75" s="1" t="n">
        <v>45917</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45917</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45917</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13426-2025</t>
        </is>
      </c>
      <c r="B78" s="1" t="n">
        <v>45736.32780092592</v>
      </c>
      <c r="C78" s="1" t="n">
        <v>45917</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13903-2025</t>
        </is>
      </c>
      <c r="B79" s="1" t="n">
        <v>45737.63481481482</v>
      </c>
      <c r="C79" s="1" t="n">
        <v>45917</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44480.57173611111</v>
      </c>
      <c r="C80" s="1" t="n">
        <v>45917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45917</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31407-2025</t>
        </is>
      </c>
      <c r="B82" s="1" t="n">
        <v>45833</v>
      </c>
      <c r="C82" s="1" t="n">
        <v>45917</v>
      </c>
      <c r="D82" t="inlineStr">
        <is>
          <t>VÄSTRA GÖTALANDS LÄN</t>
        </is>
      </c>
      <c r="E82" t="inlineStr">
        <is>
          <t>ALE</t>
        </is>
      </c>
      <c r="G82" t="n">
        <v>0.8</v>
      </c>
      <c r="H82" t="n">
        <v>0</v>
      </c>
      <c r="I82" t="n">
        <v>0</v>
      </c>
      <c r="J82" t="n">
        <v>0</v>
      </c>
      <c r="K82" t="n">
        <v>0</v>
      </c>
      <c r="L82" t="n">
        <v>0</v>
      </c>
      <c r="M82" t="n">
        <v>0</v>
      </c>
      <c r="N82" t="n">
        <v>0</v>
      </c>
      <c r="O82" t="n">
        <v>0</v>
      </c>
      <c r="P82" t="n">
        <v>0</v>
      </c>
      <c r="Q82" t="n">
        <v>0</v>
      </c>
      <c r="R82" s="2" t="inlineStr"/>
    </row>
    <row r="83" ht="15" customHeight="1">
      <c r="A83" t="inlineStr">
        <is>
          <t>A 31409-2025</t>
        </is>
      </c>
      <c r="B83" s="1" t="n">
        <v>45833</v>
      </c>
      <c r="C83" s="1" t="n">
        <v>45917</v>
      </c>
      <c r="D83" t="inlineStr">
        <is>
          <t>VÄSTRA GÖTALANDS LÄN</t>
        </is>
      </c>
      <c r="E83" t="inlineStr">
        <is>
          <t>ALE</t>
        </is>
      </c>
      <c r="G83" t="n">
        <v>0.8</v>
      </c>
      <c r="H83" t="n">
        <v>0</v>
      </c>
      <c r="I83" t="n">
        <v>0</v>
      </c>
      <c r="J83" t="n">
        <v>0</v>
      </c>
      <c r="K83" t="n">
        <v>0</v>
      </c>
      <c r="L83" t="n">
        <v>0</v>
      </c>
      <c r="M83" t="n">
        <v>0</v>
      </c>
      <c r="N83" t="n">
        <v>0</v>
      </c>
      <c r="O83" t="n">
        <v>0</v>
      </c>
      <c r="P83" t="n">
        <v>0</v>
      </c>
      <c r="Q83" t="n">
        <v>0</v>
      </c>
      <c r="R83" s="2" t="inlineStr"/>
    </row>
    <row r="84" ht="15" customHeight="1">
      <c r="A84" t="inlineStr">
        <is>
          <t>A 31533-2025</t>
        </is>
      </c>
      <c r="B84" s="1" t="n">
        <v>45833</v>
      </c>
      <c r="C84" s="1" t="n">
        <v>45917</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24642-2022</t>
        </is>
      </c>
      <c r="B85" s="1" t="n">
        <v>44727.59578703704</v>
      </c>
      <c r="C85" s="1" t="n">
        <v>45917</v>
      </c>
      <c r="D85" t="inlineStr">
        <is>
          <t>VÄSTRA GÖTALANDS LÄN</t>
        </is>
      </c>
      <c r="E85" t="inlineStr">
        <is>
          <t>ALE</t>
        </is>
      </c>
      <c r="G85" t="n">
        <v>10</v>
      </c>
      <c r="H85" t="n">
        <v>0</v>
      </c>
      <c r="I85" t="n">
        <v>0</v>
      </c>
      <c r="J85" t="n">
        <v>0</v>
      </c>
      <c r="K85" t="n">
        <v>0</v>
      </c>
      <c r="L85" t="n">
        <v>0</v>
      </c>
      <c r="M85" t="n">
        <v>0</v>
      </c>
      <c r="N85" t="n">
        <v>0</v>
      </c>
      <c r="O85" t="n">
        <v>0</v>
      </c>
      <c r="P85" t="n">
        <v>0</v>
      </c>
      <c r="Q85" t="n">
        <v>0</v>
      </c>
      <c r="R85" s="2" t="inlineStr"/>
    </row>
    <row r="86" ht="15" customHeight="1">
      <c r="A86" t="inlineStr">
        <is>
          <t>A 31488-2025</t>
        </is>
      </c>
      <c r="B86" s="1" t="n">
        <v>45833</v>
      </c>
      <c r="C86" s="1" t="n">
        <v>45917</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5875-2023</t>
        </is>
      </c>
      <c r="B87" s="1" t="n">
        <v>44963</v>
      </c>
      <c r="C87" s="1" t="n">
        <v>45917</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3407-2023</t>
        </is>
      </c>
      <c r="B88" s="1" t="n">
        <v>44949.54909722223</v>
      </c>
      <c r="C88" s="1" t="n">
        <v>45917</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34153-2024</t>
        </is>
      </c>
      <c r="B89" s="1" t="n">
        <v>45524.38400462963</v>
      </c>
      <c r="C89" s="1" t="n">
        <v>45917</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51564-2023</t>
        </is>
      </c>
      <c r="B90" s="1" t="n">
        <v>45222</v>
      </c>
      <c r="C90" s="1" t="n">
        <v>45917</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41309-2024</t>
        </is>
      </c>
      <c r="B91" s="1" t="n">
        <v>45559</v>
      </c>
      <c r="C91" s="1" t="n">
        <v>45917</v>
      </c>
      <c r="D91" t="inlineStr">
        <is>
          <t>VÄSTRA GÖTALANDS LÄN</t>
        </is>
      </c>
      <c r="E91" t="inlineStr">
        <is>
          <t>ALE</t>
        </is>
      </c>
      <c r="G91" t="n">
        <v>8.4</v>
      </c>
      <c r="H91" t="n">
        <v>0</v>
      </c>
      <c r="I91" t="n">
        <v>0</v>
      </c>
      <c r="J91" t="n">
        <v>0</v>
      </c>
      <c r="K91" t="n">
        <v>0</v>
      </c>
      <c r="L91" t="n">
        <v>0</v>
      </c>
      <c r="M91" t="n">
        <v>0</v>
      </c>
      <c r="N91" t="n">
        <v>0</v>
      </c>
      <c r="O91" t="n">
        <v>0</v>
      </c>
      <c r="P91" t="n">
        <v>0</v>
      </c>
      <c r="Q91" t="n">
        <v>0</v>
      </c>
      <c r="R91" s="2" t="inlineStr"/>
    </row>
    <row r="92" ht="15" customHeight="1">
      <c r="A92" t="inlineStr">
        <is>
          <t>A 15499-2022</t>
        </is>
      </c>
      <c r="B92" s="1" t="n">
        <v>44662</v>
      </c>
      <c r="C92" s="1" t="n">
        <v>45917</v>
      </c>
      <c r="D92" t="inlineStr">
        <is>
          <t>VÄSTRA GÖTALANDS LÄN</t>
        </is>
      </c>
      <c r="E92" t="inlineStr">
        <is>
          <t>ALE</t>
        </is>
      </c>
      <c r="G92" t="n">
        <v>4.7</v>
      </c>
      <c r="H92" t="n">
        <v>0</v>
      </c>
      <c r="I92" t="n">
        <v>0</v>
      </c>
      <c r="J92" t="n">
        <v>0</v>
      </c>
      <c r="K92" t="n">
        <v>0</v>
      </c>
      <c r="L92" t="n">
        <v>0</v>
      </c>
      <c r="M92" t="n">
        <v>0</v>
      </c>
      <c r="N92" t="n">
        <v>0</v>
      </c>
      <c r="O92" t="n">
        <v>0</v>
      </c>
      <c r="P92" t="n">
        <v>0</v>
      </c>
      <c r="Q92" t="n">
        <v>0</v>
      </c>
      <c r="R92" s="2" t="inlineStr"/>
    </row>
    <row r="93" ht="15" customHeight="1">
      <c r="A93" t="inlineStr">
        <is>
          <t>A 3413-2023</t>
        </is>
      </c>
      <c r="B93" s="1" t="n">
        <v>44949</v>
      </c>
      <c r="C93" s="1" t="n">
        <v>45917</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27314-2021</t>
        </is>
      </c>
      <c r="B94" s="1" t="n">
        <v>44351.36537037037</v>
      </c>
      <c r="C94" s="1" t="n">
        <v>45917</v>
      </c>
      <c r="D94" t="inlineStr">
        <is>
          <t>VÄSTRA GÖTALANDS LÄN</t>
        </is>
      </c>
      <c r="E94" t="inlineStr">
        <is>
          <t>ALE</t>
        </is>
      </c>
      <c r="G94" t="n">
        <v>11.3</v>
      </c>
      <c r="H94" t="n">
        <v>0</v>
      </c>
      <c r="I94" t="n">
        <v>0</v>
      </c>
      <c r="J94" t="n">
        <v>0</v>
      </c>
      <c r="K94" t="n">
        <v>0</v>
      </c>
      <c r="L94" t="n">
        <v>0</v>
      </c>
      <c r="M94" t="n">
        <v>0</v>
      </c>
      <c r="N94" t="n">
        <v>0</v>
      </c>
      <c r="O94" t="n">
        <v>0</v>
      </c>
      <c r="P94" t="n">
        <v>0</v>
      </c>
      <c r="Q94" t="n">
        <v>0</v>
      </c>
      <c r="R94" s="2" t="inlineStr"/>
    </row>
    <row r="95" ht="15" customHeight="1">
      <c r="A95" t="inlineStr">
        <is>
          <t>A 26083-2023</t>
        </is>
      </c>
      <c r="B95" s="1" t="n">
        <v>45091</v>
      </c>
      <c r="C95" s="1" t="n">
        <v>45917</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63575-2023</t>
        </is>
      </c>
      <c r="B96" s="1" t="n">
        <v>45275.39715277778</v>
      </c>
      <c r="C96" s="1" t="n">
        <v>45917</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1960-2024</t>
        </is>
      </c>
      <c r="B97" s="1" t="n">
        <v>45308.50962962963</v>
      </c>
      <c r="C97" s="1" t="n">
        <v>45917</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40059-2025</t>
        </is>
      </c>
      <c r="B98" s="1" t="n">
        <v>45894.42600694444</v>
      </c>
      <c r="C98" s="1" t="n">
        <v>45917</v>
      </c>
      <c r="D98" t="inlineStr">
        <is>
          <t>VÄSTRA GÖTALANDS LÄN</t>
        </is>
      </c>
      <c r="E98" t="inlineStr">
        <is>
          <t>ALE</t>
        </is>
      </c>
      <c r="G98" t="n">
        <v>0.9</v>
      </c>
      <c r="H98" t="n">
        <v>0</v>
      </c>
      <c r="I98" t="n">
        <v>0</v>
      </c>
      <c r="J98" t="n">
        <v>0</v>
      </c>
      <c r="K98" t="n">
        <v>0</v>
      </c>
      <c r="L98" t="n">
        <v>0</v>
      </c>
      <c r="M98" t="n">
        <v>0</v>
      </c>
      <c r="N98" t="n">
        <v>0</v>
      </c>
      <c r="O98" t="n">
        <v>0</v>
      </c>
      <c r="P98" t="n">
        <v>0</v>
      </c>
      <c r="Q98" t="n">
        <v>0</v>
      </c>
      <c r="R98" s="2" t="inlineStr"/>
    </row>
    <row r="99" ht="15" customHeight="1">
      <c r="A99" t="inlineStr">
        <is>
          <t>A 3418-2023</t>
        </is>
      </c>
      <c r="B99" s="1" t="n">
        <v>44949.56182870371</v>
      </c>
      <c r="C99" s="1" t="n">
        <v>45917</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65226-2021</t>
        </is>
      </c>
      <c r="B100" s="1" t="n">
        <v>44515</v>
      </c>
      <c r="C100" s="1" t="n">
        <v>45917</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45917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40074-2025</t>
        </is>
      </c>
      <c r="B102" s="1" t="n">
        <v>45894.44685185186</v>
      </c>
      <c r="C102" s="1" t="n">
        <v>45917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60233-2024</t>
        </is>
      </c>
      <c r="B103" s="1" t="n">
        <v>45642.74851851852</v>
      </c>
      <c r="C103" s="1" t="n">
        <v>45917</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45917</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40931-2025</t>
        </is>
      </c>
      <c r="B105" s="1" t="n">
        <v>45897.64783564815</v>
      </c>
      <c r="C105" s="1" t="n">
        <v>45917</v>
      </c>
      <c r="D105" t="inlineStr">
        <is>
          <t>VÄSTRA GÖTALANDS LÄN</t>
        </is>
      </c>
      <c r="E105" t="inlineStr">
        <is>
          <t>ALE</t>
        </is>
      </c>
      <c r="G105" t="n">
        <v>4.3</v>
      </c>
      <c r="H105" t="n">
        <v>0</v>
      </c>
      <c r="I105" t="n">
        <v>0</v>
      </c>
      <c r="J105" t="n">
        <v>0</v>
      </c>
      <c r="K105" t="n">
        <v>0</v>
      </c>
      <c r="L105" t="n">
        <v>0</v>
      </c>
      <c r="M105" t="n">
        <v>0</v>
      </c>
      <c r="N105" t="n">
        <v>0</v>
      </c>
      <c r="O105" t="n">
        <v>0</v>
      </c>
      <c r="P105" t="n">
        <v>0</v>
      </c>
      <c r="Q105" t="n">
        <v>0</v>
      </c>
      <c r="R105" s="2" t="inlineStr"/>
    </row>
    <row r="106" ht="15" customHeight="1">
      <c r="A106" t="inlineStr">
        <is>
          <t>A 69325-2020</t>
        </is>
      </c>
      <c r="B106" s="1" t="n">
        <v>44193</v>
      </c>
      <c r="C106" s="1" t="n">
        <v>45917</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45917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200-2022</t>
        </is>
      </c>
      <c r="B108" s="1" t="n">
        <v>44564</v>
      </c>
      <c r="C108" s="1" t="n">
        <v>45917</v>
      </c>
      <c r="D108" t="inlineStr">
        <is>
          <t>VÄSTRA GÖTALANDS LÄN</t>
        </is>
      </c>
      <c r="E108" t="inlineStr">
        <is>
          <t>ALE</t>
        </is>
      </c>
      <c r="G108" t="n">
        <v>6.8</v>
      </c>
      <c r="H108" t="n">
        <v>0</v>
      </c>
      <c r="I108" t="n">
        <v>0</v>
      </c>
      <c r="J108" t="n">
        <v>0</v>
      </c>
      <c r="K108" t="n">
        <v>0</v>
      </c>
      <c r="L108" t="n">
        <v>0</v>
      </c>
      <c r="M108" t="n">
        <v>0</v>
      </c>
      <c r="N108" t="n">
        <v>0</v>
      </c>
      <c r="O108" t="n">
        <v>0</v>
      </c>
      <c r="P108" t="n">
        <v>0</v>
      </c>
      <c r="Q108" t="n">
        <v>0</v>
      </c>
      <c r="R108" s="2" t="inlineStr"/>
    </row>
    <row r="109" ht="15" customHeight="1">
      <c r="A109" t="inlineStr">
        <is>
          <t>A 5916-2023</t>
        </is>
      </c>
      <c r="B109" s="1" t="n">
        <v>44963</v>
      </c>
      <c r="C109" s="1" t="n">
        <v>45917</v>
      </c>
      <c r="D109" t="inlineStr">
        <is>
          <t>VÄSTRA GÖTALANDS LÄN</t>
        </is>
      </c>
      <c r="E109" t="inlineStr">
        <is>
          <t>ALE</t>
        </is>
      </c>
      <c r="G109" t="n">
        <v>4.2</v>
      </c>
      <c r="H109" t="n">
        <v>0</v>
      </c>
      <c r="I109" t="n">
        <v>0</v>
      </c>
      <c r="J109" t="n">
        <v>0</v>
      </c>
      <c r="K109" t="n">
        <v>0</v>
      </c>
      <c r="L109" t="n">
        <v>0</v>
      </c>
      <c r="M109" t="n">
        <v>0</v>
      </c>
      <c r="N109" t="n">
        <v>0</v>
      </c>
      <c r="O109" t="n">
        <v>0</v>
      </c>
      <c r="P109" t="n">
        <v>0</v>
      </c>
      <c r="Q109" t="n">
        <v>0</v>
      </c>
      <c r="R109" s="2" t="inlineStr"/>
    </row>
    <row r="110" ht="15" customHeight="1">
      <c r="A110" t="inlineStr">
        <is>
          <t>A 17044-2025</t>
        </is>
      </c>
      <c r="B110" s="1" t="n">
        <v>45755.58891203703</v>
      </c>
      <c r="C110" s="1" t="n">
        <v>45917</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43732-2025</t>
        </is>
      </c>
      <c r="B111" s="1" t="n">
        <v>45912.43576388889</v>
      </c>
      <c r="C111" s="1" t="n">
        <v>45917</v>
      </c>
      <c r="D111" t="inlineStr">
        <is>
          <t>VÄSTRA GÖTALANDS LÄN</t>
        </is>
      </c>
      <c r="E111" t="inlineStr">
        <is>
          <t>ALE</t>
        </is>
      </c>
      <c r="G111" t="n">
        <v>2.9</v>
      </c>
      <c r="H111" t="n">
        <v>0</v>
      </c>
      <c r="I111" t="n">
        <v>0</v>
      </c>
      <c r="J111" t="n">
        <v>0</v>
      </c>
      <c r="K111" t="n">
        <v>0</v>
      </c>
      <c r="L111" t="n">
        <v>0</v>
      </c>
      <c r="M111" t="n">
        <v>0</v>
      </c>
      <c r="N111" t="n">
        <v>0</v>
      </c>
      <c r="O111" t="n">
        <v>0</v>
      </c>
      <c r="P111" t="n">
        <v>0</v>
      </c>
      <c r="Q111" t="n">
        <v>0</v>
      </c>
      <c r="R111" s="2" t="inlineStr"/>
    </row>
    <row r="112" ht="15" customHeight="1">
      <c r="A112" t="inlineStr">
        <is>
          <t>A 34104-2024</t>
        </is>
      </c>
      <c r="B112" s="1" t="n">
        <v>45523.79202546296</v>
      </c>
      <c r="C112" s="1" t="n">
        <v>45917</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4363-2024</t>
        </is>
      </c>
      <c r="B113" s="1" t="n">
        <v>45325</v>
      </c>
      <c r="C113" s="1" t="n">
        <v>45917</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16601-2025</t>
        </is>
      </c>
      <c r="B114" s="1" t="n">
        <v>45753.53189814815</v>
      </c>
      <c r="C114" s="1" t="n">
        <v>45917</v>
      </c>
      <c r="D114" t="inlineStr">
        <is>
          <t>VÄSTRA GÖTALANDS LÄN</t>
        </is>
      </c>
      <c r="E114" t="inlineStr">
        <is>
          <t>ALE</t>
        </is>
      </c>
      <c r="G114" t="n">
        <v>1.7</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44858.47591435185</v>
      </c>
      <c r="C115" s="1" t="n">
        <v>45917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18999-2021</t>
        </is>
      </c>
      <c r="B116" s="1" t="n">
        <v>44308</v>
      </c>
      <c r="C116" s="1" t="n">
        <v>45917</v>
      </c>
      <c r="D116" t="inlineStr">
        <is>
          <t>VÄSTRA GÖTALANDS LÄN</t>
        </is>
      </c>
      <c r="E116" t="inlineStr">
        <is>
          <t>ALE</t>
        </is>
      </c>
      <c r="G116" t="n">
        <v>3.7</v>
      </c>
      <c r="H116" t="n">
        <v>0</v>
      </c>
      <c r="I116" t="n">
        <v>0</v>
      </c>
      <c r="J116" t="n">
        <v>0</v>
      </c>
      <c r="K116" t="n">
        <v>0</v>
      </c>
      <c r="L116" t="n">
        <v>0</v>
      </c>
      <c r="M116" t="n">
        <v>0</v>
      </c>
      <c r="N116" t="n">
        <v>0</v>
      </c>
      <c r="O116" t="n">
        <v>0</v>
      </c>
      <c r="P116" t="n">
        <v>0</v>
      </c>
      <c r="Q116" t="n">
        <v>0</v>
      </c>
      <c r="R116" s="2" t="inlineStr"/>
    </row>
    <row r="117" ht="15" customHeight="1">
      <c r="A117" t="inlineStr">
        <is>
          <t>A 20067-2023</t>
        </is>
      </c>
      <c r="B117" s="1" t="n">
        <v>45054</v>
      </c>
      <c r="C117" s="1" t="n">
        <v>45917</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45917</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1500-2024</t>
        </is>
      </c>
      <c r="B119" s="1" t="n">
        <v>45306</v>
      </c>
      <c r="C119" s="1" t="n">
        <v>45917</v>
      </c>
      <c r="D119" t="inlineStr">
        <is>
          <t>VÄSTRA GÖTALANDS LÄN</t>
        </is>
      </c>
      <c r="E119" t="inlineStr">
        <is>
          <t>ALE</t>
        </is>
      </c>
      <c r="G119" t="n">
        <v>1.3</v>
      </c>
      <c r="H119" t="n">
        <v>0</v>
      </c>
      <c r="I119" t="n">
        <v>0</v>
      </c>
      <c r="J119" t="n">
        <v>0</v>
      </c>
      <c r="K119" t="n">
        <v>0</v>
      </c>
      <c r="L119" t="n">
        <v>0</v>
      </c>
      <c r="M119" t="n">
        <v>0</v>
      </c>
      <c r="N119" t="n">
        <v>0</v>
      </c>
      <c r="O119" t="n">
        <v>0</v>
      </c>
      <c r="P119" t="n">
        <v>0</v>
      </c>
      <c r="Q119" t="n">
        <v>0</v>
      </c>
      <c r="R119" s="2" t="inlineStr"/>
    </row>
    <row r="120" ht="15" customHeight="1">
      <c r="A120" t="inlineStr">
        <is>
          <t>A 50451-2024</t>
        </is>
      </c>
      <c r="B120" s="1" t="n">
        <v>45601.44248842593</v>
      </c>
      <c r="C120" s="1" t="n">
        <v>45917</v>
      </c>
      <c r="D120" t="inlineStr">
        <is>
          <t>VÄSTRA GÖTALANDS LÄN</t>
        </is>
      </c>
      <c r="E120" t="inlineStr">
        <is>
          <t>ALE</t>
        </is>
      </c>
      <c r="G120" t="n">
        <v>2.9</v>
      </c>
      <c r="H120" t="n">
        <v>0</v>
      </c>
      <c r="I120" t="n">
        <v>0</v>
      </c>
      <c r="J120" t="n">
        <v>0</v>
      </c>
      <c r="K120" t="n">
        <v>0</v>
      </c>
      <c r="L120" t="n">
        <v>0</v>
      </c>
      <c r="M120" t="n">
        <v>0</v>
      </c>
      <c r="N120" t="n">
        <v>0</v>
      </c>
      <c r="O120" t="n">
        <v>0</v>
      </c>
      <c r="P120" t="n">
        <v>0</v>
      </c>
      <c r="Q120" t="n">
        <v>0</v>
      </c>
      <c r="R120" s="2" t="inlineStr"/>
    </row>
    <row r="121" ht="15" customHeight="1">
      <c r="A121" t="inlineStr">
        <is>
          <t>A 49680-2024</t>
        </is>
      </c>
      <c r="B121" s="1" t="n">
        <v>45596.66880787037</v>
      </c>
      <c r="C121" s="1" t="n">
        <v>45917</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57473-2022</t>
        </is>
      </c>
      <c r="B122" s="1" t="n">
        <v>44896</v>
      </c>
      <c r="C122" s="1" t="n">
        <v>45917</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6916-2023</t>
        </is>
      </c>
      <c r="B123" s="1" t="n">
        <v>44967.53349537037</v>
      </c>
      <c r="C123" s="1" t="n">
        <v>45917</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64199-2021</t>
        </is>
      </c>
      <c r="B124" s="1" t="n">
        <v>44510</v>
      </c>
      <c r="C124" s="1" t="n">
        <v>45917</v>
      </c>
      <c r="D124" t="inlineStr">
        <is>
          <t>VÄSTRA GÖTALANDS LÄN</t>
        </is>
      </c>
      <c r="E124" t="inlineStr">
        <is>
          <t>ALE</t>
        </is>
      </c>
      <c r="G124" t="n">
        <v>5.7</v>
      </c>
      <c r="H124" t="n">
        <v>0</v>
      </c>
      <c r="I124" t="n">
        <v>0</v>
      </c>
      <c r="J124" t="n">
        <v>0</v>
      </c>
      <c r="K124" t="n">
        <v>0</v>
      </c>
      <c r="L124" t="n">
        <v>0</v>
      </c>
      <c r="M124" t="n">
        <v>0</v>
      </c>
      <c r="N124" t="n">
        <v>0</v>
      </c>
      <c r="O124" t="n">
        <v>0</v>
      </c>
      <c r="P124" t="n">
        <v>0</v>
      </c>
      <c r="Q124" t="n">
        <v>0</v>
      </c>
      <c r="R124" s="2" t="inlineStr"/>
    </row>
    <row r="125" ht="15" customHeight="1">
      <c r="A125" t="inlineStr">
        <is>
          <t>A 7807-2023</t>
        </is>
      </c>
      <c r="B125" s="1" t="n">
        <v>44973</v>
      </c>
      <c r="C125" s="1" t="n">
        <v>45917</v>
      </c>
      <c r="D125" t="inlineStr">
        <is>
          <t>VÄSTRA GÖTALANDS LÄN</t>
        </is>
      </c>
      <c r="E125" t="inlineStr">
        <is>
          <t>ALE</t>
        </is>
      </c>
      <c r="G125" t="n">
        <v>10.5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45917</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42660-2024</t>
        </is>
      </c>
      <c r="B127" s="1" t="n">
        <v>45566.33841435185</v>
      </c>
      <c r="C127" s="1" t="n">
        <v>45917</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42446-2023</t>
        </is>
      </c>
      <c r="B128" s="1" t="n">
        <v>45180</v>
      </c>
      <c r="C128" s="1" t="n">
        <v>45917</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15582-2025</t>
        </is>
      </c>
      <c r="B129" s="1" t="n">
        <v>45747.81394675926</v>
      </c>
      <c r="C129" s="1" t="n">
        <v>45917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67160-2021</t>
        </is>
      </c>
      <c r="B130" s="1" t="n">
        <v>44523</v>
      </c>
      <c r="C130" s="1" t="n">
        <v>45917</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16344-2023</t>
        </is>
      </c>
      <c r="B131" s="1" t="n">
        <v>45028</v>
      </c>
      <c r="C131" s="1" t="n">
        <v>45917</v>
      </c>
      <c r="D131" t="inlineStr">
        <is>
          <t>VÄSTRA GÖTALANDS LÄN</t>
        </is>
      </c>
      <c r="E131" t="inlineStr">
        <is>
          <t>ALE</t>
        </is>
      </c>
      <c r="G131" t="n">
        <v>6.6</v>
      </c>
      <c r="H131" t="n">
        <v>0</v>
      </c>
      <c r="I131" t="n">
        <v>0</v>
      </c>
      <c r="J131" t="n">
        <v>0</v>
      </c>
      <c r="K131" t="n">
        <v>0</v>
      </c>
      <c r="L131" t="n">
        <v>0</v>
      </c>
      <c r="M131" t="n">
        <v>0</v>
      </c>
      <c r="N131" t="n">
        <v>0</v>
      </c>
      <c r="O131" t="n">
        <v>0</v>
      </c>
      <c r="P131" t="n">
        <v>0</v>
      </c>
      <c r="Q131" t="n">
        <v>0</v>
      </c>
      <c r="R131" s="2" t="inlineStr"/>
    </row>
    <row r="132" ht="15" customHeight="1">
      <c r="A132" t="inlineStr">
        <is>
          <t>A 32762-2023</t>
        </is>
      </c>
      <c r="B132" s="1" t="n">
        <v>45123.46649305556</v>
      </c>
      <c r="C132" s="1" t="n">
        <v>45917</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41598-2022</t>
        </is>
      </c>
      <c r="B133" s="1" t="n">
        <v>44827.4609837963</v>
      </c>
      <c r="C133" s="1" t="n">
        <v>45917</v>
      </c>
      <c r="D133" t="inlineStr">
        <is>
          <t>VÄSTRA GÖTALANDS LÄN</t>
        </is>
      </c>
      <c r="E133" t="inlineStr">
        <is>
          <t>ALE</t>
        </is>
      </c>
      <c r="G133" t="n">
        <v>2</v>
      </c>
      <c r="H133" t="n">
        <v>0</v>
      </c>
      <c r="I133" t="n">
        <v>0</v>
      </c>
      <c r="J133" t="n">
        <v>0</v>
      </c>
      <c r="K133" t="n">
        <v>0</v>
      </c>
      <c r="L133" t="n">
        <v>0</v>
      </c>
      <c r="M133" t="n">
        <v>0</v>
      </c>
      <c r="N133" t="n">
        <v>0</v>
      </c>
      <c r="O133" t="n">
        <v>0</v>
      </c>
      <c r="P133" t="n">
        <v>0</v>
      </c>
      <c r="Q133" t="n">
        <v>0</v>
      </c>
      <c r="R133" s="2" t="inlineStr"/>
    </row>
    <row r="134" ht="15" customHeight="1">
      <c r="A134" t="inlineStr">
        <is>
          <t>A 14458-2024</t>
        </is>
      </c>
      <c r="B134" s="1" t="n">
        <v>45394</v>
      </c>
      <c r="C134" s="1" t="n">
        <v>45917</v>
      </c>
      <c r="D134" t="inlineStr">
        <is>
          <t>VÄSTRA GÖTALANDS LÄN</t>
        </is>
      </c>
      <c r="E134" t="inlineStr">
        <is>
          <t>ALE</t>
        </is>
      </c>
      <c r="G134" t="n">
        <v>0.5</v>
      </c>
      <c r="H134" t="n">
        <v>0</v>
      </c>
      <c r="I134" t="n">
        <v>0</v>
      </c>
      <c r="J134" t="n">
        <v>0</v>
      </c>
      <c r="K134" t="n">
        <v>0</v>
      </c>
      <c r="L134" t="n">
        <v>0</v>
      </c>
      <c r="M134" t="n">
        <v>0</v>
      </c>
      <c r="N134" t="n">
        <v>0</v>
      </c>
      <c r="O134" t="n">
        <v>0</v>
      </c>
      <c r="P134" t="n">
        <v>0</v>
      </c>
      <c r="Q134" t="n">
        <v>0</v>
      </c>
      <c r="R134" s="2" t="inlineStr"/>
    </row>
    <row r="135" ht="15" customHeight="1">
      <c r="A135" t="inlineStr">
        <is>
          <t>A 53121-2024</t>
        </is>
      </c>
      <c r="B135" s="1" t="n">
        <v>45611</v>
      </c>
      <c r="C135" s="1" t="n">
        <v>45917</v>
      </c>
      <c r="D135" t="inlineStr">
        <is>
          <t>VÄSTRA GÖTALANDS LÄN</t>
        </is>
      </c>
      <c r="E135" t="inlineStr">
        <is>
          <t>ALE</t>
        </is>
      </c>
      <c r="G135" t="n">
        <v>3.4</v>
      </c>
      <c r="H135" t="n">
        <v>0</v>
      </c>
      <c r="I135" t="n">
        <v>0</v>
      </c>
      <c r="J135" t="n">
        <v>0</v>
      </c>
      <c r="K135" t="n">
        <v>0</v>
      </c>
      <c r="L135" t="n">
        <v>0</v>
      </c>
      <c r="M135" t="n">
        <v>0</v>
      </c>
      <c r="N135" t="n">
        <v>0</v>
      </c>
      <c r="O135" t="n">
        <v>0</v>
      </c>
      <c r="P135" t="n">
        <v>0</v>
      </c>
      <c r="Q135" t="n">
        <v>0</v>
      </c>
      <c r="R135" s="2" t="inlineStr"/>
    </row>
    <row r="136" ht="15" customHeight="1">
      <c r="A136" t="inlineStr">
        <is>
          <t>A 22946-2025</t>
        </is>
      </c>
      <c r="B136" s="1" t="n">
        <v>45790.48229166667</v>
      </c>
      <c r="C136" s="1" t="n">
        <v>45917</v>
      </c>
      <c r="D136" t="inlineStr">
        <is>
          <t>VÄSTRA GÖTALANDS LÄN</t>
        </is>
      </c>
      <c r="E136" t="inlineStr">
        <is>
          <t>ALE</t>
        </is>
      </c>
      <c r="G136" t="n">
        <v>0.6</v>
      </c>
      <c r="H136" t="n">
        <v>0</v>
      </c>
      <c r="I136" t="n">
        <v>0</v>
      </c>
      <c r="J136" t="n">
        <v>0</v>
      </c>
      <c r="K136" t="n">
        <v>0</v>
      </c>
      <c r="L136" t="n">
        <v>0</v>
      </c>
      <c r="M136" t="n">
        <v>0</v>
      </c>
      <c r="N136" t="n">
        <v>0</v>
      </c>
      <c r="O136" t="n">
        <v>0</v>
      </c>
      <c r="P136" t="n">
        <v>0</v>
      </c>
      <c r="Q136" t="n">
        <v>0</v>
      </c>
      <c r="R136" s="2" t="inlineStr"/>
    </row>
    <row r="137" ht="15" customHeight="1">
      <c r="A137" t="inlineStr">
        <is>
          <t>A 47087-2023</t>
        </is>
      </c>
      <c r="B137" s="1" t="n">
        <v>45196</v>
      </c>
      <c r="C137" s="1" t="n">
        <v>45917</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4642-2024</t>
        </is>
      </c>
      <c r="B138" s="1" t="n">
        <v>45328.43502314815</v>
      </c>
      <c r="C138" s="1" t="n">
        <v>45917</v>
      </c>
      <c r="D138" t="inlineStr">
        <is>
          <t>VÄSTRA GÖTALANDS LÄN</t>
        </is>
      </c>
      <c r="E138" t="inlineStr">
        <is>
          <t>ALE</t>
        </is>
      </c>
      <c r="G138" t="n">
        <v>7.1</v>
      </c>
      <c r="H138" t="n">
        <v>0</v>
      </c>
      <c r="I138" t="n">
        <v>0</v>
      </c>
      <c r="J138" t="n">
        <v>0</v>
      </c>
      <c r="K138" t="n">
        <v>0</v>
      </c>
      <c r="L138" t="n">
        <v>0</v>
      </c>
      <c r="M138" t="n">
        <v>0</v>
      </c>
      <c r="N138" t="n">
        <v>0</v>
      </c>
      <c r="O138" t="n">
        <v>0</v>
      </c>
      <c r="P138" t="n">
        <v>0</v>
      </c>
      <c r="Q138" t="n">
        <v>0</v>
      </c>
      <c r="R138" s="2" t="inlineStr"/>
    </row>
    <row r="139" ht="15" customHeight="1">
      <c r="A139" t="inlineStr">
        <is>
          <t>A 4971-2024</t>
        </is>
      </c>
      <c r="B139" s="1" t="n">
        <v>45329</v>
      </c>
      <c r="C139" s="1" t="n">
        <v>45917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37461-2024</t>
        </is>
      </c>
      <c r="B140" s="1" t="n">
        <v>45540.72516203704</v>
      </c>
      <c r="C140" s="1" t="n">
        <v>45917</v>
      </c>
      <c r="D140" t="inlineStr">
        <is>
          <t>VÄSTRA GÖTALANDS LÄN</t>
        </is>
      </c>
      <c r="E140" t="inlineStr">
        <is>
          <t>ALE</t>
        </is>
      </c>
      <c r="G140" t="n">
        <v>1.6</v>
      </c>
      <c r="H140" t="n">
        <v>0</v>
      </c>
      <c r="I140" t="n">
        <v>0</v>
      </c>
      <c r="J140" t="n">
        <v>0</v>
      </c>
      <c r="K140" t="n">
        <v>0</v>
      </c>
      <c r="L140" t="n">
        <v>0</v>
      </c>
      <c r="M140" t="n">
        <v>0</v>
      </c>
      <c r="N140" t="n">
        <v>0</v>
      </c>
      <c r="O140" t="n">
        <v>0</v>
      </c>
      <c r="P140" t="n">
        <v>0</v>
      </c>
      <c r="Q140" t="n">
        <v>0</v>
      </c>
      <c r="R140" s="2" t="inlineStr"/>
    </row>
    <row r="141" ht="15" customHeight="1">
      <c r="A141" t="inlineStr">
        <is>
          <t>A 14731-2022</t>
        </is>
      </c>
      <c r="B141" s="1" t="n">
        <v>44656</v>
      </c>
      <c r="C141" s="1" t="n">
        <v>45917</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45917</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66551-2020</t>
        </is>
      </c>
      <c r="B143" s="1" t="n">
        <v>44179</v>
      </c>
      <c r="C143" s="1" t="n">
        <v>45917</v>
      </c>
      <c r="D143" t="inlineStr">
        <is>
          <t>VÄSTRA GÖTALANDS LÄN</t>
        </is>
      </c>
      <c r="E143" t="inlineStr">
        <is>
          <t>ALE</t>
        </is>
      </c>
      <c r="G143" t="n">
        <v>4.5</v>
      </c>
      <c r="H143" t="n">
        <v>0</v>
      </c>
      <c r="I143" t="n">
        <v>0</v>
      </c>
      <c r="J143" t="n">
        <v>0</v>
      </c>
      <c r="K143" t="n">
        <v>0</v>
      </c>
      <c r="L143" t="n">
        <v>0</v>
      </c>
      <c r="M143" t="n">
        <v>0</v>
      </c>
      <c r="N143" t="n">
        <v>0</v>
      </c>
      <c r="O143" t="n">
        <v>0</v>
      </c>
      <c r="P143" t="n">
        <v>0</v>
      </c>
      <c r="Q143" t="n">
        <v>0</v>
      </c>
      <c r="R143" s="2" t="inlineStr"/>
    </row>
    <row r="144" ht="15" customHeight="1">
      <c r="A144" t="inlineStr">
        <is>
          <t>A 33237-2024</t>
        </is>
      </c>
      <c r="B144" s="1" t="n">
        <v>45518.59173611111</v>
      </c>
      <c r="C144" s="1" t="n">
        <v>45917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25849-2025</t>
        </is>
      </c>
      <c r="B145" s="1" t="n">
        <v>45804</v>
      </c>
      <c r="C145" s="1" t="n">
        <v>45917</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25848-2025</t>
        </is>
      </c>
      <c r="B146" s="1" t="n">
        <v>45804</v>
      </c>
      <c r="C146" s="1" t="n">
        <v>45917</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44429-2023</t>
        </is>
      </c>
      <c r="B147" s="1" t="n">
        <v>45189.35101851852</v>
      </c>
      <c r="C147" s="1" t="n">
        <v>45917</v>
      </c>
      <c r="D147" t="inlineStr">
        <is>
          <t>VÄSTRA GÖTALANDS LÄN</t>
        </is>
      </c>
      <c r="E147" t="inlineStr">
        <is>
          <t>ALE</t>
        </is>
      </c>
      <c r="G147" t="n">
        <v>0.1</v>
      </c>
      <c r="H147" t="n">
        <v>0</v>
      </c>
      <c r="I147" t="n">
        <v>0</v>
      </c>
      <c r="J147" t="n">
        <v>0</v>
      </c>
      <c r="K147" t="n">
        <v>0</v>
      </c>
      <c r="L147" t="n">
        <v>0</v>
      </c>
      <c r="M147" t="n">
        <v>0</v>
      </c>
      <c r="N147" t="n">
        <v>0</v>
      </c>
      <c r="O147" t="n">
        <v>0</v>
      </c>
      <c r="P147" t="n">
        <v>0</v>
      </c>
      <c r="Q147" t="n">
        <v>0</v>
      </c>
      <c r="R147" s="2" t="inlineStr"/>
    </row>
    <row r="148" ht="15" customHeight="1">
      <c r="A148" t="inlineStr">
        <is>
          <t>A 7892-2024</t>
        </is>
      </c>
      <c r="B148" s="1" t="n">
        <v>45350.40921296296</v>
      </c>
      <c r="C148" s="1" t="n">
        <v>45917</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25840-2025</t>
        </is>
      </c>
      <c r="B149" s="1" t="n">
        <v>45804</v>
      </c>
      <c r="C149" s="1" t="n">
        <v>45917</v>
      </c>
      <c r="D149" t="inlineStr">
        <is>
          <t>VÄSTRA GÖTALANDS LÄN</t>
        </is>
      </c>
      <c r="E149" t="inlineStr">
        <is>
          <t>ALE</t>
        </is>
      </c>
      <c r="G149" t="n">
        <v>3.8</v>
      </c>
      <c r="H149" t="n">
        <v>0</v>
      </c>
      <c r="I149" t="n">
        <v>0</v>
      </c>
      <c r="J149" t="n">
        <v>0</v>
      </c>
      <c r="K149" t="n">
        <v>0</v>
      </c>
      <c r="L149" t="n">
        <v>0</v>
      </c>
      <c r="M149" t="n">
        <v>0</v>
      </c>
      <c r="N149" t="n">
        <v>0</v>
      </c>
      <c r="O149" t="n">
        <v>0</v>
      </c>
      <c r="P149" t="n">
        <v>0</v>
      </c>
      <c r="Q149" t="n">
        <v>0</v>
      </c>
      <c r="R149" s="2" t="inlineStr"/>
    </row>
    <row r="150" ht="15" customHeight="1">
      <c r="A150" t="inlineStr">
        <is>
          <t>A 51164-2024</t>
        </is>
      </c>
      <c r="B150" s="1" t="n">
        <v>45603.5830787037</v>
      </c>
      <c r="C150" s="1" t="n">
        <v>45917</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4444-2024</t>
        </is>
      </c>
      <c r="B151" s="1" t="n">
        <v>45327</v>
      </c>
      <c r="C151" s="1" t="n">
        <v>45917</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72801-2021</t>
        </is>
      </c>
      <c r="B152" s="1" t="n">
        <v>44546</v>
      </c>
      <c r="C152" s="1" t="n">
        <v>45917</v>
      </c>
      <c r="D152" t="inlineStr">
        <is>
          <t>VÄSTRA GÖTALANDS LÄN</t>
        </is>
      </c>
      <c r="E152" t="inlineStr">
        <is>
          <t>ALE</t>
        </is>
      </c>
      <c r="F152" t="inlineStr">
        <is>
          <t>Naturvårdsverket</t>
        </is>
      </c>
      <c r="G152" t="n">
        <v>1.4</v>
      </c>
      <c r="H152" t="n">
        <v>0</v>
      </c>
      <c r="I152" t="n">
        <v>0</v>
      </c>
      <c r="J152" t="n">
        <v>0</v>
      </c>
      <c r="K152" t="n">
        <v>0</v>
      </c>
      <c r="L152" t="n">
        <v>0</v>
      </c>
      <c r="M152" t="n">
        <v>0</v>
      </c>
      <c r="N152" t="n">
        <v>0</v>
      </c>
      <c r="O152" t="n">
        <v>0</v>
      </c>
      <c r="P152" t="n">
        <v>0</v>
      </c>
      <c r="Q152" t="n">
        <v>0</v>
      </c>
      <c r="R152" s="2" t="inlineStr"/>
    </row>
    <row r="153">
      <c r="A153" t="inlineStr">
        <is>
          <t>A 8956-2025</t>
        </is>
      </c>
      <c r="B153" s="1" t="n">
        <v>45713.46825231481</v>
      </c>
      <c r="C153" s="1" t="n">
        <v>45917</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2025-09-17T08:58:25Z</dcterms:created>
  <dcterms:modified xmlns:dcterms="http://purl.org/dc/terms/" xmlns:xsi="http://www.w3.org/2001/XMLSchema-instance" xsi:type="dcterms:W3CDTF">2025-09-17T08:58:25Z</dcterms:modified>
</cp:coreProperties>
</file>