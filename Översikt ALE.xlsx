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46193</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46193</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46193</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46193</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46193</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40059-2025</t>
        </is>
      </c>
      <c r="B7" s="1" t="n">
        <v>45894</v>
      </c>
      <c r="C7" s="1" t="n">
        <v>46193</v>
      </c>
      <c r="D7" t="inlineStr">
        <is>
          <t>VÄSTRA GÖTALANDS LÄN</t>
        </is>
      </c>
      <c r="E7" t="inlineStr">
        <is>
          <t>ALE</t>
        </is>
      </c>
      <c r="G7" t="n">
        <v>0.9</v>
      </c>
      <c r="H7" t="n">
        <v>6</v>
      </c>
      <c r="I7" t="n">
        <v>1</v>
      </c>
      <c r="J7" t="n">
        <v>2</v>
      </c>
      <c r="K7" t="n">
        <v>0</v>
      </c>
      <c r="L7" t="n">
        <v>0</v>
      </c>
      <c r="M7" t="n">
        <v>0</v>
      </c>
      <c r="N7" t="n">
        <v>0</v>
      </c>
      <c r="O7" t="n">
        <v>2</v>
      </c>
      <c r="P7" t="n">
        <v>0</v>
      </c>
      <c r="Q7" t="n">
        <v>8</v>
      </c>
      <c r="R7" s="2" t="inlineStr">
        <is>
          <t>Gropticka
Talltita
Blåmossa
Spillkråka
Tjäder
Grönsiska
Trana
Revlummer</t>
        </is>
      </c>
      <c r="S7">
        <f>HYPERLINK("https://klasma.github.io/Logging_1440/artfynd/A 40059-2025 artfynd.xlsx", "A 40059-2025")</f>
        <v/>
      </c>
      <c r="T7">
        <f>HYPERLINK("https://klasma.github.io/Logging_1440/kartor/A 40059-2025 karta.png", "A 40059-2025")</f>
        <v/>
      </c>
      <c r="V7">
        <f>HYPERLINK("https://klasma.github.io/Logging_1440/klagomål/A 40059-2025 FSC-klagomål.docx", "A 40059-2025")</f>
        <v/>
      </c>
      <c r="W7">
        <f>HYPERLINK("https://klasma.github.io/Logging_1440/klagomålsmail/A 40059-2025 FSC-klagomål mail.docx", "A 40059-2025")</f>
        <v/>
      </c>
      <c r="X7">
        <f>HYPERLINK("https://klasma.github.io/Logging_1440/tillsyn/A 40059-2025 tillsynsbegäran.docx", "A 40059-2025")</f>
        <v/>
      </c>
      <c r="Y7">
        <f>HYPERLINK("https://klasma.github.io/Logging_1440/tillsynsmail/A 40059-2025 tillsynsbegäran mail.docx", "A 40059-2025")</f>
        <v/>
      </c>
      <c r="Z7">
        <f>HYPERLINK("https://klasma.github.io/Logging_1440/fåglar/A 40059-2025 prioriterade fågelarter.docx", "A 40059-2025")</f>
        <v/>
      </c>
    </row>
    <row r="8" ht="15" customHeight="1">
      <c r="A8" t="inlineStr">
        <is>
          <t>A 7903-2024</t>
        </is>
      </c>
      <c r="B8" s="1" t="n">
        <v>45350</v>
      </c>
      <c r="C8" s="1" t="n">
        <v>46193</v>
      </c>
      <c r="D8" t="inlineStr">
        <is>
          <t>VÄSTRA GÖTALANDS LÄN</t>
        </is>
      </c>
      <c r="E8" t="inlineStr">
        <is>
          <t>ALE</t>
        </is>
      </c>
      <c r="G8" t="n">
        <v>4.2</v>
      </c>
      <c r="H8" t="n">
        <v>5</v>
      </c>
      <c r="I8" t="n">
        <v>3</v>
      </c>
      <c r="J8" t="n">
        <v>2</v>
      </c>
      <c r="K8" t="n">
        <v>0</v>
      </c>
      <c r="L8" t="n">
        <v>0</v>
      </c>
      <c r="M8" t="n">
        <v>0</v>
      </c>
      <c r="N8" t="n">
        <v>0</v>
      </c>
      <c r="O8" t="n">
        <v>2</v>
      </c>
      <c r="P8" t="n">
        <v>0</v>
      </c>
      <c r="Q8" t="n">
        <v>8</v>
      </c>
      <c r="R8" s="2" t="inlineStr">
        <is>
          <t>Entita
Talltita
Björksplintborre
Guldlockmossa
Platt fjädermossa
Spillkråka
Kungsfågel
Vanlig snok</t>
        </is>
      </c>
      <c r="S8">
        <f>HYPERLINK("https://klasma.github.io/Logging_1440/artfynd/A 7903-2024 artfynd.xlsx", "A 7903-2024")</f>
        <v/>
      </c>
      <c r="T8">
        <f>HYPERLINK("https://klasma.github.io/Logging_1440/kartor/A 7903-2024 karta.png", "A 7903-2024")</f>
        <v/>
      </c>
      <c r="V8">
        <f>HYPERLINK("https://klasma.github.io/Logging_1440/klagomål/A 7903-2024 FSC-klagomål.docx", "A 7903-2024")</f>
        <v/>
      </c>
      <c r="W8">
        <f>HYPERLINK("https://klasma.github.io/Logging_1440/klagomålsmail/A 7903-2024 FSC-klagomål mail.docx", "A 7903-2024")</f>
        <v/>
      </c>
      <c r="X8">
        <f>HYPERLINK("https://klasma.github.io/Logging_1440/tillsyn/A 7903-2024 tillsynsbegäran.docx", "A 7903-2024")</f>
        <v/>
      </c>
      <c r="Y8">
        <f>HYPERLINK("https://klasma.github.io/Logging_1440/tillsynsmail/A 7903-2024 tillsynsbegäran mail.docx", "A 7903-2024")</f>
        <v/>
      </c>
      <c r="Z8">
        <f>HYPERLINK("https://klasma.github.io/Logging_1440/fåglar/A 7903-2024 prioriterade fågelarter.docx", "A 7903-2024")</f>
        <v/>
      </c>
    </row>
    <row r="9" ht="15" customHeight="1">
      <c r="A9" t="inlineStr">
        <is>
          <t>A 15890-2026</t>
        </is>
      </c>
      <c r="B9" s="1" t="n">
        <v>46107</v>
      </c>
      <c r="C9" s="1" t="n">
        <v>46193</v>
      </c>
      <c r="D9" t="inlineStr">
        <is>
          <t>VÄSTRA GÖTALANDS LÄN</t>
        </is>
      </c>
      <c r="E9" t="inlineStr">
        <is>
          <t>ALE</t>
        </is>
      </c>
      <c r="G9" t="n">
        <v>6.1</v>
      </c>
      <c r="H9" t="n">
        <v>6</v>
      </c>
      <c r="I9" t="n">
        <v>1</v>
      </c>
      <c r="J9" t="n">
        <v>2</v>
      </c>
      <c r="K9" t="n">
        <v>0</v>
      </c>
      <c r="L9" t="n">
        <v>0</v>
      </c>
      <c r="M9" t="n">
        <v>0</v>
      </c>
      <c r="N9" t="n">
        <v>0</v>
      </c>
      <c r="O9" t="n">
        <v>2</v>
      </c>
      <c r="P9" t="n">
        <v>0</v>
      </c>
      <c r="Q9" t="n">
        <v>8</v>
      </c>
      <c r="R9" s="2" t="inlineStr">
        <is>
          <t>Gulsparv
Talltita
Björksplintborre
Spillkråka
Späd frullania
Kungsfågel
Lopplummer (aggregat)
Revlummer</t>
        </is>
      </c>
      <c r="S9">
        <f>HYPERLINK("https://klasma.github.io/Logging_1440/artfynd/A 15890-2026 artfynd.xlsx", "A 15890-2026")</f>
        <v/>
      </c>
      <c r="T9">
        <f>HYPERLINK("https://klasma.github.io/Logging_1440/kartor/A 15890-2026 karta.png", "A 15890-2026")</f>
        <v/>
      </c>
      <c r="V9">
        <f>HYPERLINK("https://klasma.github.io/Logging_1440/klagomål/A 15890-2026 FSC-klagomål.docx", "A 15890-2026")</f>
        <v/>
      </c>
      <c r="W9">
        <f>HYPERLINK("https://klasma.github.io/Logging_1440/klagomålsmail/A 15890-2026 FSC-klagomål mail.docx", "A 15890-2026")</f>
        <v/>
      </c>
      <c r="X9">
        <f>HYPERLINK("https://klasma.github.io/Logging_1440/tillsyn/A 15890-2026 tillsynsbegäran.docx", "A 15890-2026")</f>
        <v/>
      </c>
      <c r="Y9">
        <f>HYPERLINK("https://klasma.github.io/Logging_1440/tillsynsmail/A 15890-2026 tillsynsbegäran mail.docx", "A 15890-2026")</f>
        <v/>
      </c>
      <c r="Z9">
        <f>HYPERLINK("https://klasma.github.io/Logging_1440/fåglar/A 15890-2026 prioriterade fågelarter.docx", "A 15890-2026")</f>
        <v/>
      </c>
    </row>
    <row r="10" ht="15" customHeight="1">
      <c r="A10" t="inlineStr">
        <is>
          <t>A 24162-2025</t>
        </is>
      </c>
      <c r="B10" s="1" t="n">
        <v>45796</v>
      </c>
      <c r="C10" s="1" t="n">
        <v>46193</v>
      </c>
      <c r="D10" t="inlineStr">
        <is>
          <t>VÄSTRA GÖTALANDS LÄN</t>
        </is>
      </c>
      <c r="E10" t="inlineStr">
        <is>
          <t>ALE</t>
        </is>
      </c>
      <c r="G10" t="n">
        <v>5.5</v>
      </c>
      <c r="H10" t="n">
        <v>5</v>
      </c>
      <c r="I10" t="n">
        <v>2</v>
      </c>
      <c r="J10" t="n">
        <v>1</v>
      </c>
      <c r="K10" t="n">
        <v>0</v>
      </c>
      <c r="L10" t="n">
        <v>0</v>
      </c>
      <c r="M10" t="n">
        <v>0</v>
      </c>
      <c r="N10" t="n">
        <v>0</v>
      </c>
      <c r="O10" t="n">
        <v>1</v>
      </c>
      <c r="P10" t="n">
        <v>0</v>
      </c>
      <c r="Q10" t="n">
        <v>7</v>
      </c>
      <c r="R10" s="2" t="inlineStr">
        <is>
          <t>Grönsångare
Blanksvart trämyra
Blåmossa
Spillkråka
Kungsfågel
Trana
Revlummer</t>
        </is>
      </c>
      <c r="S10">
        <f>HYPERLINK("https://klasma.github.io/Logging_1440/artfynd/A 24162-2025 artfynd.xlsx", "A 24162-2025")</f>
        <v/>
      </c>
      <c r="T10">
        <f>HYPERLINK("https://klasma.github.io/Logging_1440/kartor/A 24162-2025 karta.png", "A 24162-2025")</f>
        <v/>
      </c>
      <c r="V10">
        <f>HYPERLINK("https://klasma.github.io/Logging_1440/klagomål/A 24162-2025 FSC-klagomål.docx", "A 24162-2025")</f>
        <v/>
      </c>
      <c r="W10">
        <f>HYPERLINK("https://klasma.github.io/Logging_1440/klagomålsmail/A 24162-2025 FSC-klagomål mail.docx", "A 24162-2025")</f>
        <v/>
      </c>
      <c r="X10">
        <f>HYPERLINK("https://klasma.github.io/Logging_1440/tillsyn/A 24162-2025 tillsynsbegäran.docx", "A 24162-2025")</f>
        <v/>
      </c>
      <c r="Y10">
        <f>HYPERLINK("https://klasma.github.io/Logging_1440/tillsynsmail/A 24162-2025 tillsynsbegäran mail.docx", "A 24162-2025")</f>
        <v/>
      </c>
      <c r="Z10">
        <f>HYPERLINK("https://klasma.github.io/Logging_1440/fåglar/A 24162-2025 prioriterade fågelarter.docx", "A 24162-2025")</f>
        <v/>
      </c>
    </row>
    <row r="11" ht="15" customHeight="1">
      <c r="A11" t="inlineStr">
        <is>
          <t>A 60293-2025</t>
        </is>
      </c>
      <c r="B11" s="1" t="n">
        <v>45994</v>
      </c>
      <c r="C11" s="1" t="n">
        <v>46193</v>
      </c>
      <c r="D11" t="inlineStr">
        <is>
          <t>VÄSTRA GÖTALANDS LÄN</t>
        </is>
      </c>
      <c r="E11" t="inlineStr">
        <is>
          <t>ALE</t>
        </is>
      </c>
      <c r="G11" t="n">
        <v>1.9</v>
      </c>
      <c r="H11" t="n">
        <v>3</v>
      </c>
      <c r="I11" t="n">
        <v>3</v>
      </c>
      <c r="J11" t="n">
        <v>3</v>
      </c>
      <c r="K11" t="n">
        <v>0</v>
      </c>
      <c r="L11" t="n">
        <v>0</v>
      </c>
      <c r="M11" t="n">
        <v>0</v>
      </c>
      <c r="N11" t="n">
        <v>0</v>
      </c>
      <c r="O11" t="n">
        <v>3</v>
      </c>
      <c r="P11" t="n">
        <v>0</v>
      </c>
      <c r="Q11" t="n">
        <v>7</v>
      </c>
      <c r="R11" s="2" t="inlineStr">
        <is>
          <t>Entita
Rödvingetrast
Stor sotdyna
Björksplintborre
Gulnål
Rostfläck
Stjärtmes</t>
        </is>
      </c>
      <c r="S11">
        <f>HYPERLINK("https://klasma.github.io/Logging_1440/artfynd/A 60293-2025 artfynd.xlsx", "A 60293-2025")</f>
        <v/>
      </c>
      <c r="T11">
        <f>HYPERLINK("https://klasma.github.io/Logging_1440/kartor/A 60293-2025 karta.png", "A 60293-2025")</f>
        <v/>
      </c>
      <c r="V11">
        <f>HYPERLINK("https://klasma.github.io/Logging_1440/klagomål/A 60293-2025 FSC-klagomål.docx", "A 60293-2025")</f>
        <v/>
      </c>
      <c r="W11">
        <f>HYPERLINK("https://klasma.github.io/Logging_1440/klagomålsmail/A 60293-2025 FSC-klagomål mail.docx", "A 60293-2025")</f>
        <v/>
      </c>
      <c r="X11">
        <f>HYPERLINK("https://klasma.github.io/Logging_1440/tillsyn/A 60293-2025 tillsynsbegäran.docx", "A 60293-2025")</f>
        <v/>
      </c>
      <c r="Y11">
        <f>HYPERLINK("https://klasma.github.io/Logging_1440/tillsynsmail/A 60293-2025 tillsynsbegäran mail.docx", "A 60293-2025")</f>
        <v/>
      </c>
      <c r="Z11">
        <f>HYPERLINK("https://klasma.github.io/Logging_1440/fåglar/A 60293-2025 prioriterade fågelarter.docx", "A 60293-2025")</f>
        <v/>
      </c>
    </row>
    <row r="12" ht="15" customHeight="1">
      <c r="A12" t="inlineStr">
        <is>
          <t>A 17684-2026</t>
        </is>
      </c>
      <c r="B12" s="1" t="n">
        <v>46121</v>
      </c>
      <c r="C12" s="1" t="n">
        <v>46193</v>
      </c>
      <c r="D12" t="inlineStr">
        <is>
          <t>VÄSTRA GÖTALANDS LÄN</t>
        </is>
      </c>
      <c r="E12" t="inlineStr">
        <is>
          <t>ALE</t>
        </is>
      </c>
      <c r="G12" t="n">
        <v>2.7</v>
      </c>
      <c r="H12" t="n">
        <v>3</v>
      </c>
      <c r="I12" t="n">
        <v>4</v>
      </c>
      <c r="J12" t="n">
        <v>0</v>
      </c>
      <c r="K12" t="n">
        <v>0</v>
      </c>
      <c r="L12" t="n">
        <v>0</v>
      </c>
      <c r="M12" t="n">
        <v>0</v>
      </c>
      <c r="N12" t="n">
        <v>0</v>
      </c>
      <c r="O12" t="n">
        <v>0</v>
      </c>
      <c r="P12" t="n">
        <v>0</v>
      </c>
      <c r="Q12" t="n">
        <v>7</v>
      </c>
      <c r="R12" s="2" t="inlineStr">
        <is>
          <t>Blåmossa
Bronshjon
Havstulpanlav
Vågbandad barkbock
Spillkråka
Lopplummer (aggregat)
Revlummer</t>
        </is>
      </c>
      <c r="S12">
        <f>HYPERLINK("https://klasma.github.io/Logging_1440/artfynd/A 17684-2026 artfynd.xlsx", "A 17684-2026")</f>
        <v/>
      </c>
      <c r="T12">
        <f>HYPERLINK("https://klasma.github.io/Logging_1440/kartor/A 17684-2026 karta.png", "A 17684-2026")</f>
        <v/>
      </c>
      <c r="V12">
        <f>HYPERLINK("https://klasma.github.io/Logging_1440/klagomål/A 17684-2026 FSC-klagomål.docx", "A 17684-2026")</f>
        <v/>
      </c>
      <c r="W12">
        <f>HYPERLINK("https://klasma.github.io/Logging_1440/klagomålsmail/A 17684-2026 FSC-klagomål mail.docx", "A 17684-2026")</f>
        <v/>
      </c>
      <c r="X12">
        <f>HYPERLINK("https://klasma.github.io/Logging_1440/tillsyn/A 17684-2026 tillsynsbegäran.docx", "A 17684-2026")</f>
        <v/>
      </c>
      <c r="Y12">
        <f>HYPERLINK("https://klasma.github.io/Logging_1440/tillsynsmail/A 17684-2026 tillsynsbegäran mail.docx", "A 17684-2026")</f>
        <v/>
      </c>
      <c r="Z12">
        <f>HYPERLINK("https://klasma.github.io/Logging_1440/fåglar/A 17684-2026 prioriterade fågelarter.docx", "A 17684-2026")</f>
        <v/>
      </c>
    </row>
    <row r="13" ht="15" customHeight="1">
      <c r="A13" t="inlineStr">
        <is>
          <t>A 63575-2023</t>
        </is>
      </c>
      <c r="B13" s="1" t="n">
        <v>45275</v>
      </c>
      <c r="C13" s="1" t="n">
        <v>46193</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46193</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46193</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46193</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46193</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46193</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46193</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46193</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46193</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12982-2024</t>
        </is>
      </c>
      <c r="B22" s="1" t="n">
        <v>45385</v>
      </c>
      <c r="C22" s="1" t="n">
        <v>46193</v>
      </c>
      <c r="D22" t="inlineStr">
        <is>
          <t>VÄSTRA GÖTALANDS LÄN</t>
        </is>
      </c>
      <c r="E22" t="inlineStr">
        <is>
          <t>ALE</t>
        </is>
      </c>
      <c r="G22" t="n">
        <v>3.3</v>
      </c>
      <c r="H22" t="n">
        <v>2</v>
      </c>
      <c r="I22" t="n">
        <v>0</v>
      </c>
      <c r="J22" t="n">
        <v>0</v>
      </c>
      <c r="K22" t="n">
        <v>0</v>
      </c>
      <c r="L22" t="n">
        <v>0</v>
      </c>
      <c r="M22" t="n">
        <v>0</v>
      </c>
      <c r="N22" t="n">
        <v>0</v>
      </c>
      <c r="O22" t="n">
        <v>0</v>
      </c>
      <c r="P22" t="n">
        <v>0</v>
      </c>
      <c r="Q22" t="n">
        <v>2</v>
      </c>
      <c r="R22" s="2" t="inlineStr">
        <is>
          <t>Orre
Revlummer</t>
        </is>
      </c>
      <c r="S22">
        <f>HYPERLINK("https://klasma.github.io/Logging_1440/artfynd/A 12982-2024 artfynd.xlsx", "A 12982-2024")</f>
        <v/>
      </c>
      <c r="T22">
        <f>HYPERLINK("https://klasma.github.io/Logging_1440/kartor/A 12982-2024 karta.png", "A 12982-2024")</f>
        <v/>
      </c>
      <c r="V22">
        <f>HYPERLINK("https://klasma.github.io/Logging_1440/klagomål/A 12982-2024 FSC-klagomål.docx", "A 12982-2024")</f>
        <v/>
      </c>
      <c r="W22">
        <f>HYPERLINK("https://klasma.github.io/Logging_1440/klagomålsmail/A 12982-2024 FSC-klagomål mail.docx", "A 12982-2024")</f>
        <v/>
      </c>
      <c r="X22">
        <f>HYPERLINK("https://klasma.github.io/Logging_1440/tillsyn/A 12982-2024 tillsynsbegäran.docx", "A 12982-2024")</f>
        <v/>
      </c>
      <c r="Y22">
        <f>HYPERLINK("https://klasma.github.io/Logging_1440/tillsynsmail/A 12982-2024 tillsynsbegäran mail.docx", "A 12982-2024")</f>
        <v/>
      </c>
      <c r="Z22">
        <f>HYPERLINK("https://klasma.github.io/Logging_1440/fåglar/A 12982-2024 prioriterade fågelarter.docx", "A 12982-2024")</f>
        <v/>
      </c>
    </row>
    <row r="23" ht="15" customHeight="1">
      <c r="A23" t="inlineStr">
        <is>
          <t>A 45986-2021</t>
        </is>
      </c>
      <c r="B23" s="1" t="n">
        <v>44441</v>
      </c>
      <c r="C23" s="1" t="n">
        <v>46193</v>
      </c>
      <c r="D23" t="inlineStr">
        <is>
          <t>VÄSTRA GÖTALANDS LÄN</t>
        </is>
      </c>
      <c r="E23" t="inlineStr">
        <is>
          <t>ALE</t>
        </is>
      </c>
      <c r="G23" t="n">
        <v>1.4</v>
      </c>
      <c r="H23" t="n">
        <v>0</v>
      </c>
      <c r="I23" t="n">
        <v>2</v>
      </c>
      <c r="J23" t="n">
        <v>0</v>
      </c>
      <c r="K23" t="n">
        <v>0</v>
      </c>
      <c r="L23" t="n">
        <v>0</v>
      </c>
      <c r="M23" t="n">
        <v>0</v>
      </c>
      <c r="N23" t="n">
        <v>0</v>
      </c>
      <c r="O23" t="n">
        <v>0</v>
      </c>
      <c r="P23" t="n">
        <v>0</v>
      </c>
      <c r="Q23" t="n">
        <v>2</v>
      </c>
      <c r="R23" s="2" t="inlineStr">
        <is>
          <t>Fällmossa
Västlig hakmossa</t>
        </is>
      </c>
      <c r="S23">
        <f>HYPERLINK("https://klasma.github.io/Logging_1440/artfynd/A 45986-2021 artfynd.xlsx", "A 45986-2021")</f>
        <v/>
      </c>
      <c r="T23">
        <f>HYPERLINK("https://klasma.github.io/Logging_1440/kartor/A 45986-2021 karta.png", "A 45986-2021")</f>
        <v/>
      </c>
      <c r="V23">
        <f>HYPERLINK("https://klasma.github.io/Logging_1440/klagomål/A 45986-2021 FSC-klagomål.docx", "A 45986-2021")</f>
        <v/>
      </c>
      <c r="W23">
        <f>HYPERLINK("https://klasma.github.io/Logging_1440/klagomålsmail/A 45986-2021 FSC-klagomål mail.docx", "A 45986-2021")</f>
        <v/>
      </c>
      <c r="X23">
        <f>HYPERLINK("https://klasma.github.io/Logging_1440/tillsyn/A 45986-2021 tillsynsbegäran.docx", "A 45986-2021")</f>
        <v/>
      </c>
      <c r="Y23">
        <f>HYPERLINK("https://klasma.github.io/Logging_1440/tillsynsmail/A 45986-2021 tillsynsbegäran mail.docx", "A 45986-2021")</f>
        <v/>
      </c>
    </row>
    <row r="24" ht="15" customHeight="1">
      <c r="A24" t="inlineStr">
        <is>
          <t>A 63569-2023</t>
        </is>
      </c>
      <c r="B24" s="1" t="n">
        <v>45275</v>
      </c>
      <c r="C24" s="1" t="n">
        <v>46193</v>
      </c>
      <c r="D24" t="inlineStr">
        <is>
          <t>VÄSTRA GÖTALANDS LÄN</t>
        </is>
      </c>
      <c r="E24" t="inlineStr">
        <is>
          <t>ALE</t>
        </is>
      </c>
      <c r="G24" t="n">
        <v>2.4</v>
      </c>
      <c r="H24" t="n">
        <v>2</v>
      </c>
      <c r="I24" t="n">
        <v>0</v>
      </c>
      <c r="J24" t="n">
        <v>1</v>
      </c>
      <c r="K24" t="n">
        <v>0</v>
      </c>
      <c r="L24" t="n">
        <v>0</v>
      </c>
      <c r="M24" t="n">
        <v>0</v>
      </c>
      <c r="N24" t="n">
        <v>0</v>
      </c>
      <c r="O24" t="n">
        <v>1</v>
      </c>
      <c r="P24" t="n">
        <v>0</v>
      </c>
      <c r="Q24" t="n">
        <v>2</v>
      </c>
      <c r="R24" s="2" t="inlineStr">
        <is>
          <t>Talltita
Spillkråka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2270-2025</t>
        </is>
      </c>
      <c r="B25" s="1" t="n">
        <v>45673</v>
      </c>
      <c r="C25" s="1" t="n">
        <v>46193</v>
      </c>
      <c r="D25" t="inlineStr">
        <is>
          <t>VÄSTRA GÖTALANDS LÄN</t>
        </is>
      </c>
      <c r="E25" t="inlineStr">
        <is>
          <t>ALE</t>
        </is>
      </c>
      <c r="G25" t="n">
        <v>4.1</v>
      </c>
      <c r="H25" t="n">
        <v>2</v>
      </c>
      <c r="I25" t="n">
        <v>0</v>
      </c>
      <c r="J25" t="n">
        <v>0</v>
      </c>
      <c r="K25" t="n">
        <v>0</v>
      </c>
      <c r="L25" t="n">
        <v>0</v>
      </c>
      <c r="M25" t="n">
        <v>0</v>
      </c>
      <c r="N25" t="n">
        <v>0</v>
      </c>
      <c r="O25" t="n">
        <v>0</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v>
      </c>
      <c r="C26" s="1" t="n">
        <v>46193</v>
      </c>
      <c r="D26" t="inlineStr">
        <is>
          <t>VÄSTRA GÖTALANDS LÄN</t>
        </is>
      </c>
      <c r="E26" t="inlineStr">
        <is>
          <t>ALE</t>
        </is>
      </c>
      <c r="G26" t="n">
        <v>6.6</v>
      </c>
      <c r="H26" t="n">
        <v>2</v>
      </c>
      <c r="I26" t="n">
        <v>0</v>
      </c>
      <c r="J26" t="n">
        <v>0</v>
      </c>
      <c r="K26" t="n">
        <v>0</v>
      </c>
      <c r="L26" t="n">
        <v>0</v>
      </c>
      <c r="M26" t="n">
        <v>0</v>
      </c>
      <c r="N26" t="n">
        <v>0</v>
      </c>
      <c r="O26" t="n">
        <v>0</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v>
      </c>
      <c r="C27" s="1" t="n">
        <v>46193</v>
      </c>
      <c r="D27" t="inlineStr">
        <is>
          <t>VÄSTRA GÖTALANDS LÄN</t>
        </is>
      </c>
      <c r="E27" t="inlineStr">
        <is>
          <t>ALE</t>
        </is>
      </c>
      <c r="G27" t="n">
        <v>1.8</v>
      </c>
      <c r="H27" t="n">
        <v>2</v>
      </c>
      <c r="I27" t="n">
        <v>0</v>
      </c>
      <c r="J27" t="n">
        <v>1</v>
      </c>
      <c r="K27" t="n">
        <v>0</v>
      </c>
      <c r="L27" t="n">
        <v>0</v>
      </c>
      <c r="M27" t="n">
        <v>0</v>
      </c>
      <c r="N27" t="n">
        <v>0</v>
      </c>
      <c r="O27" t="n">
        <v>1</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v>
      </c>
      <c r="C28" s="1" t="n">
        <v>46193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46193</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v>
      </c>
      <c r="C30" s="1" t="n">
        <v>46193</v>
      </c>
      <c r="D30" t="inlineStr">
        <is>
          <t>VÄSTRA GÖTALANDS LÄN</t>
        </is>
      </c>
      <c r="E30" t="inlineStr">
        <is>
          <t>ALE</t>
        </is>
      </c>
      <c r="G30" t="n">
        <v>8.6</v>
      </c>
      <c r="H30" t="n">
        <v>1</v>
      </c>
      <c r="I30" t="n">
        <v>1</v>
      </c>
      <c r="J30" t="n">
        <v>0</v>
      </c>
      <c r="K30" t="n">
        <v>0</v>
      </c>
      <c r="L30" t="n">
        <v>0</v>
      </c>
      <c r="M30" t="n">
        <v>0</v>
      </c>
      <c r="N30" t="n">
        <v>0</v>
      </c>
      <c r="O30" t="n">
        <v>0</v>
      </c>
      <c r="P30" t="n">
        <v>0</v>
      </c>
      <c r="Q30" t="n">
        <v>2</v>
      </c>
      <c r="R30" s="2" t="inlineStr">
        <is>
          <t>Blåmossa
Spillkråka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13306-2026</t>
        </is>
      </c>
      <c r="B31" s="1" t="n">
        <v>46094</v>
      </c>
      <c r="C31" s="1" t="n">
        <v>46193</v>
      </c>
      <c r="D31" t="inlineStr">
        <is>
          <t>VÄSTRA GÖTALANDS LÄN</t>
        </is>
      </c>
      <c r="E31" t="inlineStr">
        <is>
          <t>ALE</t>
        </is>
      </c>
      <c r="G31" t="n">
        <v>9.699999999999999</v>
      </c>
      <c r="H31" t="n">
        <v>2</v>
      </c>
      <c r="I31" t="n">
        <v>0</v>
      </c>
      <c r="J31" t="n">
        <v>0</v>
      </c>
      <c r="K31" t="n">
        <v>0</v>
      </c>
      <c r="L31" t="n">
        <v>0</v>
      </c>
      <c r="M31" t="n">
        <v>0</v>
      </c>
      <c r="N31" t="n">
        <v>0</v>
      </c>
      <c r="O31" t="n">
        <v>0</v>
      </c>
      <c r="P31" t="n">
        <v>0</v>
      </c>
      <c r="Q31" t="n">
        <v>2</v>
      </c>
      <c r="R31" s="2" t="inlineStr">
        <is>
          <t>Större vattensalamander
Åkergroda</t>
        </is>
      </c>
      <c r="S31">
        <f>HYPERLINK("https://klasma.github.io/Logging_1440/artfynd/A 13306-2026 artfynd.xlsx", "A 13306-2026")</f>
        <v/>
      </c>
      <c r="T31">
        <f>HYPERLINK("https://klasma.github.io/Logging_1440/kartor/A 13306-2026 karta.png", "A 13306-2026")</f>
        <v/>
      </c>
      <c r="V31">
        <f>HYPERLINK("https://klasma.github.io/Logging_1440/klagomål/A 13306-2026 FSC-klagomål.docx", "A 13306-2026")</f>
        <v/>
      </c>
      <c r="W31">
        <f>HYPERLINK("https://klasma.github.io/Logging_1440/klagomålsmail/A 13306-2026 FSC-klagomål mail.docx", "A 13306-2026")</f>
        <v/>
      </c>
      <c r="X31">
        <f>HYPERLINK("https://klasma.github.io/Logging_1440/tillsyn/A 13306-2026 tillsynsbegäran.docx", "A 13306-2026")</f>
        <v/>
      </c>
      <c r="Y31">
        <f>HYPERLINK("https://klasma.github.io/Logging_1440/tillsynsmail/A 13306-2026 tillsynsbegäran mail.docx", "A 13306-2026")</f>
        <v/>
      </c>
    </row>
    <row r="32" ht="15" customHeight="1">
      <c r="A32" t="inlineStr">
        <is>
          <t>A 3413-2023</t>
        </is>
      </c>
      <c r="B32" s="1" t="n">
        <v>44949</v>
      </c>
      <c r="C32" s="1" t="n">
        <v>46193</v>
      </c>
      <c r="D32" t="inlineStr">
        <is>
          <t>VÄSTRA GÖTALANDS LÄN</t>
        </is>
      </c>
      <c r="E32" t="inlineStr">
        <is>
          <t>ALE</t>
        </is>
      </c>
      <c r="G32" t="n">
        <v>2.3</v>
      </c>
      <c r="H32" t="n">
        <v>2</v>
      </c>
      <c r="I32" t="n">
        <v>0</v>
      </c>
      <c r="J32" t="n">
        <v>0</v>
      </c>
      <c r="K32" t="n">
        <v>0</v>
      </c>
      <c r="L32" t="n">
        <v>0</v>
      </c>
      <c r="M32" t="n">
        <v>0</v>
      </c>
      <c r="N32" t="n">
        <v>0</v>
      </c>
      <c r="O32" t="n">
        <v>0</v>
      </c>
      <c r="P32" t="n">
        <v>0</v>
      </c>
      <c r="Q32" t="n">
        <v>2</v>
      </c>
      <c r="R32" s="2" t="inlineStr">
        <is>
          <t>Vanlig padda
Revlummer</t>
        </is>
      </c>
      <c r="S32">
        <f>HYPERLINK("https://klasma.github.io/Logging_1440/artfynd/A 3413-2023 artfynd.xlsx", "A 3413-2023")</f>
        <v/>
      </c>
      <c r="T32">
        <f>HYPERLINK("https://klasma.github.io/Logging_1440/kartor/A 3413-2023 karta.png", "A 3413-2023")</f>
        <v/>
      </c>
      <c r="V32">
        <f>HYPERLINK("https://klasma.github.io/Logging_1440/klagomål/A 3413-2023 FSC-klagomål.docx", "A 3413-2023")</f>
        <v/>
      </c>
      <c r="W32">
        <f>HYPERLINK("https://klasma.github.io/Logging_1440/klagomålsmail/A 3413-2023 FSC-klagomål mail.docx", "A 3413-2023")</f>
        <v/>
      </c>
      <c r="X32">
        <f>HYPERLINK("https://klasma.github.io/Logging_1440/tillsyn/A 3413-2023 tillsynsbegäran.docx", "A 3413-2023")</f>
        <v/>
      </c>
      <c r="Y32">
        <f>HYPERLINK("https://klasma.github.io/Logging_1440/tillsynsmail/A 3413-2023 tillsynsbegäran mail.docx", "A 3413-2023")</f>
        <v/>
      </c>
    </row>
    <row r="33" ht="15" customHeight="1">
      <c r="A33" t="inlineStr">
        <is>
          <t>A 41607-2022</t>
        </is>
      </c>
      <c r="B33" s="1" t="n">
        <v>44827</v>
      </c>
      <c r="C33" s="1" t="n">
        <v>46193</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14493-2024</t>
        </is>
      </c>
      <c r="B34" s="1" t="n">
        <v>45394</v>
      </c>
      <c r="C34" s="1" t="n">
        <v>46193</v>
      </c>
      <c r="D34" t="inlineStr">
        <is>
          <t>VÄSTRA GÖTALANDS LÄN</t>
        </is>
      </c>
      <c r="E34" t="inlineStr">
        <is>
          <t>ALE</t>
        </is>
      </c>
      <c r="G34" t="n">
        <v>2.3</v>
      </c>
      <c r="H34" t="n">
        <v>1</v>
      </c>
      <c r="I34" t="n">
        <v>0</v>
      </c>
      <c r="J34" t="n">
        <v>0</v>
      </c>
      <c r="K34" t="n">
        <v>0</v>
      </c>
      <c r="L34" t="n">
        <v>0</v>
      </c>
      <c r="M34" t="n">
        <v>0</v>
      </c>
      <c r="N34" t="n">
        <v>0</v>
      </c>
      <c r="O34" t="n">
        <v>0</v>
      </c>
      <c r="P34" t="n">
        <v>0</v>
      </c>
      <c r="Q34" t="n">
        <v>1</v>
      </c>
      <c r="R34" s="2" t="inlineStr">
        <is>
          <t>Orre</t>
        </is>
      </c>
      <c r="S34">
        <f>HYPERLINK("https://klasma.github.io/Logging_1440/artfynd/A 14493-2024 artfynd.xlsx", "A 14493-2024")</f>
        <v/>
      </c>
      <c r="T34">
        <f>HYPERLINK("https://klasma.github.io/Logging_1440/kartor/A 14493-2024 karta.png", "A 14493-2024")</f>
        <v/>
      </c>
      <c r="V34">
        <f>HYPERLINK("https://klasma.github.io/Logging_1440/klagomål/A 14493-2024 FSC-klagomål.docx", "A 14493-2024")</f>
        <v/>
      </c>
      <c r="W34">
        <f>HYPERLINK("https://klasma.github.io/Logging_1440/klagomålsmail/A 14493-2024 FSC-klagomål mail.docx", "A 14493-2024")</f>
        <v/>
      </c>
      <c r="X34">
        <f>HYPERLINK("https://klasma.github.io/Logging_1440/tillsyn/A 14493-2024 tillsynsbegäran.docx", "A 14493-2024")</f>
        <v/>
      </c>
      <c r="Y34">
        <f>HYPERLINK("https://klasma.github.io/Logging_1440/tillsynsmail/A 14493-2024 tillsynsbegäran mail.docx", "A 14493-2024")</f>
        <v/>
      </c>
      <c r="Z34">
        <f>HYPERLINK("https://klasma.github.io/Logging_1440/fåglar/A 14493-2024 prioriterade fågelarter.docx", "A 14493-2024")</f>
        <v/>
      </c>
    </row>
    <row r="35" ht="15" customHeight="1">
      <c r="A35" t="inlineStr">
        <is>
          <t>A 4363-2024</t>
        </is>
      </c>
      <c r="B35" s="1" t="n">
        <v>45325</v>
      </c>
      <c r="C35" s="1" t="n">
        <v>46193</v>
      </c>
      <c r="D35" t="inlineStr">
        <is>
          <t>VÄSTRA GÖTALANDS LÄN</t>
        </is>
      </c>
      <c r="E35" t="inlineStr">
        <is>
          <t>ALE</t>
        </is>
      </c>
      <c r="G35" t="n">
        <v>0.6</v>
      </c>
      <c r="H35" t="n">
        <v>1</v>
      </c>
      <c r="I35" t="n">
        <v>0</v>
      </c>
      <c r="J35" t="n">
        <v>0</v>
      </c>
      <c r="K35" t="n">
        <v>0</v>
      </c>
      <c r="L35" t="n">
        <v>0</v>
      </c>
      <c r="M35" t="n">
        <v>0</v>
      </c>
      <c r="N35" t="n">
        <v>0</v>
      </c>
      <c r="O35" t="n">
        <v>0</v>
      </c>
      <c r="P35" t="n">
        <v>0</v>
      </c>
      <c r="Q35" t="n">
        <v>1</v>
      </c>
      <c r="R35" s="2" t="inlineStr">
        <is>
          <t>Spillkråka</t>
        </is>
      </c>
      <c r="S35">
        <f>HYPERLINK("https://klasma.github.io/Logging_1440/artfynd/A 4363-2024 artfynd.xlsx", "A 4363-2024")</f>
        <v/>
      </c>
      <c r="T35">
        <f>HYPERLINK("https://klasma.github.io/Logging_1440/kartor/A 4363-2024 karta.png", "A 4363-2024")</f>
        <v/>
      </c>
      <c r="V35">
        <f>HYPERLINK("https://klasma.github.io/Logging_1440/klagomål/A 4363-2024 FSC-klagomål.docx", "A 4363-2024")</f>
        <v/>
      </c>
      <c r="W35">
        <f>HYPERLINK("https://klasma.github.io/Logging_1440/klagomålsmail/A 4363-2024 FSC-klagomål mail.docx", "A 4363-2024")</f>
        <v/>
      </c>
      <c r="X35">
        <f>HYPERLINK("https://klasma.github.io/Logging_1440/tillsyn/A 4363-2024 tillsynsbegäran.docx", "A 4363-2024")</f>
        <v/>
      </c>
      <c r="Y35">
        <f>HYPERLINK("https://klasma.github.io/Logging_1440/tillsynsmail/A 4363-2024 tillsynsbegäran mail.docx", "A 4363-2024")</f>
        <v/>
      </c>
      <c r="Z35">
        <f>HYPERLINK("https://klasma.github.io/Logging_1440/fåglar/A 4363-2024 prioriterade fågelarter.docx", "A 4363-2024")</f>
        <v/>
      </c>
    </row>
    <row r="36" ht="15" customHeight="1">
      <c r="A36" t="inlineStr">
        <is>
          <t>A 200-2022</t>
        </is>
      </c>
      <c r="B36" s="1" t="n">
        <v>44564</v>
      </c>
      <c r="C36" s="1" t="n">
        <v>46193</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52423-2025</t>
        </is>
      </c>
      <c r="B37" s="1" t="n">
        <v>45954</v>
      </c>
      <c r="C37" s="1" t="n">
        <v>46193</v>
      </c>
      <c r="D37" t="inlineStr">
        <is>
          <t>VÄSTRA GÖTALANDS LÄN</t>
        </is>
      </c>
      <c r="E37" t="inlineStr">
        <is>
          <t>ALE</t>
        </is>
      </c>
      <c r="G37" t="n">
        <v>4.1</v>
      </c>
      <c r="H37" t="n">
        <v>1</v>
      </c>
      <c r="I37" t="n">
        <v>0</v>
      </c>
      <c r="J37" t="n">
        <v>0</v>
      </c>
      <c r="K37" t="n">
        <v>0</v>
      </c>
      <c r="L37" t="n">
        <v>0</v>
      </c>
      <c r="M37" t="n">
        <v>0</v>
      </c>
      <c r="N37" t="n">
        <v>0</v>
      </c>
      <c r="O37" t="n">
        <v>0</v>
      </c>
      <c r="P37" t="n">
        <v>0</v>
      </c>
      <c r="Q37" t="n">
        <v>1</v>
      </c>
      <c r="R37" s="2" t="inlineStr">
        <is>
          <t>Trana</t>
        </is>
      </c>
      <c r="S37">
        <f>HYPERLINK("https://klasma.github.io/Logging_1440/artfynd/A 52423-2025 artfynd.xlsx", "A 52423-2025")</f>
        <v/>
      </c>
      <c r="T37">
        <f>HYPERLINK("https://klasma.github.io/Logging_1440/kartor/A 52423-2025 karta.png", "A 52423-2025")</f>
        <v/>
      </c>
      <c r="V37">
        <f>HYPERLINK("https://klasma.github.io/Logging_1440/klagomål/A 52423-2025 FSC-klagomål.docx", "A 52423-2025")</f>
        <v/>
      </c>
      <c r="W37">
        <f>HYPERLINK("https://klasma.github.io/Logging_1440/klagomålsmail/A 52423-2025 FSC-klagomål mail.docx", "A 52423-2025")</f>
        <v/>
      </c>
      <c r="X37">
        <f>HYPERLINK("https://klasma.github.io/Logging_1440/tillsyn/A 52423-2025 tillsynsbegäran.docx", "A 52423-2025")</f>
        <v/>
      </c>
      <c r="Y37">
        <f>HYPERLINK("https://klasma.github.io/Logging_1440/tillsynsmail/A 52423-2025 tillsynsbegäran mail.docx", "A 52423-2025")</f>
        <v/>
      </c>
      <c r="Z37">
        <f>HYPERLINK("https://klasma.github.io/Logging_1440/fåglar/A 52423-2025 prioriterade fågelarter.docx", "A 52423-2025")</f>
        <v/>
      </c>
    </row>
    <row r="38" ht="15" customHeight="1">
      <c r="A38" t="inlineStr">
        <is>
          <t>A 26677-2025</t>
        </is>
      </c>
      <c r="B38" s="1" t="n">
        <v>45810</v>
      </c>
      <c r="C38" s="1" t="n">
        <v>46193</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5344-2024</t>
        </is>
      </c>
      <c r="B39" s="1" t="n">
        <v>45331</v>
      </c>
      <c r="C39" s="1" t="n">
        <v>46193</v>
      </c>
      <c r="D39" t="inlineStr">
        <is>
          <t>VÄSTRA GÖTALANDS LÄN</t>
        </is>
      </c>
      <c r="E39" t="inlineStr">
        <is>
          <t>ALE</t>
        </is>
      </c>
      <c r="G39" t="n">
        <v>2.5</v>
      </c>
      <c r="H39" t="n">
        <v>0</v>
      </c>
      <c r="I39" t="n">
        <v>1</v>
      </c>
      <c r="J39" t="n">
        <v>0</v>
      </c>
      <c r="K39" t="n">
        <v>0</v>
      </c>
      <c r="L39" t="n">
        <v>0</v>
      </c>
      <c r="M39" t="n">
        <v>0</v>
      </c>
      <c r="N39" t="n">
        <v>0</v>
      </c>
      <c r="O39" t="n">
        <v>0</v>
      </c>
      <c r="P39" t="n">
        <v>0</v>
      </c>
      <c r="Q39" t="n">
        <v>1</v>
      </c>
      <c r="R39" s="2" t="inlineStr">
        <is>
          <t>Blåmossa</t>
        </is>
      </c>
      <c r="S39">
        <f>HYPERLINK("https://klasma.github.io/Logging_1440/artfynd/A 5344-2024 artfynd.xlsx", "A 5344-2024")</f>
        <v/>
      </c>
      <c r="T39">
        <f>HYPERLINK("https://klasma.github.io/Logging_1440/kartor/A 5344-2024 karta.png", "A 5344-2024")</f>
        <v/>
      </c>
      <c r="V39">
        <f>HYPERLINK("https://klasma.github.io/Logging_1440/klagomål/A 5344-2024 FSC-klagomål.docx", "A 5344-2024")</f>
        <v/>
      </c>
      <c r="W39">
        <f>HYPERLINK("https://klasma.github.io/Logging_1440/klagomålsmail/A 5344-2024 FSC-klagomål mail.docx", "A 5344-2024")</f>
        <v/>
      </c>
      <c r="X39">
        <f>HYPERLINK("https://klasma.github.io/Logging_1440/tillsyn/A 5344-2024 tillsynsbegäran.docx", "A 5344-2024")</f>
        <v/>
      </c>
      <c r="Y39">
        <f>HYPERLINK("https://klasma.github.io/Logging_1440/tillsynsmail/A 5344-2024 tillsynsbegäran mail.docx", "A 5344-2024")</f>
        <v/>
      </c>
    </row>
    <row r="40" ht="15" customHeight="1">
      <c r="A40" t="inlineStr">
        <is>
          <t>A 13902-2025</t>
        </is>
      </c>
      <c r="B40" s="1" t="n">
        <v>45737</v>
      </c>
      <c r="C40" s="1" t="n">
        <v>46193</v>
      </c>
      <c r="D40" t="inlineStr">
        <is>
          <t>VÄSTRA GÖTALANDS LÄN</t>
        </is>
      </c>
      <c r="E40" t="inlineStr">
        <is>
          <t>ALE</t>
        </is>
      </c>
      <c r="G40" t="n">
        <v>1.4</v>
      </c>
      <c r="H40" t="n">
        <v>1</v>
      </c>
      <c r="I40" t="n">
        <v>0</v>
      </c>
      <c r="J40" t="n">
        <v>0</v>
      </c>
      <c r="K40" t="n">
        <v>0</v>
      </c>
      <c r="L40" t="n">
        <v>0</v>
      </c>
      <c r="M40" t="n">
        <v>0</v>
      </c>
      <c r="N40" t="n">
        <v>0</v>
      </c>
      <c r="O40" t="n">
        <v>0</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41598-2022</t>
        </is>
      </c>
      <c r="B41" s="1" t="n">
        <v>44827</v>
      </c>
      <c r="C41" s="1" t="n">
        <v>46193</v>
      </c>
      <c r="D41" t="inlineStr">
        <is>
          <t>VÄSTRA GÖTALANDS LÄN</t>
        </is>
      </c>
      <c r="E41" t="inlineStr">
        <is>
          <t>ALE</t>
        </is>
      </c>
      <c r="G41" t="n">
        <v>2</v>
      </c>
      <c r="H41" t="n">
        <v>1</v>
      </c>
      <c r="I41" t="n">
        <v>0</v>
      </c>
      <c r="J41" t="n">
        <v>0</v>
      </c>
      <c r="K41" t="n">
        <v>0</v>
      </c>
      <c r="L41" t="n">
        <v>0</v>
      </c>
      <c r="M41" t="n">
        <v>0</v>
      </c>
      <c r="N41" t="n">
        <v>0</v>
      </c>
      <c r="O41" t="n">
        <v>0</v>
      </c>
      <c r="P41" t="n">
        <v>0</v>
      </c>
      <c r="Q41" t="n">
        <v>1</v>
      </c>
      <c r="R41" s="2" t="inlineStr">
        <is>
          <t>Grönvit nattviol</t>
        </is>
      </c>
      <c r="S41">
        <f>HYPERLINK("https://klasma.github.io/Logging_1440/artfynd/A 41598-2022 artfynd.xlsx", "A 41598-2022")</f>
        <v/>
      </c>
      <c r="T41">
        <f>HYPERLINK("https://klasma.github.io/Logging_1440/kartor/A 41598-2022 karta.png", "A 41598-2022")</f>
        <v/>
      </c>
      <c r="V41">
        <f>HYPERLINK("https://klasma.github.io/Logging_1440/klagomål/A 41598-2022 FSC-klagomål.docx", "A 41598-2022")</f>
        <v/>
      </c>
      <c r="W41">
        <f>HYPERLINK("https://klasma.github.io/Logging_1440/klagomålsmail/A 41598-2022 FSC-klagomål mail.docx", "A 41598-2022")</f>
        <v/>
      </c>
      <c r="X41">
        <f>HYPERLINK("https://klasma.github.io/Logging_1440/tillsyn/A 41598-2022 tillsynsbegäran.docx", "A 41598-2022")</f>
        <v/>
      </c>
      <c r="Y41">
        <f>HYPERLINK("https://klasma.github.io/Logging_1440/tillsynsmail/A 41598-2022 tillsynsbegäran mail.docx", "A 41598-2022")</f>
        <v/>
      </c>
    </row>
    <row r="42" ht="15" customHeight="1">
      <c r="A42" t="inlineStr">
        <is>
          <t>A 26493-2024</t>
        </is>
      </c>
      <c r="B42" s="1" t="n">
        <v>45469</v>
      </c>
      <c r="C42" s="1" t="n">
        <v>46193</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62524-2025</t>
        </is>
      </c>
      <c r="B43" s="1" t="n">
        <v>46007</v>
      </c>
      <c r="C43" s="1" t="n">
        <v>46193</v>
      </c>
      <c r="D43" t="inlineStr">
        <is>
          <t>VÄSTRA GÖTALANDS LÄN</t>
        </is>
      </c>
      <c r="E43" t="inlineStr">
        <is>
          <t>ALE</t>
        </is>
      </c>
      <c r="G43" t="n">
        <v>8</v>
      </c>
      <c r="H43" t="n">
        <v>1</v>
      </c>
      <c r="I43" t="n">
        <v>0</v>
      </c>
      <c r="J43" t="n">
        <v>0</v>
      </c>
      <c r="K43" t="n">
        <v>0</v>
      </c>
      <c r="L43" t="n">
        <v>0</v>
      </c>
      <c r="M43" t="n">
        <v>0</v>
      </c>
      <c r="N43" t="n">
        <v>0</v>
      </c>
      <c r="O43" t="n">
        <v>0</v>
      </c>
      <c r="P43" t="n">
        <v>0</v>
      </c>
      <c r="Q43" t="n">
        <v>1</v>
      </c>
      <c r="R43" s="2" t="inlineStr">
        <is>
          <t>Revlummer</t>
        </is>
      </c>
      <c r="S43">
        <f>HYPERLINK("https://klasma.github.io/Logging_1440/artfynd/A 62524-2025 artfynd.xlsx", "A 62524-2025")</f>
        <v/>
      </c>
      <c r="T43">
        <f>HYPERLINK("https://klasma.github.io/Logging_1440/kartor/A 62524-2025 karta.png", "A 62524-2025")</f>
        <v/>
      </c>
      <c r="V43">
        <f>HYPERLINK("https://klasma.github.io/Logging_1440/klagomål/A 62524-2025 FSC-klagomål.docx", "A 62524-2025")</f>
        <v/>
      </c>
      <c r="W43">
        <f>HYPERLINK("https://klasma.github.io/Logging_1440/klagomålsmail/A 62524-2025 FSC-klagomål mail.docx", "A 62524-2025")</f>
        <v/>
      </c>
      <c r="X43">
        <f>HYPERLINK("https://klasma.github.io/Logging_1440/tillsyn/A 62524-2025 tillsynsbegäran.docx", "A 62524-2025")</f>
        <v/>
      </c>
      <c r="Y43">
        <f>HYPERLINK("https://klasma.github.io/Logging_1440/tillsynsmail/A 62524-2025 tillsynsbegäran mail.docx", "A 62524-2025")</f>
        <v/>
      </c>
    </row>
    <row r="44" ht="15" customHeight="1">
      <c r="A44" t="inlineStr">
        <is>
          <t>A 33237-2024</t>
        </is>
      </c>
      <c r="B44" s="1" t="n">
        <v>45518</v>
      </c>
      <c r="C44" s="1" t="n">
        <v>46193</v>
      </c>
      <c r="D44" t="inlineStr">
        <is>
          <t>VÄSTRA GÖTALANDS LÄN</t>
        </is>
      </c>
      <c r="E44" t="inlineStr">
        <is>
          <t>ALE</t>
        </is>
      </c>
      <c r="G44" t="n">
        <v>0.6</v>
      </c>
      <c r="H44" t="n">
        <v>0</v>
      </c>
      <c r="I44" t="n">
        <v>0</v>
      </c>
      <c r="J44" t="n">
        <v>0</v>
      </c>
      <c r="K44" t="n">
        <v>1</v>
      </c>
      <c r="L44" t="n">
        <v>0</v>
      </c>
      <c r="M44" t="n">
        <v>0</v>
      </c>
      <c r="N44" t="n">
        <v>0</v>
      </c>
      <c r="O44" t="n">
        <v>1</v>
      </c>
      <c r="P44" t="n">
        <v>1</v>
      </c>
      <c r="Q44" t="n">
        <v>1</v>
      </c>
      <c r="R44" s="2" t="inlineStr">
        <is>
          <t>Igelkott</t>
        </is>
      </c>
      <c r="S44">
        <f>HYPERLINK("https://klasma.github.io/Logging_1440/artfynd/A 33237-2024 artfynd.xlsx", "A 33237-2024")</f>
        <v/>
      </c>
      <c r="T44">
        <f>HYPERLINK("https://klasma.github.io/Logging_1440/kartor/A 33237-2024 karta.png", "A 33237-2024")</f>
        <v/>
      </c>
      <c r="V44">
        <f>HYPERLINK("https://klasma.github.io/Logging_1440/klagomål/A 33237-2024 FSC-klagomål.docx", "A 33237-2024")</f>
        <v/>
      </c>
      <c r="W44">
        <f>HYPERLINK("https://klasma.github.io/Logging_1440/klagomålsmail/A 33237-2024 FSC-klagomål mail.docx", "A 33237-2024")</f>
        <v/>
      </c>
      <c r="X44">
        <f>HYPERLINK("https://klasma.github.io/Logging_1440/tillsyn/A 33237-2024 tillsynsbegäran.docx", "A 33237-2024")</f>
        <v/>
      </c>
      <c r="Y44">
        <f>HYPERLINK("https://klasma.github.io/Logging_1440/tillsynsmail/A 33237-2024 tillsynsbegäran mail.docx", "A 33237-2024")</f>
        <v/>
      </c>
    </row>
    <row r="45" ht="15" customHeight="1">
      <c r="A45" t="inlineStr">
        <is>
          <t>A 8659-2025</t>
        </is>
      </c>
      <c r="B45" s="1" t="n">
        <v>45712</v>
      </c>
      <c r="C45" s="1" t="n">
        <v>46193</v>
      </c>
      <c r="D45" t="inlineStr">
        <is>
          <t>VÄSTRA GÖTALANDS LÄN</t>
        </is>
      </c>
      <c r="E45" t="inlineStr">
        <is>
          <t>ALE</t>
        </is>
      </c>
      <c r="G45" t="n">
        <v>5.7</v>
      </c>
      <c r="H45" t="n">
        <v>1</v>
      </c>
      <c r="I45" t="n">
        <v>0</v>
      </c>
      <c r="J45" t="n">
        <v>0</v>
      </c>
      <c r="K45" t="n">
        <v>0</v>
      </c>
      <c r="L45" t="n">
        <v>0</v>
      </c>
      <c r="M45" t="n">
        <v>0</v>
      </c>
      <c r="N45" t="n">
        <v>0</v>
      </c>
      <c r="O45" t="n">
        <v>0</v>
      </c>
      <c r="P45" t="n">
        <v>0</v>
      </c>
      <c r="Q45" t="n">
        <v>1</v>
      </c>
      <c r="R45" s="2" t="inlineStr">
        <is>
          <t>Kungsfågel</t>
        </is>
      </c>
      <c r="S45">
        <f>HYPERLINK("https://klasma.github.io/Logging_1440/artfynd/A 8659-2025 artfynd.xlsx", "A 8659-2025")</f>
        <v/>
      </c>
      <c r="T45">
        <f>HYPERLINK("https://klasma.github.io/Logging_1440/kartor/A 8659-2025 karta.png", "A 8659-2025")</f>
        <v/>
      </c>
      <c r="V45">
        <f>HYPERLINK("https://klasma.github.io/Logging_1440/klagomål/A 8659-2025 FSC-klagomål.docx", "A 8659-2025")</f>
        <v/>
      </c>
      <c r="W45">
        <f>HYPERLINK("https://klasma.github.io/Logging_1440/klagomålsmail/A 8659-2025 FSC-klagomål mail.docx", "A 8659-2025")</f>
        <v/>
      </c>
      <c r="X45">
        <f>HYPERLINK("https://klasma.github.io/Logging_1440/tillsyn/A 8659-2025 tillsynsbegäran.docx", "A 8659-2025")</f>
        <v/>
      </c>
      <c r="Y45">
        <f>HYPERLINK("https://klasma.github.io/Logging_1440/tillsynsmail/A 8659-2025 tillsynsbegäran mail.docx", "A 8659-2025")</f>
        <v/>
      </c>
      <c r="Z45">
        <f>HYPERLINK("https://klasma.github.io/Logging_1440/fåglar/A 8659-2025 prioriterade fågelarter.docx", "A 8659-2025")</f>
        <v/>
      </c>
    </row>
    <row r="46" ht="15" customHeight="1">
      <c r="A46" t="inlineStr">
        <is>
          <t>A 9783-2026</t>
        </is>
      </c>
      <c r="B46" s="1" t="n">
        <v>46072</v>
      </c>
      <c r="C46" s="1" t="n">
        <v>46193</v>
      </c>
      <c r="D46" t="inlineStr">
        <is>
          <t>VÄSTRA GÖTALANDS LÄN</t>
        </is>
      </c>
      <c r="E46" t="inlineStr">
        <is>
          <t>ALE</t>
        </is>
      </c>
      <c r="G46" t="n">
        <v>4.9</v>
      </c>
      <c r="H46" t="n">
        <v>1</v>
      </c>
      <c r="I46" t="n">
        <v>0</v>
      </c>
      <c r="J46" t="n">
        <v>0</v>
      </c>
      <c r="K46" t="n">
        <v>0</v>
      </c>
      <c r="L46" t="n">
        <v>0</v>
      </c>
      <c r="M46" t="n">
        <v>0</v>
      </c>
      <c r="N46" t="n">
        <v>0</v>
      </c>
      <c r="O46" t="n">
        <v>0</v>
      </c>
      <c r="P46" t="n">
        <v>0</v>
      </c>
      <c r="Q46" t="n">
        <v>1</v>
      </c>
      <c r="R46" s="2" t="inlineStr">
        <is>
          <t>Lopplummer (aggregat)</t>
        </is>
      </c>
      <c r="S46">
        <f>HYPERLINK("https://klasma.github.io/Logging_1440/artfynd/A 9783-2026 artfynd.xlsx", "A 9783-2026")</f>
        <v/>
      </c>
      <c r="T46">
        <f>HYPERLINK("https://klasma.github.io/Logging_1440/kartor/A 9783-2026 karta.png", "A 9783-2026")</f>
        <v/>
      </c>
      <c r="V46">
        <f>HYPERLINK("https://klasma.github.io/Logging_1440/klagomål/A 9783-2026 FSC-klagomål.docx", "A 9783-2026")</f>
        <v/>
      </c>
      <c r="W46">
        <f>HYPERLINK("https://klasma.github.io/Logging_1440/klagomålsmail/A 9783-2026 FSC-klagomål mail.docx", "A 9783-2026")</f>
        <v/>
      </c>
      <c r="X46">
        <f>HYPERLINK("https://klasma.github.io/Logging_1440/tillsyn/A 9783-2026 tillsynsbegäran.docx", "A 9783-2026")</f>
        <v/>
      </c>
      <c r="Y46">
        <f>HYPERLINK("https://klasma.github.io/Logging_1440/tillsynsmail/A 9783-2026 tillsynsbegäran mail.docx", "A 9783-2026")</f>
        <v/>
      </c>
    </row>
    <row r="47" ht="15" customHeight="1">
      <c r="A47" t="inlineStr">
        <is>
          <t>A 17355-2026</t>
        </is>
      </c>
      <c r="B47" s="1" t="n">
        <v>46119</v>
      </c>
      <c r="C47" s="1" t="n">
        <v>46193</v>
      </c>
      <c r="D47" t="inlineStr">
        <is>
          <t>VÄSTRA GÖTALANDS LÄN</t>
        </is>
      </c>
      <c r="E47" t="inlineStr">
        <is>
          <t>ALE</t>
        </is>
      </c>
      <c r="G47" t="n">
        <v>1.1</v>
      </c>
      <c r="H47" t="n">
        <v>1</v>
      </c>
      <c r="I47" t="n">
        <v>0</v>
      </c>
      <c r="J47" t="n">
        <v>0</v>
      </c>
      <c r="K47" t="n">
        <v>0</v>
      </c>
      <c r="L47" t="n">
        <v>0</v>
      </c>
      <c r="M47" t="n">
        <v>0</v>
      </c>
      <c r="N47" t="n">
        <v>0</v>
      </c>
      <c r="O47" t="n">
        <v>0</v>
      </c>
      <c r="P47" t="n">
        <v>0</v>
      </c>
      <c r="Q47" t="n">
        <v>1</v>
      </c>
      <c r="R47" s="2" t="inlineStr">
        <is>
          <t>Skogsödla</t>
        </is>
      </c>
      <c r="S47">
        <f>HYPERLINK("https://klasma.github.io/Logging_1440/artfynd/A 17355-2026 artfynd.xlsx", "A 17355-2026")</f>
        <v/>
      </c>
      <c r="T47">
        <f>HYPERLINK("https://klasma.github.io/Logging_1440/kartor/A 17355-2026 karta.png", "A 17355-2026")</f>
        <v/>
      </c>
      <c r="V47">
        <f>HYPERLINK("https://klasma.github.io/Logging_1440/klagomål/A 17355-2026 FSC-klagomål.docx", "A 17355-2026")</f>
        <v/>
      </c>
      <c r="W47">
        <f>HYPERLINK("https://klasma.github.io/Logging_1440/klagomålsmail/A 17355-2026 FSC-klagomål mail.docx", "A 17355-2026")</f>
        <v/>
      </c>
      <c r="X47">
        <f>HYPERLINK("https://klasma.github.io/Logging_1440/tillsyn/A 17355-2026 tillsynsbegäran.docx", "A 17355-2026")</f>
        <v/>
      </c>
      <c r="Y47">
        <f>HYPERLINK("https://klasma.github.io/Logging_1440/tillsynsmail/A 17355-2026 tillsynsbegäran mail.docx", "A 17355-2026")</f>
        <v/>
      </c>
    </row>
    <row r="48" ht="15" customHeight="1">
      <c r="A48" t="inlineStr">
        <is>
          <t>A 62855-2021</t>
        </is>
      </c>
      <c r="B48" s="1" t="n">
        <v>44504</v>
      </c>
      <c r="C48" s="1" t="n">
        <v>46193</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46193</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46193</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46193</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46193</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46193</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46193</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46193</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46193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46193</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v>
      </c>
      <c r="C58" s="1" t="n">
        <v>46193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1960-2024</t>
        </is>
      </c>
      <c r="B59" s="1" t="n">
        <v>45308</v>
      </c>
      <c r="C59" s="1" t="n">
        <v>46193</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3418-2023</t>
        </is>
      </c>
      <c r="B60" s="1" t="n">
        <v>44949</v>
      </c>
      <c r="C60" s="1" t="n">
        <v>46193</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65226-2021</t>
        </is>
      </c>
      <c r="B61" s="1" t="n">
        <v>44515</v>
      </c>
      <c r="C61" s="1" t="n">
        <v>46193</v>
      </c>
      <c r="D61" t="inlineStr">
        <is>
          <t>VÄSTRA GÖTALANDS LÄN</t>
        </is>
      </c>
      <c r="E61" t="inlineStr">
        <is>
          <t>ALE</t>
        </is>
      </c>
      <c r="G61" t="n">
        <v>0.7</v>
      </c>
      <c r="H61" t="n">
        <v>0</v>
      </c>
      <c r="I61" t="n">
        <v>0</v>
      </c>
      <c r="J61" t="n">
        <v>0</v>
      </c>
      <c r="K61" t="n">
        <v>0</v>
      </c>
      <c r="L61" t="n">
        <v>0</v>
      </c>
      <c r="M61" t="n">
        <v>0</v>
      </c>
      <c r="N61" t="n">
        <v>0</v>
      </c>
      <c r="O61" t="n">
        <v>0</v>
      </c>
      <c r="P61" t="n">
        <v>0</v>
      </c>
      <c r="Q61" t="n">
        <v>0</v>
      </c>
      <c r="R61" s="2" t="inlineStr"/>
    </row>
    <row r="62" ht="15" customHeight="1">
      <c r="A62" t="inlineStr">
        <is>
          <t>A 15508-2022</t>
        </is>
      </c>
      <c r="B62" s="1" t="n">
        <v>44662</v>
      </c>
      <c r="C62" s="1" t="n">
        <v>46193</v>
      </c>
      <c r="D62" t="inlineStr">
        <is>
          <t>VÄSTRA GÖTALANDS LÄN</t>
        </is>
      </c>
      <c r="E62" t="inlineStr">
        <is>
          <t>ALE</t>
        </is>
      </c>
      <c r="G62" t="n">
        <v>0.4</v>
      </c>
      <c r="H62" t="n">
        <v>0</v>
      </c>
      <c r="I62" t="n">
        <v>0</v>
      </c>
      <c r="J62" t="n">
        <v>0</v>
      </c>
      <c r="K62" t="n">
        <v>0</v>
      </c>
      <c r="L62" t="n">
        <v>0</v>
      </c>
      <c r="M62" t="n">
        <v>0</v>
      </c>
      <c r="N62" t="n">
        <v>0</v>
      </c>
      <c r="O62" t="n">
        <v>0</v>
      </c>
      <c r="P62" t="n">
        <v>0</v>
      </c>
      <c r="Q62" t="n">
        <v>0</v>
      </c>
      <c r="R62" s="2" t="inlineStr"/>
    </row>
    <row r="63" ht="15" customHeight="1">
      <c r="A63" t="inlineStr">
        <is>
          <t>A 12055-2022</t>
        </is>
      </c>
      <c r="B63" s="1" t="n">
        <v>44636</v>
      </c>
      <c r="C63" s="1" t="n">
        <v>46193</v>
      </c>
      <c r="D63" t="inlineStr">
        <is>
          <t>VÄSTRA GÖTALANDS LÄN</t>
        </is>
      </c>
      <c r="E63" t="inlineStr">
        <is>
          <t>ALE</t>
        </is>
      </c>
      <c r="G63" t="n">
        <v>0.2</v>
      </c>
      <c r="H63" t="n">
        <v>0</v>
      </c>
      <c r="I63" t="n">
        <v>0</v>
      </c>
      <c r="J63" t="n">
        <v>0</v>
      </c>
      <c r="K63" t="n">
        <v>0</v>
      </c>
      <c r="L63" t="n">
        <v>0</v>
      </c>
      <c r="M63" t="n">
        <v>0</v>
      </c>
      <c r="N63" t="n">
        <v>0</v>
      </c>
      <c r="O63" t="n">
        <v>0</v>
      </c>
      <c r="P63" t="n">
        <v>0</v>
      </c>
      <c r="Q63" t="n">
        <v>0</v>
      </c>
      <c r="R63" s="2" t="inlineStr"/>
    </row>
    <row r="64" ht="15" customHeight="1">
      <c r="A64" t="inlineStr">
        <is>
          <t>A 31566-2021</t>
        </is>
      </c>
      <c r="B64" s="1" t="n">
        <v>44369</v>
      </c>
      <c r="C64" s="1" t="n">
        <v>46193</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36403-2024</t>
        </is>
      </c>
      <c r="B65" s="1" t="n">
        <v>45535</v>
      </c>
      <c r="C65" s="1" t="n">
        <v>46193</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3457-2022</t>
        </is>
      </c>
      <c r="B66" s="1" t="n">
        <v>44585</v>
      </c>
      <c r="C66" s="1" t="n">
        <v>46193</v>
      </c>
      <c r="D66" t="inlineStr">
        <is>
          <t>VÄSTRA GÖTALANDS LÄN</t>
        </is>
      </c>
      <c r="E66" t="inlineStr">
        <is>
          <t>ALE</t>
        </is>
      </c>
      <c r="G66" t="n">
        <v>5.1</v>
      </c>
      <c r="H66" t="n">
        <v>0</v>
      </c>
      <c r="I66" t="n">
        <v>0</v>
      </c>
      <c r="J66" t="n">
        <v>0</v>
      </c>
      <c r="K66" t="n">
        <v>0</v>
      </c>
      <c r="L66" t="n">
        <v>0</v>
      </c>
      <c r="M66" t="n">
        <v>0</v>
      </c>
      <c r="N66" t="n">
        <v>0</v>
      </c>
      <c r="O66" t="n">
        <v>0</v>
      </c>
      <c r="P66" t="n">
        <v>0</v>
      </c>
      <c r="Q66" t="n">
        <v>0</v>
      </c>
      <c r="R66" s="2" t="inlineStr"/>
    </row>
    <row r="67" ht="15" customHeight="1">
      <c r="A67" t="inlineStr">
        <is>
          <t>A 55405-2021</t>
        </is>
      </c>
      <c r="B67" s="1" t="n">
        <v>44475</v>
      </c>
      <c r="C67" s="1" t="n">
        <v>46193</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46391-2021</t>
        </is>
      </c>
      <c r="B68" s="1" t="n">
        <v>44443</v>
      </c>
      <c r="C68" s="1" t="n">
        <v>46193</v>
      </c>
      <c r="D68" t="inlineStr">
        <is>
          <t>VÄSTRA GÖTALANDS LÄN</t>
        </is>
      </c>
      <c r="E68" t="inlineStr">
        <is>
          <t>ALE</t>
        </is>
      </c>
      <c r="G68" t="n">
        <v>1.3</v>
      </c>
      <c r="H68" t="n">
        <v>0</v>
      </c>
      <c r="I68" t="n">
        <v>0</v>
      </c>
      <c r="J68" t="n">
        <v>0</v>
      </c>
      <c r="K68" t="n">
        <v>0</v>
      </c>
      <c r="L68" t="n">
        <v>0</v>
      </c>
      <c r="M68" t="n">
        <v>0</v>
      </c>
      <c r="N68" t="n">
        <v>0</v>
      </c>
      <c r="O68" t="n">
        <v>0</v>
      </c>
      <c r="P68" t="n">
        <v>0</v>
      </c>
      <c r="Q68" t="n">
        <v>0</v>
      </c>
      <c r="R68" s="2" t="inlineStr"/>
    </row>
    <row r="69" ht="15" customHeight="1">
      <c r="A69" t="inlineStr">
        <is>
          <t>A 53476-2023</t>
        </is>
      </c>
      <c r="B69" s="1" t="n">
        <v>45230</v>
      </c>
      <c r="C69" s="1" t="n">
        <v>46193</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5916-2023</t>
        </is>
      </c>
      <c r="B70" s="1" t="n">
        <v>44963</v>
      </c>
      <c r="C70" s="1" t="n">
        <v>46193</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24642-2022</t>
        </is>
      </c>
      <c r="B71" s="1" t="n">
        <v>44727</v>
      </c>
      <c r="C71" s="1" t="n">
        <v>46193</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26157-2023</t>
        </is>
      </c>
      <c r="B72" s="1" t="n">
        <v>45091</v>
      </c>
      <c r="C72" s="1" t="n">
        <v>46193</v>
      </c>
      <c r="D72" t="inlineStr">
        <is>
          <t>VÄSTRA GÖTALANDS LÄN</t>
        </is>
      </c>
      <c r="E72" t="inlineStr">
        <is>
          <t>ALE</t>
        </is>
      </c>
      <c r="G72" t="n">
        <v>2.6</v>
      </c>
      <c r="H72" t="n">
        <v>0</v>
      </c>
      <c r="I72" t="n">
        <v>0</v>
      </c>
      <c r="J72" t="n">
        <v>0</v>
      </c>
      <c r="K72" t="n">
        <v>0</v>
      </c>
      <c r="L72" t="n">
        <v>0</v>
      </c>
      <c r="M72" t="n">
        <v>0</v>
      </c>
      <c r="N72" t="n">
        <v>0</v>
      </c>
      <c r="O72" t="n">
        <v>0</v>
      </c>
      <c r="P72" t="n">
        <v>0</v>
      </c>
      <c r="Q72" t="n">
        <v>0</v>
      </c>
      <c r="R72" s="2" t="inlineStr"/>
    </row>
    <row r="73" ht="15" customHeight="1">
      <c r="A73" t="inlineStr">
        <is>
          <t>A 26083-2023</t>
        </is>
      </c>
      <c r="B73" s="1" t="n">
        <v>45091</v>
      </c>
      <c r="C73" s="1" t="n">
        <v>46193</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46193</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16601-2025</t>
        </is>
      </c>
      <c r="B75" s="1" t="n">
        <v>45753</v>
      </c>
      <c r="C75" s="1" t="n">
        <v>46193</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20067-2023</t>
        </is>
      </c>
      <c r="B76" s="1" t="n">
        <v>45054</v>
      </c>
      <c r="C76" s="1" t="n">
        <v>46193</v>
      </c>
      <c r="D76" t="inlineStr">
        <is>
          <t>VÄSTRA GÖTALANDS LÄN</t>
        </is>
      </c>
      <c r="E76" t="inlineStr">
        <is>
          <t>ALE</t>
        </is>
      </c>
      <c r="G76" t="n">
        <v>0.4</v>
      </c>
      <c r="H76" t="n">
        <v>0</v>
      </c>
      <c r="I76" t="n">
        <v>0</v>
      </c>
      <c r="J76" t="n">
        <v>0</v>
      </c>
      <c r="K76" t="n">
        <v>0</v>
      </c>
      <c r="L76" t="n">
        <v>0</v>
      </c>
      <c r="M76" t="n">
        <v>0</v>
      </c>
      <c r="N76" t="n">
        <v>0</v>
      </c>
      <c r="O76" t="n">
        <v>0</v>
      </c>
      <c r="P76" t="n">
        <v>0</v>
      </c>
      <c r="Q76" t="n">
        <v>0</v>
      </c>
      <c r="R76" s="2" t="inlineStr"/>
    </row>
    <row r="77" ht="15" customHeight="1">
      <c r="A77" t="inlineStr">
        <is>
          <t>A 56493-2021</t>
        </is>
      </c>
      <c r="B77" s="1" t="n">
        <v>44480</v>
      </c>
      <c r="C77" s="1" t="n">
        <v>46193</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46193</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5875-2023</t>
        </is>
      </c>
      <c r="B79" s="1" t="n">
        <v>44963</v>
      </c>
      <c r="C79" s="1" t="n">
        <v>46193</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1500-2024</t>
        </is>
      </c>
      <c r="B80" s="1" t="n">
        <v>45306</v>
      </c>
      <c r="C80" s="1" t="n">
        <v>46193</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3407-2023</t>
        </is>
      </c>
      <c r="B81" s="1" t="n">
        <v>44949</v>
      </c>
      <c r="C81" s="1" t="n">
        <v>46193</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51564-2023</t>
        </is>
      </c>
      <c r="B82" s="1" t="n">
        <v>45222</v>
      </c>
      <c r="C82" s="1" t="n">
        <v>46193</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35959-2022</t>
        </is>
      </c>
      <c r="B83" s="1" t="n">
        <v>44802</v>
      </c>
      <c r="C83" s="1" t="n">
        <v>46193</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6916-2023</t>
        </is>
      </c>
      <c r="B84" s="1" t="n">
        <v>44967</v>
      </c>
      <c r="C84" s="1" t="n">
        <v>46193</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46193</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17044-2025</t>
        </is>
      </c>
      <c r="B86" s="1" t="n">
        <v>45755</v>
      </c>
      <c r="C86" s="1" t="n">
        <v>46193</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42660-2024</t>
        </is>
      </c>
      <c r="B87" s="1" t="n">
        <v>45566</v>
      </c>
      <c r="C87" s="1" t="n">
        <v>46193</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15582-2025</t>
        </is>
      </c>
      <c r="B88" s="1" t="n">
        <v>45747</v>
      </c>
      <c r="C88" s="1" t="n">
        <v>46193</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46227-2025</t>
        </is>
      </c>
      <c r="B89" s="1" t="n">
        <v>45924</v>
      </c>
      <c r="C89" s="1" t="n">
        <v>46193</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34104-2024</t>
        </is>
      </c>
      <c r="B90" s="1" t="n">
        <v>45523</v>
      </c>
      <c r="C90" s="1" t="n">
        <v>46193</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v>
      </c>
      <c r="C91" s="1" t="n">
        <v>46193</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47728-2025</t>
        </is>
      </c>
      <c r="B92" s="1" t="n">
        <v>45931</v>
      </c>
      <c r="C92" s="1" t="n">
        <v>46193</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57473-2022</t>
        </is>
      </c>
      <c r="B93" s="1" t="n">
        <v>44896</v>
      </c>
      <c r="C93" s="1" t="n">
        <v>46193</v>
      </c>
      <c r="D93" t="inlineStr">
        <is>
          <t>VÄSTRA GÖTALANDS LÄN</t>
        </is>
      </c>
      <c r="E93" t="inlineStr">
        <is>
          <t>ALE</t>
        </is>
      </c>
      <c r="G93" t="n">
        <v>0.7</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46193</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46193</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22946-2025</t>
        </is>
      </c>
      <c r="B96" s="1" t="n">
        <v>45790</v>
      </c>
      <c r="C96" s="1" t="n">
        <v>46193</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4971-2024</t>
        </is>
      </c>
      <c r="B97" s="1" t="n">
        <v>45329</v>
      </c>
      <c r="C97" s="1" t="n">
        <v>46193</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1687-2024</t>
        </is>
      </c>
      <c r="B98" s="1" t="n">
        <v>45306</v>
      </c>
      <c r="C98" s="1" t="n">
        <v>46193</v>
      </c>
      <c r="D98" t="inlineStr">
        <is>
          <t>VÄSTRA GÖTALANDS LÄN</t>
        </is>
      </c>
      <c r="E98" t="inlineStr">
        <is>
          <t>ALE</t>
        </is>
      </c>
      <c r="G98" t="n">
        <v>3.4</v>
      </c>
      <c r="H98" t="n">
        <v>0</v>
      </c>
      <c r="I98" t="n">
        <v>0</v>
      </c>
      <c r="J98" t="n">
        <v>0</v>
      </c>
      <c r="K98" t="n">
        <v>0</v>
      </c>
      <c r="L98" t="n">
        <v>0</v>
      </c>
      <c r="M98" t="n">
        <v>0</v>
      </c>
      <c r="N98" t="n">
        <v>0</v>
      </c>
      <c r="O98" t="n">
        <v>0</v>
      </c>
      <c r="P98" t="n">
        <v>0</v>
      </c>
      <c r="Q98" t="n">
        <v>0</v>
      </c>
      <c r="R98" s="2" t="inlineStr"/>
    </row>
    <row r="99" ht="15" customHeight="1">
      <c r="A99" t="inlineStr">
        <is>
          <t>A 50189-2025</t>
        </is>
      </c>
      <c r="B99" s="1" t="n">
        <v>45943</v>
      </c>
      <c r="C99" s="1" t="n">
        <v>46193</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49680-2024</t>
        </is>
      </c>
      <c r="B100" s="1" t="n">
        <v>45596</v>
      </c>
      <c r="C100" s="1" t="n">
        <v>46193</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50973-2025</t>
        </is>
      </c>
      <c r="B101" s="1" t="n">
        <v>45947</v>
      </c>
      <c r="C101" s="1" t="n">
        <v>46193</v>
      </c>
      <c r="D101" t="inlineStr">
        <is>
          <t>VÄSTRA GÖTALANDS LÄN</t>
        </is>
      </c>
      <c r="E101" t="inlineStr">
        <is>
          <t>ALE</t>
        </is>
      </c>
      <c r="G101" t="n">
        <v>12</v>
      </c>
      <c r="H101" t="n">
        <v>0</v>
      </c>
      <c r="I101" t="n">
        <v>0</v>
      </c>
      <c r="J101" t="n">
        <v>0</v>
      </c>
      <c r="K101" t="n">
        <v>0</v>
      </c>
      <c r="L101" t="n">
        <v>0</v>
      </c>
      <c r="M101" t="n">
        <v>0</v>
      </c>
      <c r="N101" t="n">
        <v>0</v>
      </c>
      <c r="O101" t="n">
        <v>0</v>
      </c>
      <c r="P101" t="n">
        <v>0</v>
      </c>
      <c r="Q101" t="n">
        <v>0</v>
      </c>
      <c r="R101" s="2" t="inlineStr"/>
    </row>
    <row r="102" ht="15" customHeight="1">
      <c r="A102" t="inlineStr">
        <is>
          <t>A 51976-2025</t>
        </is>
      </c>
      <c r="B102" s="1" t="n">
        <v>45952</v>
      </c>
      <c r="C102" s="1" t="n">
        <v>46193</v>
      </c>
      <c r="D102" t="inlineStr">
        <is>
          <t>VÄSTRA GÖTALANDS LÄN</t>
        </is>
      </c>
      <c r="E102" t="inlineStr">
        <is>
          <t>ALE</t>
        </is>
      </c>
      <c r="G102" t="n">
        <v>5.2</v>
      </c>
      <c r="H102" t="n">
        <v>0</v>
      </c>
      <c r="I102" t="n">
        <v>0</v>
      </c>
      <c r="J102" t="n">
        <v>0</v>
      </c>
      <c r="K102" t="n">
        <v>0</v>
      </c>
      <c r="L102" t="n">
        <v>0</v>
      </c>
      <c r="M102" t="n">
        <v>0</v>
      </c>
      <c r="N102" t="n">
        <v>0</v>
      </c>
      <c r="O102" t="n">
        <v>0</v>
      </c>
      <c r="P102" t="n">
        <v>0</v>
      </c>
      <c r="Q102" t="n">
        <v>0</v>
      </c>
      <c r="R102" s="2" t="inlineStr"/>
    </row>
    <row r="103" ht="15" customHeight="1">
      <c r="A103" t="inlineStr">
        <is>
          <t>A 25848-2025</t>
        </is>
      </c>
      <c r="B103" s="1" t="n">
        <v>45804</v>
      </c>
      <c r="C103" s="1" t="n">
        <v>46193</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7807-2023</t>
        </is>
      </c>
      <c r="B104" s="1" t="n">
        <v>44973</v>
      </c>
      <c r="C104" s="1" t="n">
        <v>46193</v>
      </c>
      <c r="D104" t="inlineStr">
        <is>
          <t>VÄSTRA GÖTALANDS LÄN</t>
        </is>
      </c>
      <c r="E104" t="inlineStr">
        <is>
          <t>ALE</t>
        </is>
      </c>
      <c r="G104" t="n">
        <v>10.5</v>
      </c>
      <c r="H104" t="n">
        <v>0</v>
      </c>
      <c r="I104" t="n">
        <v>0</v>
      </c>
      <c r="J104" t="n">
        <v>0</v>
      </c>
      <c r="K104" t="n">
        <v>0</v>
      </c>
      <c r="L104" t="n">
        <v>0</v>
      </c>
      <c r="M104" t="n">
        <v>0</v>
      </c>
      <c r="N104" t="n">
        <v>0</v>
      </c>
      <c r="O104" t="n">
        <v>0</v>
      </c>
      <c r="P104" t="n">
        <v>0</v>
      </c>
      <c r="Q104" t="n">
        <v>0</v>
      </c>
      <c r="R104" s="2" t="inlineStr"/>
    </row>
    <row r="105" ht="15" customHeight="1">
      <c r="A105" t="inlineStr">
        <is>
          <t>A 55488-2022</t>
        </is>
      </c>
      <c r="B105" s="1" t="n">
        <v>44887</v>
      </c>
      <c r="C105" s="1" t="n">
        <v>46193</v>
      </c>
      <c r="D105" t="inlineStr">
        <is>
          <t>VÄSTRA GÖTALANDS LÄN</t>
        </is>
      </c>
      <c r="E105" t="inlineStr">
        <is>
          <t>ALE</t>
        </is>
      </c>
      <c r="G105" t="n">
        <v>2.5</v>
      </c>
      <c r="H105" t="n">
        <v>0</v>
      </c>
      <c r="I105" t="n">
        <v>0</v>
      </c>
      <c r="J105" t="n">
        <v>0</v>
      </c>
      <c r="K105" t="n">
        <v>0</v>
      </c>
      <c r="L105" t="n">
        <v>0</v>
      </c>
      <c r="M105" t="n">
        <v>0</v>
      </c>
      <c r="N105" t="n">
        <v>0</v>
      </c>
      <c r="O105" t="n">
        <v>0</v>
      </c>
      <c r="P105" t="n">
        <v>0</v>
      </c>
      <c r="Q105" t="n">
        <v>0</v>
      </c>
      <c r="R105" s="2" t="inlineStr"/>
    </row>
    <row r="106" ht="15" customHeight="1">
      <c r="A106" t="inlineStr">
        <is>
          <t>A 18637-2023</t>
        </is>
      </c>
      <c r="B106" s="1" t="n">
        <v>45043</v>
      </c>
      <c r="C106" s="1" t="n">
        <v>46193</v>
      </c>
      <c r="D106" t="inlineStr">
        <is>
          <t>VÄSTRA GÖTALANDS LÄN</t>
        </is>
      </c>
      <c r="E106" t="inlineStr">
        <is>
          <t>ALE</t>
        </is>
      </c>
      <c r="G106" t="n">
        <v>3.6</v>
      </c>
      <c r="H106" t="n">
        <v>0</v>
      </c>
      <c r="I106" t="n">
        <v>0</v>
      </c>
      <c r="J106" t="n">
        <v>0</v>
      </c>
      <c r="K106" t="n">
        <v>0</v>
      </c>
      <c r="L106" t="n">
        <v>0</v>
      </c>
      <c r="M106" t="n">
        <v>0</v>
      </c>
      <c r="N106" t="n">
        <v>0</v>
      </c>
      <c r="O106" t="n">
        <v>0</v>
      </c>
      <c r="P106" t="n">
        <v>0</v>
      </c>
      <c r="Q106" t="n">
        <v>0</v>
      </c>
      <c r="R106" s="2" t="inlineStr"/>
    </row>
    <row r="107" ht="15" customHeight="1">
      <c r="A107" t="inlineStr">
        <is>
          <t>A 59933-2023</t>
        </is>
      </c>
      <c r="B107" s="1" t="n">
        <v>45257</v>
      </c>
      <c r="C107" s="1" t="n">
        <v>46193</v>
      </c>
      <c r="D107" t="inlineStr">
        <is>
          <t>VÄSTRA GÖTALANDS LÄN</t>
        </is>
      </c>
      <c r="E107" t="inlineStr">
        <is>
          <t>ALE</t>
        </is>
      </c>
      <c r="G107" t="n">
        <v>2.7</v>
      </c>
      <c r="H107" t="n">
        <v>0</v>
      </c>
      <c r="I107" t="n">
        <v>0</v>
      </c>
      <c r="J107" t="n">
        <v>0</v>
      </c>
      <c r="K107" t="n">
        <v>0</v>
      </c>
      <c r="L107" t="n">
        <v>0</v>
      </c>
      <c r="M107" t="n">
        <v>0</v>
      </c>
      <c r="N107" t="n">
        <v>0</v>
      </c>
      <c r="O107" t="n">
        <v>0</v>
      </c>
      <c r="P107" t="n">
        <v>0</v>
      </c>
      <c r="Q107" t="n">
        <v>0</v>
      </c>
      <c r="R107" s="2" t="inlineStr"/>
    </row>
    <row r="108" ht="15" customHeight="1">
      <c r="A108" t="inlineStr">
        <is>
          <t>A 42446-2023</t>
        </is>
      </c>
      <c r="B108" s="1" t="n">
        <v>45180</v>
      </c>
      <c r="C108" s="1" t="n">
        <v>46193</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46193</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v>
      </c>
      <c r="C110" s="1" t="n">
        <v>46193</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16344-2023</t>
        </is>
      </c>
      <c r="B111" s="1" t="n">
        <v>45028</v>
      </c>
      <c r="C111" s="1" t="n">
        <v>46193</v>
      </c>
      <c r="D111" t="inlineStr">
        <is>
          <t>VÄSTRA GÖTALANDS LÄN</t>
        </is>
      </c>
      <c r="E111" t="inlineStr">
        <is>
          <t>ALE</t>
        </is>
      </c>
      <c r="G111" t="n">
        <v>6.6</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v>
      </c>
      <c r="C112" s="1" t="n">
        <v>46193</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v>
      </c>
      <c r="C113" s="1" t="n">
        <v>46193</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56905-2025</t>
        </is>
      </c>
      <c r="B114" s="1" t="n">
        <v>45978</v>
      </c>
      <c r="C114" s="1" t="n">
        <v>46193</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31409-2025</t>
        </is>
      </c>
      <c r="B115" s="1" t="n">
        <v>45833</v>
      </c>
      <c r="C115" s="1" t="n">
        <v>46193</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31533-2025</t>
        </is>
      </c>
      <c r="B116" s="1" t="n">
        <v>45833</v>
      </c>
      <c r="C116" s="1" t="n">
        <v>46193</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46193</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46193</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47087-2023</t>
        </is>
      </c>
      <c r="B119" s="1" t="n">
        <v>45196</v>
      </c>
      <c r="C119" s="1" t="n">
        <v>46193</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4642-2024</t>
        </is>
      </c>
      <c r="B120" s="1" t="n">
        <v>45328</v>
      </c>
      <c r="C120" s="1" t="n">
        <v>46193</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31407-2025</t>
        </is>
      </c>
      <c r="B121" s="1" t="n">
        <v>45833</v>
      </c>
      <c r="C121" s="1" t="n">
        <v>46193</v>
      </c>
      <c r="D121" t="inlineStr">
        <is>
          <t>VÄSTRA GÖTALANDS LÄN</t>
        </is>
      </c>
      <c r="E121" t="inlineStr">
        <is>
          <t>ALE</t>
        </is>
      </c>
      <c r="G121" t="n">
        <v>0.8</v>
      </c>
      <c r="H121" t="n">
        <v>0</v>
      </c>
      <c r="I121" t="n">
        <v>0</v>
      </c>
      <c r="J121" t="n">
        <v>0</v>
      </c>
      <c r="K121" t="n">
        <v>0</v>
      </c>
      <c r="L121" t="n">
        <v>0</v>
      </c>
      <c r="M121" t="n">
        <v>0</v>
      </c>
      <c r="N121" t="n">
        <v>0</v>
      </c>
      <c r="O121" t="n">
        <v>0</v>
      </c>
      <c r="P121" t="n">
        <v>0</v>
      </c>
      <c r="Q121" t="n">
        <v>0</v>
      </c>
      <c r="R121" s="2" t="inlineStr"/>
    </row>
    <row r="122" ht="15" customHeight="1">
      <c r="A122" t="inlineStr">
        <is>
          <t>A 59409-2025</t>
        </is>
      </c>
      <c r="B122" s="1" t="n">
        <v>45989</v>
      </c>
      <c r="C122" s="1" t="n">
        <v>46193</v>
      </c>
      <c r="D122" t="inlineStr">
        <is>
          <t>VÄSTRA GÖTALANDS LÄN</t>
        </is>
      </c>
      <c r="E122" t="inlineStr">
        <is>
          <t>ALE</t>
        </is>
      </c>
      <c r="G122" t="n">
        <v>0.3</v>
      </c>
      <c r="H122" t="n">
        <v>0</v>
      </c>
      <c r="I122" t="n">
        <v>0</v>
      </c>
      <c r="J122" t="n">
        <v>0</v>
      </c>
      <c r="K122" t="n">
        <v>0</v>
      </c>
      <c r="L122" t="n">
        <v>0</v>
      </c>
      <c r="M122" t="n">
        <v>0</v>
      </c>
      <c r="N122" t="n">
        <v>0</v>
      </c>
      <c r="O122" t="n">
        <v>0</v>
      </c>
      <c r="P122" t="n">
        <v>0</v>
      </c>
      <c r="Q122" t="n">
        <v>0</v>
      </c>
      <c r="R122" s="2" t="inlineStr"/>
    </row>
    <row r="123" ht="15" customHeight="1">
      <c r="A123" t="inlineStr">
        <is>
          <t>A 60287-2025</t>
        </is>
      </c>
      <c r="B123" s="1" t="n">
        <v>45994</v>
      </c>
      <c r="C123" s="1" t="n">
        <v>46193</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14731-2022</t>
        </is>
      </c>
      <c r="B124" s="1" t="n">
        <v>44656</v>
      </c>
      <c r="C124" s="1" t="n">
        <v>46193</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v>
      </c>
      <c r="C125" s="1" t="n">
        <v>46193</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v>
      </c>
      <c r="C126" s="1" t="n">
        <v>46193</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61771-2025</t>
        </is>
      </c>
      <c r="B127" s="1" t="n">
        <v>46002</v>
      </c>
      <c r="C127" s="1" t="n">
        <v>46193</v>
      </c>
      <c r="D127" t="inlineStr">
        <is>
          <t>VÄSTRA GÖTALANDS LÄN</t>
        </is>
      </c>
      <c r="E127" t="inlineStr">
        <is>
          <t>ALE</t>
        </is>
      </c>
      <c r="G127" t="n">
        <v>3.9</v>
      </c>
      <c r="H127" t="n">
        <v>0</v>
      </c>
      <c r="I127" t="n">
        <v>0</v>
      </c>
      <c r="J127" t="n">
        <v>0</v>
      </c>
      <c r="K127" t="n">
        <v>0</v>
      </c>
      <c r="L127" t="n">
        <v>0</v>
      </c>
      <c r="M127" t="n">
        <v>0</v>
      </c>
      <c r="N127" t="n">
        <v>0</v>
      </c>
      <c r="O127" t="n">
        <v>0</v>
      </c>
      <c r="P127" t="n">
        <v>0</v>
      </c>
      <c r="Q127" t="n">
        <v>0</v>
      </c>
      <c r="R127" s="2" t="inlineStr"/>
    </row>
    <row r="128" ht="15" customHeight="1">
      <c r="A128" t="inlineStr">
        <is>
          <t>A 44429-2023</t>
        </is>
      </c>
      <c r="B128" s="1" t="n">
        <v>45189</v>
      </c>
      <c r="C128" s="1" t="n">
        <v>46193</v>
      </c>
      <c r="D128" t="inlineStr">
        <is>
          <t>VÄSTRA GÖTALANDS LÄN</t>
        </is>
      </c>
      <c r="E128" t="inlineStr">
        <is>
          <t>ALE</t>
        </is>
      </c>
      <c r="G128" t="n">
        <v>0.1</v>
      </c>
      <c r="H128" t="n">
        <v>0</v>
      </c>
      <c r="I128" t="n">
        <v>0</v>
      </c>
      <c r="J128" t="n">
        <v>0</v>
      </c>
      <c r="K128" t="n">
        <v>0</v>
      </c>
      <c r="L128" t="n">
        <v>0</v>
      </c>
      <c r="M128" t="n">
        <v>0</v>
      </c>
      <c r="N128" t="n">
        <v>0</v>
      </c>
      <c r="O128" t="n">
        <v>0</v>
      </c>
      <c r="P128" t="n">
        <v>0</v>
      </c>
      <c r="Q128" t="n">
        <v>0</v>
      </c>
      <c r="R128" s="2" t="inlineStr"/>
    </row>
    <row r="129" ht="15" customHeight="1">
      <c r="A129" t="inlineStr">
        <is>
          <t>A 7892-2024</t>
        </is>
      </c>
      <c r="B129" s="1" t="n">
        <v>45350</v>
      </c>
      <c r="C129" s="1" t="n">
        <v>46193</v>
      </c>
      <c r="D129" t="inlineStr">
        <is>
          <t>VÄSTRA GÖTALANDS LÄN</t>
        </is>
      </c>
      <c r="E129" t="inlineStr">
        <is>
          <t>ALE</t>
        </is>
      </c>
      <c r="G129" t="n">
        <v>3.6</v>
      </c>
      <c r="H129" t="n">
        <v>0</v>
      </c>
      <c r="I129" t="n">
        <v>0</v>
      </c>
      <c r="J129" t="n">
        <v>0</v>
      </c>
      <c r="K129" t="n">
        <v>0</v>
      </c>
      <c r="L129" t="n">
        <v>0</v>
      </c>
      <c r="M129" t="n">
        <v>0</v>
      </c>
      <c r="N129" t="n">
        <v>0</v>
      </c>
      <c r="O129" t="n">
        <v>0</v>
      </c>
      <c r="P129" t="n">
        <v>0</v>
      </c>
      <c r="Q129" t="n">
        <v>0</v>
      </c>
      <c r="R129" s="2" t="inlineStr"/>
    </row>
    <row r="130" ht="15" customHeight="1">
      <c r="A130" t="inlineStr">
        <is>
          <t>A 51164-2024</t>
        </is>
      </c>
      <c r="B130" s="1" t="n">
        <v>45603</v>
      </c>
      <c r="C130" s="1" t="n">
        <v>46193</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46193</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46193</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49955-2021</t>
        </is>
      </c>
      <c r="B133" s="1" t="n">
        <v>44456</v>
      </c>
      <c r="C133" s="1" t="n">
        <v>46193</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2414-2026</t>
        </is>
      </c>
      <c r="B134" s="1" t="n">
        <v>46036</v>
      </c>
      <c r="C134" s="1" t="n">
        <v>46193</v>
      </c>
      <c r="D134" t="inlineStr">
        <is>
          <t>VÄSTRA GÖTALANDS LÄN</t>
        </is>
      </c>
      <c r="E134" t="inlineStr">
        <is>
          <t>ALE</t>
        </is>
      </c>
      <c r="G134" t="n">
        <v>3.3</v>
      </c>
      <c r="H134" t="n">
        <v>0</v>
      </c>
      <c r="I134" t="n">
        <v>0</v>
      </c>
      <c r="J134" t="n">
        <v>0</v>
      </c>
      <c r="K134" t="n">
        <v>0</v>
      </c>
      <c r="L134" t="n">
        <v>0</v>
      </c>
      <c r="M134" t="n">
        <v>0</v>
      </c>
      <c r="N134" t="n">
        <v>0</v>
      </c>
      <c r="O134" t="n">
        <v>0</v>
      </c>
      <c r="P134" t="n">
        <v>0</v>
      </c>
      <c r="Q134" t="n">
        <v>0</v>
      </c>
      <c r="R134" s="2" t="inlineStr"/>
    </row>
    <row r="135" ht="15" customHeight="1">
      <c r="A135" t="inlineStr">
        <is>
          <t>A 1822-2024</t>
        </is>
      </c>
      <c r="B135" s="1" t="n">
        <v>45307</v>
      </c>
      <c r="C135" s="1" t="n">
        <v>46193</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15241-2025</t>
        </is>
      </c>
      <c r="B136" s="1" t="n">
        <v>45744</v>
      </c>
      <c r="C136" s="1" t="n">
        <v>46193</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6621-2026</t>
        </is>
      </c>
      <c r="B137" s="1" t="n">
        <v>46056</v>
      </c>
      <c r="C137" s="1" t="n">
        <v>46193</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7296-2026</t>
        </is>
      </c>
      <c r="B138" s="1" t="n">
        <v>46058</v>
      </c>
      <c r="C138" s="1" t="n">
        <v>46193</v>
      </c>
      <c r="D138" t="inlineStr">
        <is>
          <t>VÄSTRA GÖTALANDS LÄN</t>
        </is>
      </c>
      <c r="E138" t="inlineStr">
        <is>
          <t>ALE</t>
        </is>
      </c>
      <c r="G138" t="n">
        <v>7.2</v>
      </c>
      <c r="H138" t="n">
        <v>0</v>
      </c>
      <c r="I138" t="n">
        <v>0</v>
      </c>
      <c r="J138" t="n">
        <v>0</v>
      </c>
      <c r="K138" t="n">
        <v>0</v>
      </c>
      <c r="L138" t="n">
        <v>0</v>
      </c>
      <c r="M138" t="n">
        <v>0</v>
      </c>
      <c r="N138" t="n">
        <v>0</v>
      </c>
      <c r="O138" t="n">
        <v>0</v>
      </c>
      <c r="P138" t="n">
        <v>0</v>
      </c>
      <c r="Q138" t="n">
        <v>0</v>
      </c>
      <c r="R138" s="2" t="inlineStr"/>
    </row>
    <row r="139" ht="15" customHeight="1">
      <c r="A139" t="inlineStr">
        <is>
          <t>A 8110-2026</t>
        </is>
      </c>
      <c r="B139" s="1" t="n">
        <v>46062</v>
      </c>
      <c r="C139" s="1" t="n">
        <v>46193</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8112-2026</t>
        </is>
      </c>
      <c r="B140" s="1" t="n">
        <v>46062</v>
      </c>
      <c r="C140" s="1" t="n">
        <v>46193</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8111-2026</t>
        </is>
      </c>
      <c r="B141" s="1" t="n">
        <v>46062</v>
      </c>
      <c r="C141" s="1" t="n">
        <v>46193</v>
      </c>
      <c r="D141" t="inlineStr">
        <is>
          <t>VÄSTRA GÖTALANDS LÄN</t>
        </is>
      </c>
      <c r="E141" t="inlineStr">
        <is>
          <t>ALE</t>
        </is>
      </c>
      <c r="G141" t="n">
        <v>0.3</v>
      </c>
      <c r="H141" t="n">
        <v>0</v>
      </c>
      <c r="I141" t="n">
        <v>0</v>
      </c>
      <c r="J141" t="n">
        <v>0</v>
      </c>
      <c r="K141" t="n">
        <v>0</v>
      </c>
      <c r="L141" t="n">
        <v>0</v>
      </c>
      <c r="M141" t="n">
        <v>0</v>
      </c>
      <c r="N141" t="n">
        <v>0</v>
      </c>
      <c r="O141" t="n">
        <v>0</v>
      </c>
      <c r="P141" t="n">
        <v>0</v>
      </c>
      <c r="Q141" t="n">
        <v>0</v>
      </c>
      <c r="R141" s="2" t="inlineStr"/>
    </row>
    <row r="142" ht="15" customHeight="1">
      <c r="A142" t="inlineStr">
        <is>
          <t>A 10459-2026</t>
        </is>
      </c>
      <c r="B142" s="1" t="n">
        <v>46077</v>
      </c>
      <c r="C142" s="1" t="n">
        <v>46193</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34153-2024</t>
        </is>
      </c>
      <c r="B143" s="1" t="n">
        <v>45524</v>
      </c>
      <c r="C143" s="1" t="n">
        <v>46193</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46193</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15499-2022</t>
        </is>
      </c>
      <c r="B145" s="1" t="n">
        <v>44662</v>
      </c>
      <c r="C145" s="1" t="n">
        <v>46193</v>
      </c>
      <c r="D145" t="inlineStr">
        <is>
          <t>VÄSTRA GÖTALANDS LÄN</t>
        </is>
      </c>
      <c r="E145" t="inlineStr">
        <is>
          <t>ALE</t>
        </is>
      </c>
      <c r="G145" t="n">
        <v>4.7</v>
      </c>
      <c r="H145" t="n">
        <v>0</v>
      </c>
      <c r="I145" t="n">
        <v>0</v>
      </c>
      <c r="J145" t="n">
        <v>0</v>
      </c>
      <c r="K145" t="n">
        <v>0</v>
      </c>
      <c r="L145" t="n">
        <v>0</v>
      </c>
      <c r="M145" t="n">
        <v>0</v>
      </c>
      <c r="N145" t="n">
        <v>0</v>
      </c>
      <c r="O145" t="n">
        <v>0</v>
      </c>
      <c r="P145" t="n">
        <v>0</v>
      </c>
      <c r="Q145" t="n">
        <v>0</v>
      </c>
      <c r="R145" s="2" t="inlineStr"/>
    </row>
    <row r="146" ht="15" customHeight="1">
      <c r="A146" t="inlineStr">
        <is>
          <t>A 22420-2026</t>
        </is>
      </c>
      <c r="B146" s="1" t="n">
        <v>46154</v>
      </c>
      <c r="C146" s="1" t="n">
        <v>46193</v>
      </c>
      <c r="D146" t="inlineStr">
        <is>
          <t>VÄSTRA GÖTALANDS LÄN</t>
        </is>
      </c>
      <c r="E146" t="inlineStr">
        <is>
          <t>ALE</t>
        </is>
      </c>
      <c r="G146" t="n">
        <v>5</v>
      </c>
      <c r="H146" t="n">
        <v>0</v>
      </c>
      <c r="I146" t="n">
        <v>0</v>
      </c>
      <c r="J146" t="n">
        <v>0</v>
      </c>
      <c r="K146" t="n">
        <v>0</v>
      </c>
      <c r="L146" t="n">
        <v>0</v>
      </c>
      <c r="M146" t="n">
        <v>0</v>
      </c>
      <c r="N146" t="n">
        <v>0</v>
      </c>
      <c r="O146" t="n">
        <v>0</v>
      </c>
      <c r="P146" t="n">
        <v>0</v>
      </c>
      <c r="Q146" t="n">
        <v>0</v>
      </c>
      <c r="R146" s="2" t="inlineStr"/>
    </row>
    <row r="147" ht="15" customHeight="1">
      <c r="A147" t="inlineStr">
        <is>
          <t>A 17199-2026</t>
        </is>
      </c>
      <c r="B147" s="1" t="n">
        <v>46118</v>
      </c>
      <c r="C147" s="1" t="n">
        <v>46193</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19613-2026</t>
        </is>
      </c>
      <c r="B148" s="1" t="n">
        <v>46134</v>
      </c>
      <c r="C148" s="1" t="n">
        <v>46193</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25840-2025</t>
        </is>
      </c>
      <c r="B149" s="1" t="n">
        <v>45804</v>
      </c>
      <c r="C149" s="1" t="n">
        <v>46193</v>
      </c>
      <c r="D149" t="inlineStr">
        <is>
          <t>VÄSTRA GÖTALANDS LÄN</t>
        </is>
      </c>
      <c r="E149" t="inlineStr">
        <is>
          <t>ALE</t>
        </is>
      </c>
      <c r="G149" t="n">
        <v>3.8</v>
      </c>
      <c r="H149" t="n">
        <v>0</v>
      </c>
      <c r="I149" t="n">
        <v>0</v>
      </c>
      <c r="J149" t="n">
        <v>0</v>
      </c>
      <c r="K149" t="n">
        <v>0</v>
      </c>
      <c r="L149" t="n">
        <v>0</v>
      </c>
      <c r="M149" t="n">
        <v>0</v>
      </c>
      <c r="N149" t="n">
        <v>0</v>
      </c>
      <c r="O149" t="n">
        <v>0</v>
      </c>
      <c r="P149" t="n">
        <v>0</v>
      </c>
      <c r="Q149" t="n">
        <v>0</v>
      </c>
      <c r="R149" s="2" t="inlineStr"/>
    </row>
    <row r="150" ht="15" customHeight="1">
      <c r="A150" t="inlineStr">
        <is>
          <t>A 62828-2025</t>
        </is>
      </c>
      <c r="B150" s="1" t="n">
        <v>46008</v>
      </c>
      <c r="C150" s="1" t="n">
        <v>46193</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c r="A151" t="inlineStr">
        <is>
          <t>A 40074-2025</t>
        </is>
      </c>
      <c r="B151" s="1" t="n">
        <v>45894</v>
      </c>
      <c r="C151" s="1" t="n">
        <v>46193</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2026-06-20T00:43:33Z</dcterms:created>
  <dcterms:modified xmlns:dcterms="http://purl.org/dc/terms/" xmlns:xsi="http://www.w3.org/2001/XMLSchema-instance" xsi:type="dcterms:W3CDTF">2026-06-20T00:43:33Z</dcterms:modified>
</cp:coreProperties>
</file>