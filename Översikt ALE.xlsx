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46087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22640-2025</t>
        </is>
      </c>
      <c r="B3" s="1" t="n">
        <v>45789</v>
      </c>
      <c r="C3" s="1" t="n">
        <v>46087</v>
      </c>
      <c r="D3" t="inlineStr">
        <is>
          <t>VÄSTRA GÖTALANDS LÄN</t>
        </is>
      </c>
      <c r="E3" t="inlineStr">
        <is>
          <t>ALE</t>
        </is>
      </c>
      <c r="G3" t="n">
        <v>5.8</v>
      </c>
      <c r="H3" t="n">
        <v>10</v>
      </c>
      <c r="I3" t="n">
        <v>8</v>
      </c>
      <c r="J3" t="n">
        <v>4</v>
      </c>
      <c r="K3" t="n">
        <v>1</v>
      </c>
      <c r="L3" t="n">
        <v>1</v>
      </c>
      <c r="M3" t="n">
        <v>0</v>
      </c>
      <c r="N3" t="n">
        <v>0</v>
      </c>
      <c r="O3" t="n">
        <v>6</v>
      </c>
      <c r="P3" t="n">
        <v>2</v>
      </c>
      <c r="Q3" t="n">
        <v>20</v>
      </c>
      <c r="R3"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3">
        <f>HYPERLINK("https://klasma.github.io/Logging_1440/artfynd/A 22640-2025 artfynd.xlsx", "A 22640-2025")</f>
        <v/>
      </c>
      <c r="T3">
        <f>HYPERLINK("https://klasma.github.io/Logging_1440/kartor/A 22640-2025 karta.png", "A 22640-2025")</f>
        <v/>
      </c>
      <c r="V3">
        <f>HYPERLINK("https://klasma.github.io/Logging_1440/klagomål/A 22640-2025 FSC-klagomål.docx", "A 22640-2025")</f>
        <v/>
      </c>
      <c r="W3">
        <f>HYPERLINK("https://klasma.github.io/Logging_1440/klagomålsmail/A 22640-2025 FSC-klagomål mail.docx", "A 22640-2025")</f>
        <v/>
      </c>
      <c r="X3">
        <f>HYPERLINK("https://klasma.github.io/Logging_1440/tillsyn/A 22640-2025 tillsynsbegäran.docx", "A 22640-2025")</f>
        <v/>
      </c>
      <c r="Y3">
        <f>HYPERLINK("https://klasma.github.io/Logging_1440/tillsynsmail/A 22640-2025 tillsynsbegäran mail.docx", "A 22640-2025")</f>
        <v/>
      </c>
      <c r="Z3">
        <f>HYPERLINK("https://klasma.github.io/Logging_1440/fåglar/A 22640-2025 prioriterade fågelarter.docx", "A 22640-2025")</f>
        <v/>
      </c>
    </row>
    <row r="4" ht="15" customHeight="1">
      <c r="A4" t="inlineStr">
        <is>
          <t>A 36673-2023</t>
        </is>
      </c>
      <c r="B4" s="1" t="n">
        <v>45153</v>
      </c>
      <c r="C4" s="1" t="n">
        <v>46087</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9045-2024</t>
        </is>
      </c>
      <c r="B5" s="1" t="n">
        <v>45357</v>
      </c>
      <c r="C5" s="1" t="n">
        <v>46087</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22637-2025</t>
        </is>
      </c>
      <c r="B6" s="1" t="n">
        <v>45789</v>
      </c>
      <c r="C6" s="1" t="n">
        <v>46087</v>
      </c>
      <c r="D6" t="inlineStr">
        <is>
          <t>VÄSTRA GÖTALANDS LÄN</t>
        </is>
      </c>
      <c r="E6" t="inlineStr">
        <is>
          <t>ALE</t>
        </is>
      </c>
      <c r="G6" t="n">
        <v>2.3</v>
      </c>
      <c r="H6" t="n">
        <v>4</v>
      </c>
      <c r="I6" t="n">
        <v>6</v>
      </c>
      <c r="J6" t="n">
        <v>2</v>
      </c>
      <c r="K6" t="n">
        <v>0</v>
      </c>
      <c r="L6" t="n">
        <v>1</v>
      </c>
      <c r="M6" t="n">
        <v>1</v>
      </c>
      <c r="N6" t="n">
        <v>0</v>
      </c>
      <c r="O6" t="n">
        <v>4</v>
      </c>
      <c r="P6" t="n">
        <v>2</v>
      </c>
      <c r="Q6" t="n">
        <v>12</v>
      </c>
      <c r="R6" s="2" t="inlineStr">
        <is>
          <t>Skogsalm
Ask
Entita
Spillkråka
Lilanopping
Platt fjädermossa
Skogshakmossa
Stor revmossa
Tibast
Trubbfjädermossa
Gröngöling
Kungsfågel</t>
        </is>
      </c>
      <c r="S6">
        <f>HYPERLINK("https://klasma.github.io/Logging_1440/artfynd/A 22637-2025 artfynd.xlsx", "A 22637-2025")</f>
        <v/>
      </c>
      <c r="T6">
        <f>HYPERLINK("https://klasma.github.io/Logging_1440/kartor/A 22637-2025 karta.png", "A 22637-2025")</f>
        <v/>
      </c>
      <c r="V6">
        <f>HYPERLINK("https://klasma.github.io/Logging_1440/klagomål/A 22637-2025 FSC-klagomål.docx", "A 22637-2025")</f>
        <v/>
      </c>
      <c r="W6">
        <f>HYPERLINK("https://klasma.github.io/Logging_1440/klagomålsmail/A 22637-2025 FSC-klagomål mail.docx", "A 22637-2025")</f>
        <v/>
      </c>
      <c r="X6">
        <f>HYPERLINK("https://klasma.github.io/Logging_1440/tillsyn/A 22637-2025 tillsynsbegäran.docx", "A 22637-2025")</f>
        <v/>
      </c>
      <c r="Y6">
        <f>HYPERLINK("https://klasma.github.io/Logging_1440/tillsynsmail/A 22637-2025 tillsynsbegäran mail.docx", "A 22637-2025")</f>
        <v/>
      </c>
      <c r="Z6">
        <f>HYPERLINK("https://klasma.github.io/Logging_1440/fåglar/A 22637-2025 prioriterade fågelarter.docx", "A 22637-2025")</f>
        <v/>
      </c>
    </row>
    <row r="7" ht="15" customHeight="1">
      <c r="A7" t="inlineStr">
        <is>
          <t>A 32849-2023</t>
        </is>
      </c>
      <c r="B7" s="1" t="n">
        <v>45124</v>
      </c>
      <c r="C7" s="1" t="n">
        <v>46087</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41294-2024</t>
        </is>
      </c>
      <c r="B8" s="1" t="n">
        <v>45559</v>
      </c>
      <c r="C8" s="1" t="n">
        <v>46087</v>
      </c>
      <c r="D8" t="inlineStr">
        <is>
          <t>VÄSTRA GÖTALANDS LÄN</t>
        </is>
      </c>
      <c r="E8" t="inlineStr">
        <is>
          <t>ALE</t>
        </is>
      </c>
      <c r="G8" t="n">
        <v>3</v>
      </c>
      <c r="H8" t="n">
        <v>6</v>
      </c>
      <c r="I8" t="n">
        <v>4</v>
      </c>
      <c r="J8" t="n">
        <v>2</v>
      </c>
      <c r="K8" t="n">
        <v>0</v>
      </c>
      <c r="L8" t="n">
        <v>0</v>
      </c>
      <c r="M8" t="n">
        <v>0</v>
      </c>
      <c r="N8" t="n">
        <v>0</v>
      </c>
      <c r="O8" t="n">
        <v>2</v>
      </c>
      <c r="P8" t="n">
        <v>0</v>
      </c>
      <c r="Q8" t="n">
        <v>10</v>
      </c>
      <c r="R8" s="2" t="inlineStr">
        <is>
          <t>Spillkråka
Talltita
Grönpyrola
Kornknutmossa
Smal svampklubba
Stor revmossa
Grönsiska
Kungsfågel
Tjäder
Revlummer</t>
        </is>
      </c>
      <c r="S8">
        <f>HYPERLINK("https://klasma.github.io/Logging_1440/artfynd/A 41294-2024 artfynd.xlsx", "A 41294-2024")</f>
        <v/>
      </c>
      <c r="T8">
        <f>HYPERLINK("https://klasma.github.io/Logging_1440/kartor/A 41294-2024 karta.png", "A 41294-2024")</f>
        <v/>
      </c>
      <c r="V8">
        <f>HYPERLINK("https://klasma.github.io/Logging_1440/klagomål/A 41294-2024 FSC-klagomål.docx", "A 41294-2024")</f>
        <v/>
      </c>
      <c r="W8">
        <f>HYPERLINK("https://klasma.github.io/Logging_1440/klagomålsmail/A 41294-2024 FSC-klagomål mail.docx", "A 41294-2024")</f>
        <v/>
      </c>
      <c r="X8">
        <f>HYPERLINK("https://klasma.github.io/Logging_1440/tillsyn/A 41294-2024 tillsynsbegäran.docx", "A 41294-2024")</f>
        <v/>
      </c>
      <c r="Y8">
        <f>HYPERLINK("https://klasma.github.io/Logging_1440/tillsynsmail/A 41294-2024 tillsynsbegäran mail.docx", "A 41294-2024")</f>
        <v/>
      </c>
      <c r="Z8">
        <f>HYPERLINK("https://klasma.github.io/Logging_1440/fåglar/A 41294-2024 prioriterade fågelarter.docx", "A 41294-2024")</f>
        <v/>
      </c>
    </row>
    <row r="9" ht="15" customHeight="1">
      <c r="A9" t="inlineStr">
        <is>
          <t>A 37005-2025</t>
        </is>
      </c>
      <c r="B9" s="1" t="n">
        <v>45874.69311342593</v>
      </c>
      <c r="C9" s="1" t="n">
        <v>46087</v>
      </c>
      <c r="D9" t="inlineStr">
        <is>
          <t>VÄSTRA GÖTALANDS LÄN</t>
        </is>
      </c>
      <c r="E9" t="inlineStr">
        <is>
          <t>ALE</t>
        </is>
      </c>
      <c r="G9" t="n">
        <v>1.9</v>
      </c>
      <c r="H9" t="n">
        <v>4</v>
      </c>
      <c r="I9" t="n">
        <v>3</v>
      </c>
      <c r="J9" t="n">
        <v>1</v>
      </c>
      <c r="K9" t="n">
        <v>0</v>
      </c>
      <c r="L9" t="n">
        <v>0</v>
      </c>
      <c r="M9" t="n">
        <v>1</v>
      </c>
      <c r="N9" t="n">
        <v>0</v>
      </c>
      <c r="O9" t="n">
        <v>2</v>
      </c>
      <c r="P9" t="n">
        <v>1</v>
      </c>
      <c r="Q9" t="n">
        <v>8</v>
      </c>
      <c r="R9" s="2" t="inlineStr">
        <is>
          <t>Skogsalm
Spillkråka
Blomkålssvamp
Grovticka
Västlig hakmossa
Kungsfågel
Vanlig groda
Revlummer</t>
        </is>
      </c>
      <c r="S9">
        <f>HYPERLINK("https://klasma.github.io/Logging_1440/artfynd/A 37005-2025 artfynd.xlsx", "A 37005-2025")</f>
        <v/>
      </c>
      <c r="T9">
        <f>HYPERLINK("https://klasma.github.io/Logging_1440/kartor/A 37005-2025 karta.png", "A 37005-2025")</f>
        <v/>
      </c>
      <c r="V9">
        <f>HYPERLINK("https://klasma.github.io/Logging_1440/klagomål/A 37005-2025 FSC-klagomål.docx", "A 37005-2025")</f>
        <v/>
      </c>
      <c r="W9">
        <f>HYPERLINK("https://klasma.github.io/Logging_1440/klagomålsmail/A 37005-2025 FSC-klagomål mail.docx", "A 37005-2025")</f>
        <v/>
      </c>
      <c r="X9">
        <f>HYPERLINK("https://klasma.github.io/Logging_1440/tillsyn/A 37005-2025 tillsynsbegäran.docx", "A 37005-2025")</f>
        <v/>
      </c>
      <c r="Y9">
        <f>HYPERLINK("https://klasma.github.io/Logging_1440/tillsynsmail/A 37005-2025 tillsynsbegäran mail.docx", "A 37005-2025")</f>
        <v/>
      </c>
      <c r="Z9">
        <f>HYPERLINK("https://klasma.github.io/Logging_1440/fåglar/A 37005-2025 prioriterade fågelarter.docx", "A 37005-2025")</f>
        <v/>
      </c>
    </row>
    <row r="10" ht="15" customHeight="1">
      <c r="A10" t="inlineStr">
        <is>
          <t>A 40059-2025</t>
        </is>
      </c>
      <c r="B10" s="1" t="n">
        <v>45894.42600694444</v>
      </c>
      <c r="C10" s="1" t="n">
        <v>46087</v>
      </c>
      <c r="D10" t="inlineStr">
        <is>
          <t>VÄSTRA GÖTALANDS LÄN</t>
        </is>
      </c>
      <c r="E10" t="inlineStr">
        <is>
          <t>ALE</t>
        </is>
      </c>
      <c r="G10" t="n">
        <v>0.9</v>
      </c>
      <c r="H10" t="n">
        <v>6</v>
      </c>
      <c r="I10" t="n">
        <v>1</v>
      </c>
      <c r="J10" t="n">
        <v>2</v>
      </c>
      <c r="K10" t="n">
        <v>0</v>
      </c>
      <c r="L10" t="n">
        <v>0</v>
      </c>
      <c r="M10" t="n">
        <v>0</v>
      </c>
      <c r="N10" t="n">
        <v>0</v>
      </c>
      <c r="O10" t="n">
        <v>2</v>
      </c>
      <c r="P10" t="n">
        <v>0</v>
      </c>
      <c r="Q10" t="n">
        <v>7</v>
      </c>
      <c r="R10" s="2" t="inlineStr">
        <is>
          <t>Spillkråka
Talltita
Blåmossa
Grönsiska
Tjäder
Trana
Revlummer</t>
        </is>
      </c>
      <c r="S10">
        <f>HYPERLINK("https://klasma.github.io/Logging_1440/artfynd/A 40059-2025 artfynd.xlsx", "A 40059-2025")</f>
        <v/>
      </c>
      <c r="T10">
        <f>HYPERLINK("https://klasma.github.io/Logging_1440/kartor/A 40059-2025 karta.png", "A 40059-2025")</f>
        <v/>
      </c>
      <c r="V10">
        <f>HYPERLINK("https://klasma.github.io/Logging_1440/klagomål/A 40059-2025 FSC-klagomål.docx", "A 40059-2025")</f>
        <v/>
      </c>
      <c r="W10">
        <f>HYPERLINK("https://klasma.github.io/Logging_1440/klagomålsmail/A 40059-2025 FSC-klagomål mail.docx", "A 40059-2025")</f>
        <v/>
      </c>
      <c r="X10">
        <f>HYPERLINK("https://klasma.github.io/Logging_1440/tillsyn/A 40059-2025 tillsynsbegäran.docx", "A 40059-2025")</f>
        <v/>
      </c>
      <c r="Y10">
        <f>HYPERLINK("https://klasma.github.io/Logging_1440/tillsynsmail/A 40059-2025 tillsynsbegäran mail.docx", "A 40059-2025")</f>
        <v/>
      </c>
      <c r="Z10">
        <f>HYPERLINK("https://klasma.github.io/Logging_1440/fåglar/A 40059-2025 prioriterade fågelarter.docx", "A 40059-2025")</f>
        <v/>
      </c>
    </row>
    <row r="11" ht="15" customHeight="1">
      <c r="A11" t="inlineStr">
        <is>
          <t>A 46084-2025</t>
        </is>
      </c>
      <c r="B11" s="1" t="n">
        <v>45924.51282407407</v>
      </c>
      <c r="C11" s="1" t="n">
        <v>46087</v>
      </c>
      <c r="D11" t="inlineStr">
        <is>
          <t>VÄSTRA GÖTALANDS LÄN</t>
        </is>
      </c>
      <c r="E11" t="inlineStr">
        <is>
          <t>ALE</t>
        </is>
      </c>
      <c r="G11" t="n">
        <v>4.2</v>
      </c>
      <c r="H11" t="n">
        <v>3</v>
      </c>
      <c r="I11" t="n">
        <v>4</v>
      </c>
      <c r="J11" t="n">
        <v>2</v>
      </c>
      <c r="K11" t="n">
        <v>0</v>
      </c>
      <c r="L11" t="n">
        <v>0</v>
      </c>
      <c r="M11" t="n">
        <v>0</v>
      </c>
      <c r="N11" t="n">
        <v>0</v>
      </c>
      <c r="O11" t="n">
        <v>2</v>
      </c>
      <c r="P11" t="n">
        <v>0</v>
      </c>
      <c r="Q11" t="n">
        <v>7</v>
      </c>
      <c r="R11" s="2" t="inlineStr">
        <is>
          <t>Spillkråka
Talltita
Blåmossa
Havstulpanlav
Kambräken
Stor revmossa
Kungsfågel</t>
        </is>
      </c>
      <c r="S11">
        <f>HYPERLINK("https://klasma.github.io/Logging_1440/artfynd/A 46084-2025 artfynd.xlsx", "A 46084-2025")</f>
        <v/>
      </c>
      <c r="T11">
        <f>HYPERLINK("https://klasma.github.io/Logging_1440/kartor/A 46084-2025 karta.png", "A 46084-2025")</f>
        <v/>
      </c>
      <c r="V11">
        <f>HYPERLINK("https://klasma.github.io/Logging_1440/klagomål/A 46084-2025 FSC-klagomål.docx", "A 46084-2025")</f>
        <v/>
      </c>
      <c r="W11">
        <f>HYPERLINK("https://klasma.github.io/Logging_1440/klagomålsmail/A 46084-2025 FSC-klagomål mail.docx", "A 46084-2025")</f>
        <v/>
      </c>
      <c r="X11">
        <f>HYPERLINK("https://klasma.github.io/Logging_1440/tillsyn/A 46084-2025 tillsynsbegäran.docx", "A 46084-2025")</f>
        <v/>
      </c>
      <c r="Y11">
        <f>HYPERLINK("https://klasma.github.io/Logging_1440/tillsynsmail/A 46084-2025 tillsynsbegäran mail.docx", "A 46084-2025")</f>
        <v/>
      </c>
      <c r="Z11">
        <f>HYPERLINK("https://klasma.github.io/Logging_1440/fåglar/A 46084-2025 prioriterade fågelarter.docx", "A 46084-2025")</f>
        <v/>
      </c>
    </row>
    <row r="12" ht="15" customHeight="1">
      <c r="A12" t="inlineStr">
        <is>
          <t>A 24162-2025</t>
        </is>
      </c>
      <c r="B12" s="1" t="n">
        <v>45796</v>
      </c>
      <c r="C12" s="1" t="n">
        <v>46087</v>
      </c>
      <c r="D12" t="inlineStr">
        <is>
          <t>VÄSTRA GÖTALANDS LÄN</t>
        </is>
      </c>
      <c r="E12" t="inlineStr">
        <is>
          <t>ALE</t>
        </is>
      </c>
      <c r="G12" t="n">
        <v>5.5</v>
      </c>
      <c r="H12" t="n">
        <v>4</v>
      </c>
      <c r="I12" t="n">
        <v>2</v>
      </c>
      <c r="J12" t="n">
        <v>1</v>
      </c>
      <c r="K12" t="n">
        <v>0</v>
      </c>
      <c r="L12" t="n">
        <v>0</v>
      </c>
      <c r="M12" t="n">
        <v>0</v>
      </c>
      <c r="N12" t="n">
        <v>0</v>
      </c>
      <c r="O12" t="n">
        <v>1</v>
      </c>
      <c r="P12" t="n">
        <v>0</v>
      </c>
      <c r="Q12" t="n">
        <v>6</v>
      </c>
      <c r="R12" s="2" t="inlineStr">
        <is>
          <t>Spillkråka
Blanksvart trämyra
Blåmossa
Kungsfågel
Trana
Revlummer</t>
        </is>
      </c>
      <c r="S12">
        <f>HYPERLINK("https://klasma.github.io/Logging_1440/artfynd/A 24162-2025 artfynd.xlsx", "A 24162-2025")</f>
        <v/>
      </c>
      <c r="T12">
        <f>HYPERLINK("https://klasma.github.io/Logging_1440/kartor/A 24162-2025 karta.png", "A 24162-2025")</f>
        <v/>
      </c>
      <c r="V12">
        <f>HYPERLINK("https://klasma.github.io/Logging_1440/klagomål/A 24162-2025 FSC-klagomål.docx", "A 24162-2025")</f>
        <v/>
      </c>
      <c r="W12">
        <f>HYPERLINK("https://klasma.github.io/Logging_1440/klagomålsmail/A 24162-2025 FSC-klagomål mail.docx", "A 24162-2025")</f>
        <v/>
      </c>
      <c r="X12">
        <f>HYPERLINK("https://klasma.github.io/Logging_1440/tillsyn/A 24162-2025 tillsynsbegäran.docx", "A 24162-2025")</f>
        <v/>
      </c>
      <c r="Y12">
        <f>HYPERLINK("https://klasma.github.io/Logging_1440/tillsynsmail/A 24162-2025 tillsynsbegäran mail.docx", "A 24162-2025")</f>
        <v/>
      </c>
      <c r="Z12">
        <f>HYPERLINK("https://klasma.github.io/Logging_1440/fåglar/A 24162-2025 prioriterade fågelarter.docx", "A 24162-2025")</f>
        <v/>
      </c>
    </row>
    <row r="13" ht="15" customHeight="1">
      <c r="A13" t="inlineStr">
        <is>
          <t>A 8113-2026</t>
        </is>
      </c>
      <c r="B13" s="1" t="n">
        <v>46062</v>
      </c>
      <c r="C13" s="1" t="n">
        <v>46087</v>
      </c>
      <c r="D13" t="inlineStr">
        <is>
          <t>VÄSTRA GÖTALANDS LÄN</t>
        </is>
      </c>
      <c r="E13" t="inlineStr">
        <is>
          <t>ALE</t>
        </is>
      </c>
      <c r="G13" t="n">
        <v>0.8</v>
      </c>
      <c r="H13" t="n">
        <v>0</v>
      </c>
      <c r="I13" t="n">
        <v>4</v>
      </c>
      <c r="J13" t="n">
        <v>1</v>
      </c>
      <c r="K13" t="n">
        <v>0</v>
      </c>
      <c r="L13" t="n">
        <v>0</v>
      </c>
      <c r="M13" t="n">
        <v>0</v>
      </c>
      <c r="N13" t="n">
        <v>0</v>
      </c>
      <c r="O13" t="n">
        <v>1</v>
      </c>
      <c r="P13" t="n">
        <v>0</v>
      </c>
      <c r="Q13" t="n">
        <v>5</v>
      </c>
      <c r="R13" s="2" t="inlineStr">
        <is>
          <t>Brunpudrad nållav
Kattfotslav
Kornig nållav
Stor revmossa
Vågbandad barkbock</t>
        </is>
      </c>
      <c r="S13">
        <f>HYPERLINK("https://klasma.github.io/Logging_1440/artfynd/A 8113-2026 artfynd.xlsx", "A 8113-2026")</f>
        <v/>
      </c>
      <c r="T13">
        <f>HYPERLINK("https://klasma.github.io/Logging_1440/kartor/A 8113-2026 karta.png", "A 8113-2026")</f>
        <v/>
      </c>
      <c r="V13">
        <f>HYPERLINK("https://klasma.github.io/Logging_1440/klagomål/A 8113-2026 FSC-klagomål.docx", "A 8113-2026")</f>
        <v/>
      </c>
      <c r="W13">
        <f>HYPERLINK("https://klasma.github.io/Logging_1440/klagomålsmail/A 8113-2026 FSC-klagomål mail.docx", "A 8113-2026")</f>
        <v/>
      </c>
      <c r="X13">
        <f>HYPERLINK("https://klasma.github.io/Logging_1440/tillsyn/A 8113-2026 tillsynsbegäran.docx", "A 8113-2026")</f>
        <v/>
      </c>
      <c r="Y13">
        <f>HYPERLINK("https://klasma.github.io/Logging_1440/tillsynsmail/A 8113-2026 tillsynsbegäran mail.docx", "A 8113-2026")</f>
        <v/>
      </c>
    </row>
    <row r="14" ht="15" customHeight="1">
      <c r="A14" t="inlineStr">
        <is>
          <t>A 26491-2024</t>
        </is>
      </c>
      <c r="B14" s="1" t="n">
        <v>45469</v>
      </c>
      <c r="C14" s="1" t="n">
        <v>46087</v>
      </c>
      <c r="D14" t="inlineStr">
        <is>
          <t>VÄSTRA GÖTALANDS LÄN</t>
        </is>
      </c>
      <c r="E14" t="inlineStr">
        <is>
          <t>ALE</t>
        </is>
      </c>
      <c r="G14" t="n">
        <v>5.3</v>
      </c>
      <c r="H14" t="n">
        <v>1</v>
      </c>
      <c r="I14" t="n">
        <v>3</v>
      </c>
      <c r="J14" t="n">
        <v>1</v>
      </c>
      <c r="K14" t="n">
        <v>0</v>
      </c>
      <c r="L14" t="n">
        <v>0</v>
      </c>
      <c r="M14" t="n">
        <v>0</v>
      </c>
      <c r="N14" t="n">
        <v>0</v>
      </c>
      <c r="O14" t="n">
        <v>1</v>
      </c>
      <c r="P14" t="n">
        <v>0</v>
      </c>
      <c r="Q14" t="n">
        <v>4</v>
      </c>
      <c r="R14" s="2" t="inlineStr">
        <is>
          <t>Duvhök
Gulpudrad spiklav
Rostfläck
Sotlav</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7903-2024</t>
        </is>
      </c>
      <c r="B15" s="1" t="n">
        <v>45350</v>
      </c>
      <c r="C15" s="1" t="n">
        <v>46087</v>
      </c>
      <c r="D15" t="inlineStr">
        <is>
          <t>VÄSTRA GÖTALANDS LÄN</t>
        </is>
      </c>
      <c r="E15" t="inlineStr">
        <is>
          <t>ALE</t>
        </is>
      </c>
      <c r="G15" t="n">
        <v>4.2</v>
      </c>
      <c r="H15" t="n">
        <v>4</v>
      </c>
      <c r="I15" t="n">
        <v>0</v>
      </c>
      <c r="J15" t="n">
        <v>3</v>
      </c>
      <c r="K15" t="n">
        <v>0</v>
      </c>
      <c r="L15" t="n">
        <v>0</v>
      </c>
      <c r="M15" t="n">
        <v>0</v>
      </c>
      <c r="N15" t="n">
        <v>0</v>
      </c>
      <c r="O15" t="n">
        <v>3</v>
      </c>
      <c r="P15" t="n">
        <v>0</v>
      </c>
      <c r="Q15" t="n">
        <v>4</v>
      </c>
      <c r="R15" s="2" t="inlineStr">
        <is>
          <t>Entita
Spillkråka
Talltita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60293-2025</t>
        </is>
      </c>
      <c r="B16" s="1" t="n">
        <v>45994.65568287037</v>
      </c>
      <c r="C16" s="1" t="n">
        <v>46087</v>
      </c>
      <c r="D16" t="inlineStr">
        <is>
          <t>VÄSTRA GÖTALANDS LÄN</t>
        </is>
      </c>
      <c r="E16" t="inlineStr">
        <is>
          <t>ALE</t>
        </is>
      </c>
      <c r="G16" t="n">
        <v>1.9</v>
      </c>
      <c r="H16" t="n">
        <v>2</v>
      </c>
      <c r="I16" t="n">
        <v>2</v>
      </c>
      <c r="J16" t="n">
        <v>2</v>
      </c>
      <c r="K16" t="n">
        <v>0</v>
      </c>
      <c r="L16" t="n">
        <v>0</v>
      </c>
      <c r="M16" t="n">
        <v>0</v>
      </c>
      <c r="N16" t="n">
        <v>0</v>
      </c>
      <c r="O16" t="n">
        <v>2</v>
      </c>
      <c r="P16" t="n">
        <v>0</v>
      </c>
      <c r="Q16" t="n">
        <v>4</v>
      </c>
      <c r="R16" s="2" t="inlineStr">
        <is>
          <t>Entita
Rödvingetrast
Björksplintborre
Gulnål</t>
        </is>
      </c>
      <c r="S16">
        <f>HYPERLINK("https://klasma.github.io/Logging_1440/artfynd/A 60293-2025 artfynd.xlsx", "A 60293-2025")</f>
        <v/>
      </c>
      <c r="T16">
        <f>HYPERLINK("https://klasma.github.io/Logging_1440/kartor/A 60293-2025 karta.png", "A 60293-2025")</f>
        <v/>
      </c>
      <c r="V16">
        <f>HYPERLINK("https://klasma.github.io/Logging_1440/klagomål/A 60293-2025 FSC-klagomål.docx", "A 60293-2025")</f>
        <v/>
      </c>
      <c r="W16">
        <f>HYPERLINK("https://klasma.github.io/Logging_1440/klagomålsmail/A 60293-2025 FSC-klagomål mail.docx", "A 60293-2025")</f>
        <v/>
      </c>
      <c r="X16">
        <f>HYPERLINK("https://klasma.github.io/Logging_1440/tillsyn/A 60293-2025 tillsynsbegäran.docx", "A 60293-2025")</f>
        <v/>
      </c>
      <c r="Y16">
        <f>HYPERLINK("https://klasma.github.io/Logging_1440/tillsynsmail/A 60293-2025 tillsynsbegäran mail.docx", "A 60293-2025")</f>
        <v/>
      </c>
      <c r="Z16">
        <f>HYPERLINK("https://klasma.github.io/Logging_1440/fåglar/A 60293-2025 prioriterade fågelarter.docx", "A 60293-2025")</f>
        <v/>
      </c>
    </row>
    <row r="17" ht="15" customHeight="1">
      <c r="A17" t="inlineStr">
        <is>
          <t>A 19934-2025</t>
        </is>
      </c>
      <c r="B17" s="1" t="n">
        <v>45771</v>
      </c>
      <c r="C17" s="1" t="n">
        <v>46087</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63575-2023</t>
        </is>
      </c>
      <c r="B18" s="1" t="n">
        <v>45275.39715277778</v>
      </c>
      <c r="C18" s="1" t="n">
        <v>46087</v>
      </c>
      <c r="D18" t="inlineStr">
        <is>
          <t>VÄSTRA GÖTALANDS LÄN</t>
        </is>
      </c>
      <c r="E18" t="inlineStr">
        <is>
          <t>ALE</t>
        </is>
      </c>
      <c r="G18" t="n">
        <v>1.2</v>
      </c>
      <c r="H18" t="n">
        <v>3</v>
      </c>
      <c r="I18" t="n">
        <v>0</v>
      </c>
      <c r="J18" t="n">
        <v>3</v>
      </c>
      <c r="K18" t="n">
        <v>0</v>
      </c>
      <c r="L18" t="n">
        <v>0</v>
      </c>
      <c r="M18" t="n">
        <v>0</v>
      </c>
      <c r="N18" t="n">
        <v>0</v>
      </c>
      <c r="O18" t="n">
        <v>3</v>
      </c>
      <c r="P18" t="n">
        <v>0</v>
      </c>
      <c r="Q18" t="n">
        <v>3</v>
      </c>
      <c r="R18" s="2" t="inlineStr">
        <is>
          <t>Gulsparv
Spillkråka
Talltita</t>
        </is>
      </c>
      <c r="S18">
        <f>HYPERLINK("https://klasma.github.io/Logging_1440/artfynd/A 63575-2023 artfynd.xlsx", "A 63575-2023")</f>
        <v/>
      </c>
      <c r="T18">
        <f>HYPERLINK("https://klasma.github.io/Logging_1440/kartor/A 63575-2023 karta.png", "A 63575-2023")</f>
        <v/>
      </c>
      <c r="V18">
        <f>HYPERLINK("https://klasma.github.io/Logging_1440/klagomål/A 63575-2023 FSC-klagomål.docx", "A 63575-2023")</f>
        <v/>
      </c>
      <c r="W18">
        <f>HYPERLINK("https://klasma.github.io/Logging_1440/klagomålsmail/A 63575-2023 FSC-klagomål mail.docx", "A 63575-2023")</f>
        <v/>
      </c>
      <c r="X18">
        <f>HYPERLINK("https://klasma.github.io/Logging_1440/tillsyn/A 63575-2023 tillsynsbegäran.docx", "A 63575-2023")</f>
        <v/>
      </c>
      <c r="Y18">
        <f>HYPERLINK("https://klasma.github.io/Logging_1440/tillsynsmail/A 63575-2023 tillsynsbegäran mail.docx", "A 63575-2023")</f>
        <v/>
      </c>
      <c r="Z18">
        <f>HYPERLINK("https://klasma.github.io/Logging_1440/fåglar/A 63575-2023 prioriterade fågelarter.docx", "A 63575-2023")</f>
        <v/>
      </c>
    </row>
    <row r="19" ht="15" customHeight="1">
      <c r="A19" t="inlineStr">
        <is>
          <t>A 42660-2024</t>
        </is>
      </c>
      <c r="B19" s="1" t="n">
        <v>45566.33841435185</v>
      </c>
      <c r="C19" s="1" t="n">
        <v>46087</v>
      </c>
      <c r="D19" t="inlineStr">
        <is>
          <t>VÄSTRA GÖTALANDS LÄN</t>
        </is>
      </c>
      <c r="E19" t="inlineStr">
        <is>
          <t>ALE</t>
        </is>
      </c>
      <c r="G19" t="n">
        <v>2.5</v>
      </c>
      <c r="H19" t="n">
        <v>2</v>
      </c>
      <c r="I19" t="n">
        <v>0</v>
      </c>
      <c r="J19" t="n">
        <v>0</v>
      </c>
      <c r="K19" t="n">
        <v>0</v>
      </c>
      <c r="L19" t="n">
        <v>0</v>
      </c>
      <c r="M19" t="n">
        <v>0</v>
      </c>
      <c r="N19" t="n">
        <v>0</v>
      </c>
      <c r="O19" t="n">
        <v>0</v>
      </c>
      <c r="P19" t="n">
        <v>0</v>
      </c>
      <c r="Q19" t="n">
        <v>2</v>
      </c>
      <c r="R19" s="2" t="inlineStr">
        <is>
          <t>Mattlummer
Revlummer</t>
        </is>
      </c>
      <c r="S19">
        <f>HYPERLINK("https://klasma.github.io/Logging_1440/artfynd/A 42660-2024 artfynd.xlsx", "A 42660-2024")</f>
        <v/>
      </c>
      <c r="T19">
        <f>HYPERLINK("https://klasma.github.io/Logging_1440/kartor/A 42660-2024 karta.png", "A 42660-2024")</f>
        <v/>
      </c>
      <c r="V19">
        <f>HYPERLINK("https://klasma.github.io/Logging_1440/klagomål/A 42660-2024 FSC-klagomål.docx", "A 42660-2024")</f>
        <v/>
      </c>
      <c r="W19">
        <f>HYPERLINK("https://klasma.github.io/Logging_1440/klagomålsmail/A 42660-2024 FSC-klagomål mail.docx", "A 42660-2024")</f>
        <v/>
      </c>
      <c r="X19">
        <f>HYPERLINK("https://klasma.github.io/Logging_1440/tillsyn/A 42660-2024 tillsynsbegäran.docx", "A 42660-2024")</f>
        <v/>
      </c>
      <c r="Y19">
        <f>HYPERLINK("https://klasma.github.io/Logging_1440/tillsynsmail/A 42660-2024 tillsynsbegäran mail.docx", "A 42660-2024")</f>
        <v/>
      </c>
    </row>
    <row r="20" ht="15" customHeight="1">
      <c r="A20" t="inlineStr">
        <is>
          <t>A 58954-2022</t>
        </is>
      </c>
      <c r="B20" s="1" t="n">
        <v>44903</v>
      </c>
      <c r="C20" s="1" t="n">
        <v>46087</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40931-2025</t>
        </is>
      </c>
      <c r="B21" s="1" t="n">
        <v>45897.64783564815</v>
      </c>
      <c r="C21" s="1" t="n">
        <v>46087</v>
      </c>
      <c r="D21" t="inlineStr">
        <is>
          <t>VÄSTRA GÖTALANDS LÄN</t>
        </is>
      </c>
      <c r="E21" t="inlineStr">
        <is>
          <t>ALE</t>
        </is>
      </c>
      <c r="G21" t="n">
        <v>4.3</v>
      </c>
      <c r="H21" t="n">
        <v>1</v>
      </c>
      <c r="I21" t="n">
        <v>1</v>
      </c>
      <c r="J21" t="n">
        <v>1</v>
      </c>
      <c r="K21" t="n">
        <v>0</v>
      </c>
      <c r="L21" t="n">
        <v>0</v>
      </c>
      <c r="M21" t="n">
        <v>0</v>
      </c>
      <c r="N21" t="n">
        <v>0</v>
      </c>
      <c r="O21" t="n">
        <v>1</v>
      </c>
      <c r="P21" t="n">
        <v>0</v>
      </c>
      <c r="Q21" t="n">
        <v>2</v>
      </c>
      <c r="R21" s="2" t="inlineStr">
        <is>
          <t>Spillkråka
Blåmossa</t>
        </is>
      </c>
      <c r="S21">
        <f>HYPERLINK("https://klasma.github.io/Logging_1440/artfynd/A 40931-2025 artfynd.xlsx", "A 40931-2025")</f>
        <v/>
      </c>
      <c r="T21">
        <f>HYPERLINK("https://klasma.github.io/Logging_1440/kartor/A 40931-2025 karta.png", "A 40931-2025")</f>
        <v/>
      </c>
      <c r="V21">
        <f>HYPERLINK("https://klasma.github.io/Logging_1440/klagomål/A 40931-2025 FSC-klagomål.docx", "A 40931-2025")</f>
        <v/>
      </c>
      <c r="W21">
        <f>HYPERLINK("https://klasma.github.io/Logging_1440/klagomålsmail/A 40931-2025 FSC-klagomål mail.docx", "A 40931-2025")</f>
        <v/>
      </c>
      <c r="X21">
        <f>HYPERLINK("https://klasma.github.io/Logging_1440/tillsyn/A 40931-2025 tillsynsbegäran.docx", "A 40931-2025")</f>
        <v/>
      </c>
      <c r="Y21">
        <f>HYPERLINK("https://klasma.github.io/Logging_1440/tillsynsmail/A 40931-2025 tillsynsbegäran mail.docx", "A 40931-2025")</f>
        <v/>
      </c>
      <c r="Z21">
        <f>HYPERLINK("https://klasma.github.io/Logging_1440/fåglar/A 40931-2025 prioriterade fågelarter.docx", "A 40931-2025")</f>
        <v/>
      </c>
    </row>
    <row r="22" ht="15" customHeight="1">
      <c r="A22" t="inlineStr">
        <is>
          <t>A 8955-2025</t>
        </is>
      </c>
      <c r="B22" s="1" t="n">
        <v>45713.46528935185</v>
      </c>
      <c r="C22" s="1" t="n">
        <v>46087</v>
      </c>
      <c r="D22" t="inlineStr">
        <is>
          <t>VÄSTRA GÖTALANDS LÄN</t>
        </is>
      </c>
      <c r="E22" t="inlineStr">
        <is>
          <t>ALE</t>
        </is>
      </c>
      <c r="G22" t="n">
        <v>1</v>
      </c>
      <c r="H22" t="n">
        <v>2</v>
      </c>
      <c r="I22" t="n">
        <v>0</v>
      </c>
      <c r="J22" t="n">
        <v>1</v>
      </c>
      <c r="K22" t="n">
        <v>0</v>
      </c>
      <c r="L22" t="n">
        <v>0</v>
      </c>
      <c r="M22" t="n">
        <v>0</v>
      </c>
      <c r="N22" t="n">
        <v>0</v>
      </c>
      <c r="O22" t="n">
        <v>1</v>
      </c>
      <c r="P22" t="n">
        <v>0</v>
      </c>
      <c r="Q22" t="n">
        <v>2</v>
      </c>
      <c r="R22" s="2" t="inlineStr">
        <is>
          <t>Spillkråka
Revlummer</t>
        </is>
      </c>
      <c r="S22">
        <f>HYPERLINK("https://klasma.github.io/Logging_1440/artfynd/A 8955-2025 artfynd.xlsx", "A 8955-2025")</f>
        <v/>
      </c>
      <c r="T22">
        <f>HYPERLINK("https://klasma.github.io/Logging_1440/kartor/A 8955-2025 karta.png", "A 8955-2025")</f>
        <v/>
      </c>
      <c r="V22">
        <f>HYPERLINK("https://klasma.github.io/Logging_1440/klagomål/A 8955-2025 FSC-klagomål.docx", "A 8955-2025")</f>
        <v/>
      </c>
      <c r="W22">
        <f>HYPERLINK("https://klasma.github.io/Logging_1440/klagomålsmail/A 8955-2025 FSC-klagomål mail.docx", "A 8955-2025")</f>
        <v/>
      </c>
      <c r="X22">
        <f>HYPERLINK("https://klasma.github.io/Logging_1440/tillsyn/A 8955-2025 tillsynsbegäran.docx", "A 8955-2025")</f>
        <v/>
      </c>
      <c r="Y22">
        <f>HYPERLINK("https://klasma.github.io/Logging_1440/tillsynsmail/A 8955-2025 tillsynsbegäran mail.docx", "A 8955-2025")</f>
        <v/>
      </c>
      <c r="Z22">
        <f>HYPERLINK("https://klasma.github.io/Logging_1440/fåglar/A 8955-2025 prioriterade fågelarter.docx", "A 8955-2025")</f>
        <v/>
      </c>
    </row>
    <row r="23" ht="15" customHeight="1">
      <c r="A23" t="inlineStr">
        <is>
          <t>A 2270-2025</t>
        </is>
      </c>
      <c r="B23" s="1" t="n">
        <v>45673.54403935185</v>
      </c>
      <c r="C23" s="1" t="n">
        <v>46087</v>
      </c>
      <c r="D23" t="inlineStr">
        <is>
          <t>VÄSTRA GÖTALANDS LÄN</t>
        </is>
      </c>
      <c r="E23" t="inlineStr">
        <is>
          <t>ALE</t>
        </is>
      </c>
      <c r="G23" t="n">
        <v>4.1</v>
      </c>
      <c r="H23" t="n">
        <v>2</v>
      </c>
      <c r="I23" t="n">
        <v>0</v>
      </c>
      <c r="J23" t="n">
        <v>1</v>
      </c>
      <c r="K23" t="n">
        <v>0</v>
      </c>
      <c r="L23" t="n">
        <v>0</v>
      </c>
      <c r="M23" t="n">
        <v>0</v>
      </c>
      <c r="N23" t="n">
        <v>0</v>
      </c>
      <c r="O23" t="n">
        <v>1</v>
      </c>
      <c r="P23" t="n">
        <v>0</v>
      </c>
      <c r="Q23" t="n">
        <v>2</v>
      </c>
      <c r="R23" s="2" t="inlineStr">
        <is>
          <t>Spillkråka
Revlummer</t>
        </is>
      </c>
      <c r="S23">
        <f>HYPERLINK("https://klasma.github.io/Logging_1440/artfynd/A 2270-2025 artfynd.xlsx", "A 2270-2025")</f>
        <v/>
      </c>
      <c r="T23">
        <f>HYPERLINK("https://klasma.github.io/Logging_1440/kartor/A 2270-2025 karta.png", "A 2270-2025")</f>
        <v/>
      </c>
      <c r="V23">
        <f>HYPERLINK("https://klasma.github.io/Logging_1440/klagomål/A 2270-2025 FSC-klagomål.docx", "A 2270-2025")</f>
        <v/>
      </c>
      <c r="W23">
        <f>HYPERLINK("https://klasma.github.io/Logging_1440/klagomålsmail/A 2270-2025 FSC-klagomål mail.docx", "A 2270-2025")</f>
        <v/>
      </c>
      <c r="X23">
        <f>HYPERLINK("https://klasma.github.io/Logging_1440/tillsyn/A 2270-2025 tillsynsbegäran.docx", "A 2270-2025")</f>
        <v/>
      </c>
      <c r="Y23">
        <f>HYPERLINK("https://klasma.github.io/Logging_1440/tillsynsmail/A 2270-2025 tillsynsbegäran mail.docx", "A 2270-2025")</f>
        <v/>
      </c>
      <c r="Z23">
        <f>HYPERLINK("https://klasma.github.io/Logging_1440/fåglar/A 2270-2025 prioriterade fågelarter.docx", "A 2270-2025")</f>
        <v/>
      </c>
    </row>
    <row r="24" ht="15" customHeight="1">
      <c r="A24" t="inlineStr">
        <is>
          <t>A 1503-2024</t>
        </is>
      </c>
      <c r="B24" s="1" t="n">
        <v>45306.35041666667</v>
      </c>
      <c r="C24" s="1" t="n">
        <v>46087</v>
      </c>
      <c r="D24" t="inlineStr">
        <is>
          <t>VÄSTRA GÖTALANDS LÄN</t>
        </is>
      </c>
      <c r="E24" t="inlineStr">
        <is>
          <t>ALE</t>
        </is>
      </c>
      <c r="G24" t="n">
        <v>6.6</v>
      </c>
      <c r="H24" t="n">
        <v>2</v>
      </c>
      <c r="I24" t="n">
        <v>0</v>
      </c>
      <c r="J24" t="n">
        <v>1</v>
      </c>
      <c r="K24" t="n">
        <v>0</v>
      </c>
      <c r="L24" t="n">
        <v>0</v>
      </c>
      <c r="M24" t="n">
        <v>0</v>
      </c>
      <c r="N24" t="n">
        <v>0</v>
      </c>
      <c r="O24" t="n">
        <v>1</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13380-2025</t>
        </is>
      </c>
      <c r="B25" s="1" t="n">
        <v>45735.6765162037</v>
      </c>
      <c r="C25" s="1" t="n">
        <v>46087</v>
      </c>
      <c r="D25" t="inlineStr">
        <is>
          <t>VÄSTRA GÖTALANDS LÄN</t>
        </is>
      </c>
      <c r="E25" t="inlineStr">
        <is>
          <t>ALE</t>
        </is>
      </c>
      <c r="G25" t="n">
        <v>1.8</v>
      </c>
      <c r="H25" t="n">
        <v>2</v>
      </c>
      <c r="I25" t="n">
        <v>0</v>
      </c>
      <c r="J25" t="n">
        <v>2</v>
      </c>
      <c r="K25" t="n">
        <v>0</v>
      </c>
      <c r="L25" t="n">
        <v>0</v>
      </c>
      <c r="M25" t="n">
        <v>0</v>
      </c>
      <c r="N25" t="n">
        <v>0</v>
      </c>
      <c r="O25" t="n">
        <v>2</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63569-2023</t>
        </is>
      </c>
      <c r="B26" s="1" t="n">
        <v>45275</v>
      </c>
      <c r="C26" s="1" t="n">
        <v>46087</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16534-2025</t>
        </is>
      </c>
      <c r="B27" s="1" t="n">
        <v>45751.65315972222</v>
      </c>
      <c r="C27" s="1" t="n">
        <v>46087</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46087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46087</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12084-2025</t>
        </is>
      </c>
      <c r="B30" s="1" t="n">
        <v>45728.95387731482</v>
      </c>
      <c r="C30" s="1" t="n">
        <v>46087</v>
      </c>
      <c r="D30" t="inlineStr">
        <is>
          <t>VÄSTRA GÖTALANDS LÄN</t>
        </is>
      </c>
      <c r="E30" t="inlineStr">
        <is>
          <t>ALE</t>
        </is>
      </c>
      <c r="G30" t="n">
        <v>2.4</v>
      </c>
      <c r="H30" t="n">
        <v>2</v>
      </c>
      <c r="I30" t="n">
        <v>0</v>
      </c>
      <c r="J30" t="n">
        <v>1</v>
      </c>
      <c r="K30" t="n">
        <v>0</v>
      </c>
      <c r="L30" t="n">
        <v>0</v>
      </c>
      <c r="M30" t="n">
        <v>0</v>
      </c>
      <c r="N30" t="n">
        <v>0</v>
      </c>
      <c r="O30" t="n">
        <v>1</v>
      </c>
      <c r="P30" t="n">
        <v>0</v>
      </c>
      <c r="Q30" t="n">
        <v>2</v>
      </c>
      <c r="R30" s="2" t="inlineStr">
        <is>
          <t>Spillkråka
Lopplummer (aggregat)</t>
        </is>
      </c>
      <c r="S30">
        <f>HYPERLINK("https://klasma.github.io/Logging_1440/artfynd/A 12084-2025 artfynd.xlsx", "A 12084-2025")</f>
        <v/>
      </c>
      <c r="T30">
        <f>HYPERLINK("https://klasma.github.io/Logging_1440/kartor/A 12084-2025 karta.png", "A 12084-2025")</f>
        <v/>
      </c>
      <c r="V30">
        <f>HYPERLINK("https://klasma.github.io/Logging_1440/klagomål/A 12084-2025 FSC-klagomål.docx", "A 12084-2025")</f>
        <v/>
      </c>
      <c r="W30">
        <f>HYPERLINK("https://klasma.github.io/Logging_1440/klagomålsmail/A 12084-2025 FSC-klagomål mail.docx", "A 12084-2025")</f>
        <v/>
      </c>
      <c r="X30">
        <f>HYPERLINK("https://klasma.github.io/Logging_1440/tillsyn/A 12084-2025 tillsynsbegäran.docx", "A 12084-2025")</f>
        <v/>
      </c>
      <c r="Y30">
        <f>HYPERLINK("https://klasma.github.io/Logging_1440/tillsynsmail/A 12084-2025 tillsynsbegäran mail.docx", "A 12084-2025")</f>
        <v/>
      </c>
      <c r="Z30">
        <f>HYPERLINK("https://klasma.github.io/Logging_1440/fåglar/A 12084-2025 prioriterade fågelarter.docx", "A 12084-2025")</f>
        <v/>
      </c>
    </row>
    <row r="31" ht="15" customHeight="1">
      <c r="A31" t="inlineStr">
        <is>
          <t>A 58412-2025</t>
        </is>
      </c>
      <c r="B31" s="1" t="n">
        <v>45985.57564814815</v>
      </c>
      <c r="C31" s="1" t="n">
        <v>46087</v>
      </c>
      <c r="D31" t="inlineStr">
        <is>
          <t>VÄSTRA GÖTALANDS LÄN</t>
        </is>
      </c>
      <c r="E31" t="inlineStr">
        <is>
          <t>ALE</t>
        </is>
      </c>
      <c r="G31" t="n">
        <v>3.2</v>
      </c>
      <c r="H31" t="n">
        <v>1</v>
      </c>
      <c r="I31" t="n">
        <v>0</v>
      </c>
      <c r="J31" t="n">
        <v>0</v>
      </c>
      <c r="K31" t="n">
        <v>0</v>
      </c>
      <c r="L31" t="n">
        <v>0</v>
      </c>
      <c r="M31" t="n">
        <v>0</v>
      </c>
      <c r="N31" t="n">
        <v>0</v>
      </c>
      <c r="O31" t="n">
        <v>0</v>
      </c>
      <c r="P31" t="n">
        <v>0</v>
      </c>
      <c r="Q31" t="n">
        <v>1</v>
      </c>
      <c r="R31" s="2" t="inlineStr">
        <is>
          <t>Äkta lopplummer</t>
        </is>
      </c>
      <c r="S31">
        <f>HYPERLINK("https://klasma.github.io/Logging_1440/artfynd/A 58412-2025 artfynd.xlsx", "A 58412-2025")</f>
        <v/>
      </c>
      <c r="T31">
        <f>HYPERLINK("https://klasma.github.io/Logging_1440/kartor/A 58412-2025 karta.png", "A 58412-2025")</f>
        <v/>
      </c>
      <c r="V31">
        <f>HYPERLINK("https://klasma.github.io/Logging_1440/klagomål/A 58412-2025 FSC-klagomål.docx", "A 58412-2025")</f>
        <v/>
      </c>
      <c r="W31">
        <f>HYPERLINK("https://klasma.github.io/Logging_1440/klagomålsmail/A 58412-2025 FSC-klagomål mail.docx", "A 58412-2025")</f>
        <v/>
      </c>
      <c r="X31">
        <f>HYPERLINK("https://klasma.github.io/Logging_1440/tillsyn/A 58412-2025 tillsynsbegäran.docx", "A 58412-2025")</f>
        <v/>
      </c>
      <c r="Y31">
        <f>HYPERLINK("https://klasma.github.io/Logging_1440/tillsynsmail/A 58412-2025 tillsynsbegäran mail.docx", "A 58412-2025")</f>
        <v/>
      </c>
    </row>
    <row r="32" ht="15" customHeight="1">
      <c r="A32" t="inlineStr">
        <is>
          <t>A 47330-2025</t>
        </is>
      </c>
      <c r="B32" s="1" t="n">
        <v>45930.56170138889</v>
      </c>
      <c r="C32" s="1" t="n">
        <v>46087</v>
      </c>
      <c r="D32" t="inlineStr">
        <is>
          <t>VÄSTRA GÖTALANDS LÄN</t>
        </is>
      </c>
      <c r="E32" t="inlineStr">
        <is>
          <t>ALE</t>
        </is>
      </c>
      <c r="G32" t="n">
        <v>3.7</v>
      </c>
      <c r="H32" t="n">
        <v>1</v>
      </c>
      <c r="I32" t="n">
        <v>0</v>
      </c>
      <c r="J32" t="n">
        <v>1</v>
      </c>
      <c r="K32" t="n">
        <v>0</v>
      </c>
      <c r="L32" t="n">
        <v>0</v>
      </c>
      <c r="M32" t="n">
        <v>0</v>
      </c>
      <c r="N32" t="n">
        <v>0</v>
      </c>
      <c r="O32" t="n">
        <v>1</v>
      </c>
      <c r="P32" t="n">
        <v>0</v>
      </c>
      <c r="Q32" t="n">
        <v>1</v>
      </c>
      <c r="R32" s="2" t="inlineStr">
        <is>
          <t>Spillkråka</t>
        </is>
      </c>
      <c r="S32">
        <f>HYPERLINK("https://klasma.github.io/Logging_1440/artfynd/A 47330-2025 artfynd.xlsx", "A 47330-2025")</f>
        <v/>
      </c>
      <c r="T32">
        <f>HYPERLINK("https://klasma.github.io/Logging_1440/kartor/A 47330-2025 karta.png", "A 47330-2025")</f>
        <v/>
      </c>
      <c r="V32">
        <f>HYPERLINK("https://klasma.github.io/Logging_1440/klagomål/A 47330-2025 FSC-klagomål.docx", "A 47330-2025")</f>
        <v/>
      </c>
      <c r="W32">
        <f>HYPERLINK("https://klasma.github.io/Logging_1440/klagomålsmail/A 47330-2025 FSC-klagomål mail.docx", "A 47330-2025")</f>
        <v/>
      </c>
      <c r="X32">
        <f>HYPERLINK("https://klasma.github.io/Logging_1440/tillsyn/A 47330-2025 tillsynsbegäran.docx", "A 47330-2025")</f>
        <v/>
      </c>
      <c r="Y32">
        <f>HYPERLINK("https://klasma.github.io/Logging_1440/tillsynsmail/A 47330-2025 tillsynsbegäran mail.docx", "A 47330-2025")</f>
        <v/>
      </c>
      <c r="Z32">
        <f>HYPERLINK("https://klasma.github.io/Logging_1440/fåglar/A 47330-2025 prioriterade fågelarter.docx", "A 47330-2025")</f>
        <v/>
      </c>
    </row>
    <row r="33" ht="15" customHeight="1">
      <c r="A33" t="inlineStr">
        <is>
          <t>A 62524-2025</t>
        </is>
      </c>
      <c r="B33" s="1" t="n">
        <v>46007.6247337963</v>
      </c>
      <c r="C33" s="1" t="n">
        <v>46087</v>
      </c>
      <c r="D33" t="inlineStr">
        <is>
          <t>VÄSTRA GÖTALANDS LÄN</t>
        </is>
      </c>
      <c r="E33" t="inlineStr">
        <is>
          <t>ALE</t>
        </is>
      </c>
      <c r="G33" t="n">
        <v>8</v>
      </c>
      <c r="H33" t="n">
        <v>1</v>
      </c>
      <c r="I33" t="n">
        <v>0</v>
      </c>
      <c r="J33" t="n">
        <v>0</v>
      </c>
      <c r="K33" t="n">
        <v>0</v>
      </c>
      <c r="L33" t="n">
        <v>0</v>
      </c>
      <c r="M33" t="n">
        <v>0</v>
      </c>
      <c r="N33" t="n">
        <v>0</v>
      </c>
      <c r="O33" t="n">
        <v>0</v>
      </c>
      <c r="P33" t="n">
        <v>0</v>
      </c>
      <c r="Q33" t="n">
        <v>1</v>
      </c>
      <c r="R33" s="2" t="inlineStr">
        <is>
          <t>Revlummer</t>
        </is>
      </c>
      <c r="S33">
        <f>HYPERLINK("https://klasma.github.io/Logging_1440/artfynd/A 62524-2025 artfynd.xlsx", "A 62524-2025")</f>
        <v/>
      </c>
      <c r="T33">
        <f>HYPERLINK("https://klasma.github.io/Logging_1440/kartor/A 62524-2025 karta.png", "A 62524-2025")</f>
        <v/>
      </c>
      <c r="V33">
        <f>HYPERLINK("https://klasma.github.io/Logging_1440/klagomål/A 62524-2025 FSC-klagomål.docx", "A 62524-2025")</f>
        <v/>
      </c>
      <c r="W33">
        <f>HYPERLINK("https://klasma.github.io/Logging_1440/klagomålsmail/A 62524-2025 FSC-klagomål mail.docx", "A 62524-2025")</f>
        <v/>
      </c>
      <c r="X33">
        <f>HYPERLINK("https://klasma.github.io/Logging_1440/tillsyn/A 62524-2025 tillsynsbegäran.docx", "A 62524-2025")</f>
        <v/>
      </c>
      <c r="Y33">
        <f>HYPERLINK("https://klasma.github.io/Logging_1440/tillsynsmail/A 62524-2025 tillsynsbegäran mail.docx", "A 62524-2025")</f>
        <v/>
      </c>
    </row>
    <row r="34" ht="15" customHeight="1">
      <c r="A34" t="inlineStr">
        <is>
          <t>A 26677-2025</t>
        </is>
      </c>
      <c r="B34" s="1" t="n">
        <v>45810.42446759259</v>
      </c>
      <c r="C34" s="1" t="n">
        <v>46087</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13902-2025</t>
        </is>
      </c>
      <c r="B35" s="1" t="n">
        <v>45737.63446759259</v>
      </c>
      <c r="C35" s="1" t="n">
        <v>46087</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26493-2024</t>
        </is>
      </c>
      <c r="B36" s="1" t="n">
        <v>45469</v>
      </c>
      <c r="C36" s="1" t="n">
        <v>46087</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12982-2024</t>
        </is>
      </c>
      <c r="B37" s="1" t="n">
        <v>45385.53569444444</v>
      </c>
      <c r="C37" s="1" t="n">
        <v>46087</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21281-2021</t>
        </is>
      </c>
      <c r="B38" s="1" t="n">
        <v>44320.61850694445</v>
      </c>
      <c r="C38" s="1" t="n">
        <v>46087</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46087</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46087</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46087</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46087</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46087</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46087</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3179-2022</t>
        </is>
      </c>
      <c r="B45" s="1" t="n">
        <v>44582.61788194445</v>
      </c>
      <c r="C45" s="1" t="n">
        <v>46087</v>
      </c>
      <c r="D45" t="inlineStr">
        <is>
          <t>VÄSTRA GÖTALANDS LÄN</t>
        </is>
      </c>
      <c r="E45" t="inlineStr">
        <is>
          <t>ALE</t>
        </is>
      </c>
      <c r="G45" t="n">
        <v>2.9</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46087</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65222-2021</t>
        </is>
      </c>
      <c r="B47" s="1" t="n">
        <v>44515</v>
      </c>
      <c r="C47" s="1" t="n">
        <v>46087</v>
      </c>
      <c r="D47" t="inlineStr">
        <is>
          <t>VÄSTRA GÖTALANDS LÄN</t>
        </is>
      </c>
      <c r="E47" t="inlineStr">
        <is>
          <t>ALE</t>
        </is>
      </c>
      <c r="G47" t="n">
        <v>1.2</v>
      </c>
      <c r="H47" t="n">
        <v>0</v>
      </c>
      <c r="I47" t="n">
        <v>0</v>
      </c>
      <c r="J47" t="n">
        <v>0</v>
      </c>
      <c r="K47" t="n">
        <v>0</v>
      </c>
      <c r="L47" t="n">
        <v>0</v>
      </c>
      <c r="M47" t="n">
        <v>0</v>
      </c>
      <c r="N47" t="n">
        <v>0</v>
      </c>
      <c r="O47" t="n">
        <v>0</v>
      </c>
      <c r="P47" t="n">
        <v>0</v>
      </c>
      <c r="Q47" t="n">
        <v>0</v>
      </c>
      <c r="R47" s="2" t="inlineStr"/>
    </row>
    <row r="48" ht="15" customHeight="1">
      <c r="A48" t="inlineStr">
        <is>
          <t>A 22138-2021</t>
        </is>
      </c>
      <c r="B48" s="1" t="n">
        <v>44324.67472222223</v>
      </c>
      <c r="C48" s="1" t="n">
        <v>46087</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35148-2021</t>
        </is>
      </c>
      <c r="B49" s="1" t="n">
        <v>44384</v>
      </c>
      <c r="C49" s="1" t="n">
        <v>46087</v>
      </c>
      <c r="D49" t="inlineStr">
        <is>
          <t>VÄSTRA GÖTALANDS LÄN</t>
        </is>
      </c>
      <c r="E49" t="inlineStr">
        <is>
          <t>ALE</t>
        </is>
      </c>
      <c r="G49" t="n">
        <v>1.1</v>
      </c>
      <c r="H49" t="n">
        <v>0</v>
      </c>
      <c r="I49" t="n">
        <v>0</v>
      </c>
      <c r="J49" t="n">
        <v>0</v>
      </c>
      <c r="K49" t="n">
        <v>0</v>
      </c>
      <c r="L49" t="n">
        <v>0</v>
      </c>
      <c r="M49" t="n">
        <v>0</v>
      </c>
      <c r="N49" t="n">
        <v>0</v>
      </c>
      <c r="O49" t="n">
        <v>0</v>
      </c>
      <c r="P49" t="n">
        <v>0</v>
      </c>
      <c r="Q49" t="n">
        <v>0</v>
      </c>
      <c r="R49" s="2" t="inlineStr"/>
    </row>
    <row r="50" ht="15" customHeight="1">
      <c r="A50" t="inlineStr">
        <is>
          <t>A 66893-2021</t>
        </is>
      </c>
      <c r="B50" s="1" t="n">
        <v>44522.49439814815</v>
      </c>
      <c r="C50" s="1" t="n">
        <v>46087</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15508-2022</t>
        </is>
      </c>
      <c r="B51" s="1" t="n">
        <v>44662.39761574074</v>
      </c>
      <c r="C51" s="1" t="n">
        <v>46087</v>
      </c>
      <c r="D51" t="inlineStr">
        <is>
          <t>VÄSTRA GÖTALANDS LÄN</t>
        </is>
      </c>
      <c r="E51" t="inlineStr">
        <is>
          <t>ALE</t>
        </is>
      </c>
      <c r="G51" t="n">
        <v>0.4</v>
      </c>
      <c r="H51" t="n">
        <v>0</v>
      </c>
      <c r="I51" t="n">
        <v>0</v>
      </c>
      <c r="J51" t="n">
        <v>0</v>
      </c>
      <c r="K51" t="n">
        <v>0</v>
      </c>
      <c r="L51" t="n">
        <v>0</v>
      </c>
      <c r="M51" t="n">
        <v>0</v>
      </c>
      <c r="N51" t="n">
        <v>0</v>
      </c>
      <c r="O51" t="n">
        <v>0</v>
      </c>
      <c r="P51" t="n">
        <v>0</v>
      </c>
      <c r="Q51" t="n">
        <v>0</v>
      </c>
      <c r="R51" s="2" t="inlineStr"/>
    </row>
    <row r="52" ht="15" customHeight="1">
      <c r="A52" t="inlineStr">
        <is>
          <t>A 31566-2021</t>
        </is>
      </c>
      <c r="B52" s="1" t="n">
        <v>44369</v>
      </c>
      <c r="C52" s="1" t="n">
        <v>46087</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46087</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46087</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46087</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53144-2021</t>
        </is>
      </c>
      <c r="B56" s="1" t="n">
        <v>44468</v>
      </c>
      <c r="C56" s="1" t="n">
        <v>46087</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20285-2022</t>
        </is>
      </c>
      <c r="B57" s="1" t="n">
        <v>44698.76347222222</v>
      </c>
      <c r="C57" s="1" t="n">
        <v>46087</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53476-2023</t>
        </is>
      </c>
      <c r="B58" s="1" t="n">
        <v>45230.33737268519</v>
      </c>
      <c r="C58" s="1" t="n">
        <v>46087</v>
      </c>
      <c r="D58" t="inlineStr">
        <is>
          <t>VÄSTRA GÖTALANDS LÄN</t>
        </is>
      </c>
      <c r="E58" t="inlineStr">
        <is>
          <t>ALE</t>
        </is>
      </c>
      <c r="G58" t="n">
        <v>1.9</v>
      </c>
      <c r="H58" t="n">
        <v>0</v>
      </c>
      <c r="I58" t="n">
        <v>0</v>
      </c>
      <c r="J58" t="n">
        <v>0</v>
      </c>
      <c r="K58" t="n">
        <v>0</v>
      </c>
      <c r="L58" t="n">
        <v>0</v>
      </c>
      <c r="M58" t="n">
        <v>0</v>
      </c>
      <c r="N58" t="n">
        <v>0</v>
      </c>
      <c r="O58" t="n">
        <v>0</v>
      </c>
      <c r="P58" t="n">
        <v>0</v>
      </c>
      <c r="Q58" t="n">
        <v>0</v>
      </c>
      <c r="R58" s="2" t="inlineStr"/>
    </row>
    <row r="59" ht="15" customHeight="1">
      <c r="A59" t="inlineStr">
        <is>
          <t>A 41607-2022</t>
        </is>
      </c>
      <c r="B59" s="1" t="n">
        <v>44827.46658564815</v>
      </c>
      <c r="C59" s="1" t="n">
        <v>46087</v>
      </c>
      <c r="D59" t="inlineStr">
        <is>
          <t>VÄSTRA GÖTALANDS LÄN</t>
        </is>
      </c>
      <c r="E59" t="inlineStr">
        <is>
          <t>ALE</t>
        </is>
      </c>
      <c r="G59" t="n">
        <v>3.6</v>
      </c>
      <c r="H59" t="n">
        <v>0</v>
      </c>
      <c r="I59" t="n">
        <v>0</v>
      </c>
      <c r="J59" t="n">
        <v>0</v>
      </c>
      <c r="K59" t="n">
        <v>0</v>
      </c>
      <c r="L59" t="n">
        <v>0</v>
      </c>
      <c r="M59" t="n">
        <v>0</v>
      </c>
      <c r="N59" t="n">
        <v>0</v>
      </c>
      <c r="O59" t="n">
        <v>0</v>
      </c>
      <c r="P59" t="n">
        <v>0</v>
      </c>
      <c r="Q59" t="n">
        <v>0</v>
      </c>
      <c r="R59" s="2" t="inlineStr"/>
    </row>
    <row r="60" ht="15" customHeight="1">
      <c r="A60" t="inlineStr">
        <is>
          <t>A 47592-2025</t>
        </is>
      </c>
      <c r="B60" s="1" t="n">
        <v>45931.44649305556</v>
      </c>
      <c r="C60" s="1" t="n">
        <v>46087</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47593-2025</t>
        </is>
      </c>
      <c r="B61" s="1" t="n">
        <v>45931.4480787037</v>
      </c>
      <c r="C61" s="1" t="n">
        <v>46087</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15582-2025</t>
        </is>
      </c>
      <c r="B62" s="1" t="n">
        <v>45747.81394675926</v>
      </c>
      <c r="C62" s="1" t="n">
        <v>46087</v>
      </c>
      <c r="D62" t="inlineStr">
        <is>
          <t>VÄSTRA GÖTALANDS LÄN</t>
        </is>
      </c>
      <c r="E62" t="inlineStr">
        <is>
          <t>ALE</t>
        </is>
      </c>
      <c r="G62" t="n">
        <v>2.2</v>
      </c>
      <c r="H62" t="n">
        <v>0</v>
      </c>
      <c r="I62" t="n">
        <v>0</v>
      </c>
      <c r="J62" t="n">
        <v>0</v>
      </c>
      <c r="K62" t="n">
        <v>0</v>
      </c>
      <c r="L62" t="n">
        <v>0</v>
      </c>
      <c r="M62" t="n">
        <v>0</v>
      </c>
      <c r="N62" t="n">
        <v>0</v>
      </c>
      <c r="O62" t="n">
        <v>0</v>
      </c>
      <c r="P62" t="n">
        <v>0</v>
      </c>
      <c r="Q62" t="n">
        <v>0</v>
      </c>
      <c r="R62" s="2" t="inlineStr"/>
    </row>
    <row r="63" ht="15" customHeight="1">
      <c r="A63" t="inlineStr">
        <is>
          <t>A 47728-2025</t>
        </is>
      </c>
      <c r="B63" s="1" t="n">
        <v>45931.63186342592</v>
      </c>
      <c r="C63" s="1" t="n">
        <v>46087</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57473-2022</t>
        </is>
      </c>
      <c r="B64" s="1" t="n">
        <v>44896</v>
      </c>
      <c r="C64" s="1" t="n">
        <v>46087</v>
      </c>
      <c r="D64" t="inlineStr">
        <is>
          <t>VÄSTRA GÖTALANDS LÄN</t>
        </is>
      </c>
      <c r="E64" t="inlineStr">
        <is>
          <t>ALE</t>
        </is>
      </c>
      <c r="G64" t="n">
        <v>0.7</v>
      </c>
      <c r="H64" t="n">
        <v>0</v>
      </c>
      <c r="I64" t="n">
        <v>0</v>
      </c>
      <c r="J64" t="n">
        <v>0</v>
      </c>
      <c r="K64" t="n">
        <v>0</v>
      </c>
      <c r="L64" t="n">
        <v>0</v>
      </c>
      <c r="M64" t="n">
        <v>0</v>
      </c>
      <c r="N64" t="n">
        <v>0</v>
      </c>
      <c r="O64" t="n">
        <v>0</v>
      </c>
      <c r="P64" t="n">
        <v>0</v>
      </c>
      <c r="Q64" t="n">
        <v>0</v>
      </c>
      <c r="R64" s="2" t="inlineStr"/>
    </row>
    <row r="65" ht="15" customHeight="1">
      <c r="A65" t="inlineStr">
        <is>
          <t>A 26157-2023</t>
        </is>
      </c>
      <c r="B65" s="1" t="n">
        <v>45091.50479166667</v>
      </c>
      <c r="C65" s="1" t="n">
        <v>46087</v>
      </c>
      <c r="D65" t="inlineStr">
        <is>
          <t>VÄSTRA GÖTALANDS LÄN</t>
        </is>
      </c>
      <c r="E65" t="inlineStr">
        <is>
          <t>ALE</t>
        </is>
      </c>
      <c r="G65" t="n">
        <v>2.6</v>
      </c>
      <c r="H65" t="n">
        <v>0</v>
      </c>
      <c r="I65" t="n">
        <v>0</v>
      </c>
      <c r="J65" t="n">
        <v>0</v>
      </c>
      <c r="K65" t="n">
        <v>0</v>
      </c>
      <c r="L65" t="n">
        <v>0</v>
      </c>
      <c r="M65" t="n">
        <v>0</v>
      </c>
      <c r="N65" t="n">
        <v>0</v>
      </c>
      <c r="O65" t="n">
        <v>0</v>
      </c>
      <c r="P65" t="n">
        <v>0</v>
      </c>
      <c r="Q65" t="n">
        <v>0</v>
      </c>
      <c r="R65" s="2" t="inlineStr"/>
    </row>
    <row r="66" ht="15" customHeight="1">
      <c r="A66" t="inlineStr">
        <is>
          <t>A 1566-2022</t>
        </is>
      </c>
      <c r="B66" s="1" t="n">
        <v>44573</v>
      </c>
      <c r="C66" s="1" t="n">
        <v>46087</v>
      </c>
      <c r="D66" t="inlineStr">
        <is>
          <t>VÄSTRA GÖTALANDS LÄN</t>
        </is>
      </c>
      <c r="E66" t="inlineStr">
        <is>
          <t>ALE</t>
        </is>
      </c>
      <c r="G66" t="n">
        <v>3</v>
      </c>
      <c r="H66" t="n">
        <v>0</v>
      </c>
      <c r="I66" t="n">
        <v>0</v>
      </c>
      <c r="J66" t="n">
        <v>0</v>
      </c>
      <c r="K66" t="n">
        <v>0</v>
      </c>
      <c r="L66" t="n">
        <v>0</v>
      </c>
      <c r="M66" t="n">
        <v>0</v>
      </c>
      <c r="N66" t="n">
        <v>0</v>
      </c>
      <c r="O66" t="n">
        <v>0</v>
      </c>
      <c r="P66" t="n">
        <v>0</v>
      </c>
      <c r="Q66" t="n">
        <v>0</v>
      </c>
      <c r="R66" s="2" t="inlineStr"/>
    </row>
    <row r="67" ht="15" customHeight="1">
      <c r="A67" t="inlineStr">
        <is>
          <t>A 12445-2022</t>
        </is>
      </c>
      <c r="B67" s="1" t="n">
        <v>44638</v>
      </c>
      <c r="C67" s="1" t="n">
        <v>46087</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48213-2025</t>
        </is>
      </c>
      <c r="B68" s="1" t="n">
        <v>45933</v>
      </c>
      <c r="C68" s="1" t="n">
        <v>46087</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48218-2025</t>
        </is>
      </c>
      <c r="B69" s="1" t="n">
        <v>45933</v>
      </c>
      <c r="C69" s="1" t="n">
        <v>46087</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14493-2024</t>
        </is>
      </c>
      <c r="B70" s="1" t="n">
        <v>45394.58491898148</v>
      </c>
      <c r="C70" s="1" t="n">
        <v>46087</v>
      </c>
      <c r="D70" t="inlineStr">
        <is>
          <t>VÄSTRA GÖTALANDS LÄN</t>
        </is>
      </c>
      <c r="E70" t="inlineStr">
        <is>
          <t>ALE</t>
        </is>
      </c>
      <c r="G70" t="n">
        <v>2.3</v>
      </c>
      <c r="H70" t="n">
        <v>0</v>
      </c>
      <c r="I70" t="n">
        <v>0</v>
      </c>
      <c r="J70" t="n">
        <v>0</v>
      </c>
      <c r="K70" t="n">
        <v>0</v>
      </c>
      <c r="L70" t="n">
        <v>0</v>
      </c>
      <c r="M70" t="n">
        <v>0</v>
      </c>
      <c r="N70" t="n">
        <v>0</v>
      </c>
      <c r="O70" t="n">
        <v>0</v>
      </c>
      <c r="P70" t="n">
        <v>0</v>
      </c>
      <c r="Q70" t="n">
        <v>0</v>
      </c>
      <c r="R70" s="2" t="inlineStr"/>
    </row>
    <row r="71" ht="15" customHeight="1">
      <c r="A71" t="inlineStr">
        <is>
          <t>A 36763-2022</t>
        </is>
      </c>
      <c r="B71" s="1" t="n">
        <v>44805</v>
      </c>
      <c r="C71" s="1" t="n">
        <v>46087</v>
      </c>
      <c r="D71" t="inlineStr">
        <is>
          <t>VÄSTRA GÖTALANDS LÄN</t>
        </is>
      </c>
      <c r="E71" t="inlineStr">
        <is>
          <t>ALE</t>
        </is>
      </c>
      <c r="G71" t="n">
        <v>6.1</v>
      </c>
      <c r="H71" t="n">
        <v>0</v>
      </c>
      <c r="I71" t="n">
        <v>0</v>
      </c>
      <c r="J71" t="n">
        <v>0</v>
      </c>
      <c r="K71" t="n">
        <v>0</v>
      </c>
      <c r="L71" t="n">
        <v>0</v>
      </c>
      <c r="M71" t="n">
        <v>0</v>
      </c>
      <c r="N71" t="n">
        <v>0</v>
      </c>
      <c r="O71" t="n">
        <v>0</v>
      </c>
      <c r="P71" t="n">
        <v>0</v>
      </c>
      <c r="Q71" t="n">
        <v>0</v>
      </c>
      <c r="R71" s="2" t="inlineStr"/>
    </row>
    <row r="72" ht="15" customHeight="1">
      <c r="A72" t="inlineStr">
        <is>
          <t>A 50189-2025</t>
        </is>
      </c>
      <c r="B72" s="1" t="n">
        <v>45943.63476851852</v>
      </c>
      <c r="C72" s="1" t="n">
        <v>46087</v>
      </c>
      <c r="D72" t="inlineStr">
        <is>
          <t>VÄSTRA GÖTALANDS LÄN</t>
        </is>
      </c>
      <c r="E72" t="inlineStr">
        <is>
          <t>ALE</t>
        </is>
      </c>
      <c r="G72" t="n">
        <v>3</v>
      </c>
      <c r="H72" t="n">
        <v>0</v>
      </c>
      <c r="I72" t="n">
        <v>0</v>
      </c>
      <c r="J72" t="n">
        <v>0</v>
      </c>
      <c r="K72" t="n">
        <v>0</v>
      </c>
      <c r="L72" t="n">
        <v>0</v>
      </c>
      <c r="M72" t="n">
        <v>0</v>
      </c>
      <c r="N72" t="n">
        <v>0</v>
      </c>
      <c r="O72" t="n">
        <v>0</v>
      </c>
      <c r="P72" t="n">
        <v>0</v>
      </c>
      <c r="Q72" t="n">
        <v>0</v>
      </c>
      <c r="R72" s="2" t="inlineStr"/>
    </row>
    <row r="73" ht="15" customHeight="1">
      <c r="A73" t="inlineStr">
        <is>
          <t>A 56493-2021</t>
        </is>
      </c>
      <c r="B73" s="1" t="n">
        <v>44480.57173611111</v>
      </c>
      <c r="C73" s="1" t="n">
        <v>46087</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46087</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5875-2023</t>
        </is>
      </c>
      <c r="B75" s="1" t="n">
        <v>44963</v>
      </c>
      <c r="C75" s="1" t="n">
        <v>46087</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50973-2025</t>
        </is>
      </c>
      <c r="B76" s="1" t="n">
        <v>45947.31263888889</v>
      </c>
      <c r="C76" s="1" t="n">
        <v>46087</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40074-2025</t>
        </is>
      </c>
      <c r="B77" s="1" t="n">
        <v>45894.44685185186</v>
      </c>
      <c r="C77" s="1" t="n">
        <v>46087</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3407-2023</t>
        </is>
      </c>
      <c r="B78" s="1" t="n">
        <v>44949.54909722223</v>
      </c>
      <c r="C78" s="1" t="n">
        <v>46087</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51976-2025</t>
        </is>
      </c>
      <c r="B79" s="1" t="n">
        <v>45952.56412037037</v>
      </c>
      <c r="C79" s="1" t="n">
        <v>46087</v>
      </c>
      <c r="D79" t="inlineStr">
        <is>
          <t>VÄSTRA GÖTALANDS LÄN</t>
        </is>
      </c>
      <c r="E79" t="inlineStr">
        <is>
          <t>ALE</t>
        </is>
      </c>
      <c r="G79" t="n">
        <v>5.2</v>
      </c>
      <c r="H79" t="n">
        <v>0</v>
      </c>
      <c r="I79" t="n">
        <v>0</v>
      </c>
      <c r="J79" t="n">
        <v>0</v>
      </c>
      <c r="K79" t="n">
        <v>0</v>
      </c>
      <c r="L79" t="n">
        <v>0</v>
      </c>
      <c r="M79" t="n">
        <v>0</v>
      </c>
      <c r="N79" t="n">
        <v>0</v>
      </c>
      <c r="O79" t="n">
        <v>0</v>
      </c>
      <c r="P79" t="n">
        <v>0</v>
      </c>
      <c r="Q79" t="n">
        <v>0</v>
      </c>
      <c r="R79" s="2" t="inlineStr"/>
    </row>
    <row r="80" ht="15" customHeight="1">
      <c r="A80" t="inlineStr">
        <is>
          <t>A 51564-2023</t>
        </is>
      </c>
      <c r="B80" s="1" t="n">
        <v>45222</v>
      </c>
      <c r="C80" s="1" t="n">
        <v>46087</v>
      </c>
      <c r="D80" t="inlineStr">
        <is>
          <t>VÄSTRA GÖTALANDS LÄN</t>
        </is>
      </c>
      <c r="E80" t="inlineStr">
        <is>
          <t>ALE</t>
        </is>
      </c>
      <c r="G80" t="n">
        <v>1.5</v>
      </c>
      <c r="H80" t="n">
        <v>0</v>
      </c>
      <c r="I80" t="n">
        <v>0</v>
      </c>
      <c r="J80" t="n">
        <v>0</v>
      </c>
      <c r="K80" t="n">
        <v>0</v>
      </c>
      <c r="L80" t="n">
        <v>0</v>
      </c>
      <c r="M80" t="n">
        <v>0</v>
      </c>
      <c r="N80" t="n">
        <v>0</v>
      </c>
      <c r="O80" t="n">
        <v>0</v>
      </c>
      <c r="P80" t="n">
        <v>0</v>
      </c>
      <c r="Q80" t="n">
        <v>0</v>
      </c>
      <c r="R80" s="2" t="inlineStr"/>
    </row>
    <row r="81" ht="15" customHeight="1">
      <c r="A81" t="inlineStr">
        <is>
          <t>A 52391-2025</t>
        </is>
      </c>
      <c r="B81" s="1" t="n">
        <v>45954.34305555555</v>
      </c>
      <c r="C81" s="1" t="n">
        <v>46087</v>
      </c>
      <c r="D81" t="inlineStr">
        <is>
          <t>VÄSTRA GÖTALANDS LÄN</t>
        </is>
      </c>
      <c r="E81" t="inlineStr">
        <is>
          <t>ALE</t>
        </is>
      </c>
      <c r="G81" t="n">
        <v>10.6</v>
      </c>
      <c r="H81" t="n">
        <v>0</v>
      </c>
      <c r="I81" t="n">
        <v>0</v>
      </c>
      <c r="J81" t="n">
        <v>0</v>
      </c>
      <c r="K81" t="n">
        <v>0</v>
      </c>
      <c r="L81" t="n">
        <v>0</v>
      </c>
      <c r="M81" t="n">
        <v>0</v>
      </c>
      <c r="N81" t="n">
        <v>0</v>
      </c>
      <c r="O81" t="n">
        <v>0</v>
      </c>
      <c r="P81" t="n">
        <v>0</v>
      </c>
      <c r="Q81" t="n">
        <v>0</v>
      </c>
      <c r="R81" s="2" t="inlineStr"/>
    </row>
    <row r="82" ht="15" customHeight="1">
      <c r="A82" t="inlineStr">
        <is>
          <t>A 52423-2025</t>
        </is>
      </c>
      <c r="B82" s="1" t="n">
        <v>45954.37650462963</v>
      </c>
      <c r="C82" s="1" t="n">
        <v>46087</v>
      </c>
      <c r="D82" t="inlineStr">
        <is>
          <t>VÄSTRA GÖTALANDS LÄN</t>
        </is>
      </c>
      <c r="E82" t="inlineStr">
        <is>
          <t>ALE</t>
        </is>
      </c>
      <c r="G82" t="n">
        <v>4.1</v>
      </c>
      <c r="H82" t="n">
        <v>0</v>
      </c>
      <c r="I82" t="n">
        <v>0</v>
      </c>
      <c r="J82" t="n">
        <v>0</v>
      </c>
      <c r="K82" t="n">
        <v>0</v>
      </c>
      <c r="L82" t="n">
        <v>0</v>
      </c>
      <c r="M82" t="n">
        <v>0</v>
      </c>
      <c r="N82" t="n">
        <v>0</v>
      </c>
      <c r="O82" t="n">
        <v>0</v>
      </c>
      <c r="P82" t="n">
        <v>0</v>
      </c>
      <c r="Q82" t="n">
        <v>0</v>
      </c>
      <c r="R82" s="2" t="inlineStr"/>
    </row>
    <row r="83" ht="15" customHeight="1">
      <c r="A83" t="inlineStr">
        <is>
          <t>A 22946-2025</t>
        </is>
      </c>
      <c r="B83" s="1" t="n">
        <v>45790.48229166667</v>
      </c>
      <c r="C83" s="1" t="n">
        <v>46087</v>
      </c>
      <c r="D83" t="inlineStr">
        <is>
          <t>VÄSTRA GÖTALANDS LÄN</t>
        </is>
      </c>
      <c r="E83" t="inlineStr">
        <is>
          <t>ALE</t>
        </is>
      </c>
      <c r="G83" t="n">
        <v>0.6</v>
      </c>
      <c r="H83" t="n">
        <v>0</v>
      </c>
      <c r="I83" t="n">
        <v>0</v>
      </c>
      <c r="J83" t="n">
        <v>0</v>
      </c>
      <c r="K83" t="n">
        <v>0</v>
      </c>
      <c r="L83" t="n">
        <v>0</v>
      </c>
      <c r="M83" t="n">
        <v>0</v>
      </c>
      <c r="N83" t="n">
        <v>0</v>
      </c>
      <c r="O83" t="n">
        <v>0</v>
      </c>
      <c r="P83" t="n">
        <v>0</v>
      </c>
      <c r="Q83" t="n">
        <v>0</v>
      </c>
      <c r="R83" s="2" t="inlineStr"/>
    </row>
    <row r="84" ht="15" customHeight="1">
      <c r="A84" t="inlineStr">
        <is>
          <t>A 13426-2025</t>
        </is>
      </c>
      <c r="B84" s="1" t="n">
        <v>45736.32780092592</v>
      </c>
      <c r="C84" s="1" t="n">
        <v>46087</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36403-2024</t>
        </is>
      </c>
      <c r="B85" s="1" t="n">
        <v>45535.69445601852</v>
      </c>
      <c r="C85" s="1" t="n">
        <v>46087</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4971-2024</t>
        </is>
      </c>
      <c r="B86" s="1" t="n">
        <v>45329</v>
      </c>
      <c r="C86" s="1" t="n">
        <v>46087</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37461-2024</t>
        </is>
      </c>
      <c r="B87" s="1" t="n">
        <v>45540.72516203704</v>
      </c>
      <c r="C87" s="1" t="n">
        <v>46087</v>
      </c>
      <c r="D87" t="inlineStr">
        <is>
          <t>VÄSTRA GÖTALANDS LÄN</t>
        </is>
      </c>
      <c r="E87" t="inlineStr">
        <is>
          <t>ALE</t>
        </is>
      </c>
      <c r="G87" t="n">
        <v>1.6</v>
      </c>
      <c r="H87" t="n">
        <v>0</v>
      </c>
      <c r="I87" t="n">
        <v>0</v>
      </c>
      <c r="J87" t="n">
        <v>0</v>
      </c>
      <c r="K87" t="n">
        <v>0</v>
      </c>
      <c r="L87" t="n">
        <v>0</v>
      </c>
      <c r="M87" t="n">
        <v>0</v>
      </c>
      <c r="N87" t="n">
        <v>0</v>
      </c>
      <c r="O87" t="n">
        <v>0</v>
      </c>
      <c r="P87" t="n">
        <v>0</v>
      </c>
      <c r="Q87" t="n">
        <v>0</v>
      </c>
      <c r="R87" s="2" t="inlineStr"/>
    </row>
    <row r="88" ht="15" customHeight="1">
      <c r="A88" t="inlineStr">
        <is>
          <t>A 55405-2021</t>
        </is>
      </c>
      <c r="B88" s="1" t="n">
        <v>44475.53733796296</v>
      </c>
      <c r="C88" s="1" t="n">
        <v>46087</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56905-2025</t>
        </is>
      </c>
      <c r="B89" s="1" t="n">
        <v>45978.57502314815</v>
      </c>
      <c r="C89" s="1" t="n">
        <v>46087</v>
      </c>
      <c r="D89" t="inlineStr">
        <is>
          <t>VÄSTRA GÖTALANDS LÄN</t>
        </is>
      </c>
      <c r="E89" t="inlineStr">
        <is>
          <t>ALE</t>
        </is>
      </c>
      <c r="G89" t="n">
        <v>5.2</v>
      </c>
      <c r="H89" t="n">
        <v>0</v>
      </c>
      <c r="I89" t="n">
        <v>0</v>
      </c>
      <c r="J89" t="n">
        <v>0</v>
      </c>
      <c r="K89" t="n">
        <v>0</v>
      </c>
      <c r="L89" t="n">
        <v>0</v>
      </c>
      <c r="M89" t="n">
        <v>0</v>
      </c>
      <c r="N89" t="n">
        <v>0</v>
      </c>
      <c r="O89" t="n">
        <v>0</v>
      </c>
      <c r="P89" t="n">
        <v>0</v>
      </c>
      <c r="Q89" t="n">
        <v>0</v>
      </c>
      <c r="R89" s="2" t="inlineStr"/>
    </row>
    <row r="90" ht="15" customHeight="1">
      <c r="A90" t="inlineStr">
        <is>
          <t>A 46226-2025</t>
        </is>
      </c>
      <c r="B90" s="1" t="n">
        <v>45924</v>
      </c>
      <c r="C90" s="1" t="n">
        <v>46087</v>
      </c>
      <c r="D90" t="inlineStr">
        <is>
          <t>VÄSTRA GÖTALANDS LÄN</t>
        </is>
      </c>
      <c r="E90" t="inlineStr">
        <is>
          <t>ALE</t>
        </is>
      </c>
      <c r="G90" t="n">
        <v>2.3</v>
      </c>
      <c r="H90" t="n">
        <v>0</v>
      </c>
      <c r="I90" t="n">
        <v>0</v>
      </c>
      <c r="J90" t="n">
        <v>0</v>
      </c>
      <c r="K90" t="n">
        <v>0</v>
      </c>
      <c r="L90" t="n">
        <v>0</v>
      </c>
      <c r="M90" t="n">
        <v>0</v>
      </c>
      <c r="N90" t="n">
        <v>0</v>
      </c>
      <c r="O90" t="n">
        <v>0</v>
      </c>
      <c r="P90" t="n">
        <v>0</v>
      </c>
      <c r="Q90" t="n">
        <v>0</v>
      </c>
      <c r="R90" s="2" t="inlineStr"/>
    </row>
    <row r="91" ht="15" customHeight="1">
      <c r="A91" t="inlineStr">
        <is>
          <t>A 58414-2025</t>
        </is>
      </c>
      <c r="B91" s="1" t="n">
        <v>45985.57778935185</v>
      </c>
      <c r="C91" s="1" t="n">
        <v>46087</v>
      </c>
      <c r="D91" t="inlineStr">
        <is>
          <t>VÄSTRA GÖTALANDS LÄN</t>
        </is>
      </c>
      <c r="E91" t="inlineStr">
        <is>
          <t>ALE</t>
        </is>
      </c>
      <c r="G91" t="n">
        <v>4.3</v>
      </c>
      <c r="H91" t="n">
        <v>0</v>
      </c>
      <c r="I91" t="n">
        <v>0</v>
      </c>
      <c r="J91" t="n">
        <v>0</v>
      </c>
      <c r="K91" t="n">
        <v>0</v>
      </c>
      <c r="L91" t="n">
        <v>0</v>
      </c>
      <c r="M91" t="n">
        <v>0</v>
      </c>
      <c r="N91" t="n">
        <v>0</v>
      </c>
      <c r="O91" t="n">
        <v>0</v>
      </c>
      <c r="P91" t="n">
        <v>0</v>
      </c>
      <c r="Q91" t="n">
        <v>0</v>
      </c>
      <c r="R91" s="2" t="inlineStr"/>
    </row>
    <row r="92" ht="15" customHeight="1">
      <c r="A92" t="inlineStr">
        <is>
          <t>A 46227-2025</t>
        </is>
      </c>
      <c r="B92" s="1" t="n">
        <v>45924.90386574074</v>
      </c>
      <c r="C92" s="1" t="n">
        <v>46087</v>
      </c>
      <c r="D92" t="inlineStr">
        <is>
          <t>VÄSTRA GÖTALANDS LÄN</t>
        </is>
      </c>
      <c r="E92" t="inlineStr">
        <is>
          <t>ALE</t>
        </is>
      </c>
      <c r="G92" t="n">
        <v>0.3</v>
      </c>
      <c r="H92" t="n">
        <v>0</v>
      </c>
      <c r="I92" t="n">
        <v>0</v>
      </c>
      <c r="J92" t="n">
        <v>0</v>
      </c>
      <c r="K92" t="n">
        <v>0</v>
      </c>
      <c r="L92" t="n">
        <v>0</v>
      </c>
      <c r="M92" t="n">
        <v>0</v>
      </c>
      <c r="N92" t="n">
        <v>0</v>
      </c>
      <c r="O92" t="n">
        <v>0</v>
      </c>
      <c r="P92" t="n">
        <v>0</v>
      </c>
      <c r="Q92" t="n">
        <v>0</v>
      </c>
      <c r="R92" s="2" t="inlineStr"/>
    </row>
    <row r="93" ht="15" customHeight="1">
      <c r="A93" t="inlineStr">
        <is>
          <t>A 24642-2022</t>
        </is>
      </c>
      <c r="B93" s="1" t="n">
        <v>44727.59578703704</v>
      </c>
      <c r="C93" s="1" t="n">
        <v>46087</v>
      </c>
      <c r="D93" t="inlineStr">
        <is>
          <t>VÄSTRA GÖTALANDS LÄN</t>
        </is>
      </c>
      <c r="E93" t="inlineStr">
        <is>
          <t>ALE</t>
        </is>
      </c>
      <c r="G93" t="n">
        <v>10</v>
      </c>
      <c r="H93" t="n">
        <v>0</v>
      </c>
      <c r="I93" t="n">
        <v>0</v>
      </c>
      <c r="J93" t="n">
        <v>0</v>
      </c>
      <c r="K93" t="n">
        <v>0</v>
      </c>
      <c r="L93" t="n">
        <v>0</v>
      </c>
      <c r="M93" t="n">
        <v>0</v>
      </c>
      <c r="N93" t="n">
        <v>0</v>
      </c>
      <c r="O93" t="n">
        <v>0</v>
      </c>
      <c r="P93" t="n">
        <v>0</v>
      </c>
      <c r="Q93" t="n">
        <v>0</v>
      </c>
      <c r="R93" s="2" t="inlineStr"/>
    </row>
    <row r="94" ht="15" customHeight="1">
      <c r="A94" t="inlineStr">
        <is>
          <t>A 31407-2025</t>
        </is>
      </c>
      <c r="B94" s="1" t="n">
        <v>45833</v>
      </c>
      <c r="C94" s="1" t="n">
        <v>46087</v>
      </c>
      <c r="D94" t="inlineStr">
        <is>
          <t>VÄSTRA GÖTALANDS LÄN</t>
        </is>
      </c>
      <c r="E94" t="inlineStr">
        <is>
          <t>ALE</t>
        </is>
      </c>
      <c r="G94" t="n">
        <v>0.8</v>
      </c>
      <c r="H94" t="n">
        <v>0</v>
      </c>
      <c r="I94" t="n">
        <v>0</v>
      </c>
      <c r="J94" t="n">
        <v>0</v>
      </c>
      <c r="K94" t="n">
        <v>0</v>
      </c>
      <c r="L94" t="n">
        <v>0</v>
      </c>
      <c r="M94" t="n">
        <v>0</v>
      </c>
      <c r="N94" t="n">
        <v>0</v>
      </c>
      <c r="O94" t="n">
        <v>0</v>
      </c>
      <c r="P94" t="n">
        <v>0</v>
      </c>
      <c r="Q94" t="n">
        <v>0</v>
      </c>
      <c r="R94" s="2" t="inlineStr"/>
    </row>
    <row r="95" ht="15" customHeight="1">
      <c r="A95" t="inlineStr">
        <is>
          <t>A 59409-2025</t>
        </is>
      </c>
      <c r="B95" s="1" t="n">
        <v>45989.49545138889</v>
      </c>
      <c r="C95" s="1" t="n">
        <v>46087</v>
      </c>
      <c r="D95" t="inlineStr">
        <is>
          <t>VÄSTRA GÖTALANDS LÄN</t>
        </is>
      </c>
      <c r="E95" t="inlineStr">
        <is>
          <t>ALE</t>
        </is>
      </c>
      <c r="G95" t="n">
        <v>0.3</v>
      </c>
      <c r="H95" t="n">
        <v>0</v>
      </c>
      <c r="I95" t="n">
        <v>0</v>
      </c>
      <c r="J95" t="n">
        <v>0</v>
      </c>
      <c r="K95" t="n">
        <v>0</v>
      </c>
      <c r="L95" t="n">
        <v>0</v>
      </c>
      <c r="M95" t="n">
        <v>0</v>
      </c>
      <c r="N95" t="n">
        <v>0</v>
      </c>
      <c r="O95" t="n">
        <v>0</v>
      </c>
      <c r="P95" t="n">
        <v>0</v>
      </c>
      <c r="Q95" t="n">
        <v>0</v>
      </c>
      <c r="R95" s="2" t="inlineStr"/>
    </row>
    <row r="96" ht="15" customHeight="1">
      <c r="A96" t="inlineStr">
        <is>
          <t>A 60287-2025</t>
        </is>
      </c>
      <c r="B96" s="1" t="n">
        <v>45994.64711805555</v>
      </c>
      <c r="C96" s="1" t="n">
        <v>46087</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25849-2025</t>
        </is>
      </c>
      <c r="B97" s="1" t="n">
        <v>45804</v>
      </c>
      <c r="C97" s="1" t="n">
        <v>46087</v>
      </c>
      <c r="D97" t="inlineStr">
        <is>
          <t>VÄSTRA GÖTALANDS LÄN</t>
        </is>
      </c>
      <c r="E97" t="inlineStr">
        <is>
          <t>ALE</t>
        </is>
      </c>
      <c r="G97" t="n">
        <v>0.8</v>
      </c>
      <c r="H97" t="n">
        <v>0</v>
      </c>
      <c r="I97" t="n">
        <v>0</v>
      </c>
      <c r="J97" t="n">
        <v>0</v>
      </c>
      <c r="K97" t="n">
        <v>0</v>
      </c>
      <c r="L97" t="n">
        <v>0</v>
      </c>
      <c r="M97" t="n">
        <v>0</v>
      </c>
      <c r="N97" t="n">
        <v>0</v>
      </c>
      <c r="O97" t="n">
        <v>0</v>
      </c>
      <c r="P97" t="n">
        <v>0</v>
      </c>
      <c r="Q97" t="n">
        <v>0</v>
      </c>
      <c r="R97" s="2" t="inlineStr"/>
    </row>
    <row r="98" ht="15" customHeight="1">
      <c r="A98" t="inlineStr">
        <is>
          <t>A 25848-2025</t>
        </is>
      </c>
      <c r="B98" s="1" t="n">
        <v>45804</v>
      </c>
      <c r="C98" s="1" t="n">
        <v>46087</v>
      </c>
      <c r="D98" t="inlineStr">
        <is>
          <t>VÄSTRA GÖTALANDS LÄN</t>
        </is>
      </c>
      <c r="E98" t="inlineStr">
        <is>
          <t>ALE</t>
        </is>
      </c>
      <c r="G98" t="n">
        <v>1.1</v>
      </c>
      <c r="H98" t="n">
        <v>0</v>
      </c>
      <c r="I98" t="n">
        <v>0</v>
      </c>
      <c r="J98" t="n">
        <v>0</v>
      </c>
      <c r="K98" t="n">
        <v>0</v>
      </c>
      <c r="L98" t="n">
        <v>0</v>
      </c>
      <c r="M98" t="n">
        <v>0</v>
      </c>
      <c r="N98" t="n">
        <v>0</v>
      </c>
      <c r="O98" t="n">
        <v>0</v>
      </c>
      <c r="P98" t="n">
        <v>0</v>
      </c>
      <c r="Q98" t="n">
        <v>0</v>
      </c>
      <c r="R98" s="2" t="inlineStr"/>
    </row>
    <row r="99" ht="15" customHeight="1">
      <c r="A99" t="inlineStr">
        <is>
          <t>A 25840-2025</t>
        </is>
      </c>
      <c r="B99" s="1" t="n">
        <v>45804</v>
      </c>
      <c r="C99" s="1" t="n">
        <v>46087</v>
      </c>
      <c r="D99" t="inlineStr">
        <is>
          <t>VÄSTRA GÖTALANDS LÄN</t>
        </is>
      </c>
      <c r="E99" t="inlineStr">
        <is>
          <t>ALE</t>
        </is>
      </c>
      <c r="G99" t="n">
        <v>3.8</v>
      </c>
      <c r="H99" t="n">
        <v>0</v>
      </c>
      <c r="I99" t="n">
        <v>0</v>
      </c>
      <c r="J99" t="n">
        <v>0</v>
      </c>
      <c r="K99" t="n">
        <v>0</v>
      </c>
      <c r="L99" t="n">
        <v>0</v>
      </c>
      <c r="M99" t="n">
        <v>0</v>
      </c>
      <c r="N99" t="n">
        <v>0</v>
      </c>
      <c r="O99" t="n">
        <v>0</v>
      </c>
      <c r="P99" t="n">
        <v>0</v>
      </c>
      <c r="Q99" t="n">
        <v>0</v>
      </c>
      <c r="R99" s="2" t="inlineStr"/>
    </row>
    <row r="100" ht="15" customHeight="1">
      <c r="A100" t="inlineStr">
        <is>
          <t>A 61744-2025</t>
        </is>
      </c>
      <c r="B100" s="1" t="n">
        <v>46002.60298611111</v>
      </c>
      <c r="C100" s="1" t="n">
        <v>46087</v>
      </c>
      <c r="D100" t="inlineStr">
        <is>
          <t>VÄSTRA GÖTALANDS LÄN</t>
        </is>
      </c>
      <c r="E100" t="inlineStr">
        <is>
          <t>ALE</t>
        </is>
      </c>
      <c r="G100" t="n">
        <v>3.1</v>
      </c>
      <c r="H100" t="n">
        <v>0</v>
      </c>
      <c r="I100" t="n">
        <v>0</v>
      </c>
      <c r="J100" t="n">
        <v>0</v>
      </c>
      <c r="K100" t="n">
        <v>0</v>
      </c>
      <c r="L100" t="n">
        <v>0</v>
      </c>
      <c r="M100" t="n">
        <v>0</v>
      </c>
      <c r="N100" t="n">
        <v>0</v>
      </c>
      <c r="O100" t="n">
        <v>0</v>
      </c>
      <c r="P100" t="n">
        <v>0</v>
      </c>
      <c r="Q100" t="n">
        <v>0</v>
      </c>
      <c r="R100" s="2" t="inlineStr"/>
    </row>
    <row r="101" ht="15" customHeight="1">
      <c r="A101" t="inlineStr">
        <is>
          <t>A 61771-2025</t>
        </is>
      </c>
      <c r="B101" s="1" t="n">
        <v>46002.6478587963</v>
      </c>
      <c r="C101" s="1" t="n">
        <v>46087</v>
      </c>
      <c r="D101" t="inlineStr">
        <is>
          <t>VÄSTRA GÖTALANDS LÄN</t>
        </is>
      </c>
      <c r="E101" t="inlineStr">
        <is>
          <t>ALE</t>
        </is>
      </c>
      <c r="G101" t="n">
        <v>3.9</v>
      </c>
      <c r="H101" t="n">
        <v>0</v>
      </c>
      <c r="I101" t="n">
        <v>0</v>
      </c>
      <c r="J101" t="n">
        <v>0</v>
      </c>
      <c r="K101" t="n">
        <v>0</v>
      </c>
      <c r="L101" t="n">
        <v>0</v>
      </c>
      <c r="M101" t="n">
        <v>0</v>
      </c>
      <c r="N101" t="n">
        <v>0</v>
      </c>
      <c r="O101" t="n">
        <v>0</v>
      </c>
      <c r="P101" t="n">
        <v>0</v>
      </c>
      <c r="Q101" t="n">
        <v>0</v>
      </c>
      <c r="R101" s="2" t="inlineStr"/>
    </row>
    <row r="102" ht="15" customHeight="1">
      <c r="A102" t="inlineStr">
        <is>
          <t>A 61819-2025</t>
        </is>
      </c>
      <c r="B102" s="1" t="n">
        <v>46003.3241087963</v>
      </c>
      <c r="C102" s="1" t="n">
        <v>46087</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26083-2023</t>
        </is>
      </c>
      <c r="B103" s="1" t="n">
        <v>45091</v>
      </c>
      <c r="C103" s="1" t="n">
        <v>46087</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62828-2025</t>
        </is>
      </c>
      <c r="B104" s="1" t="n">
        <v>46008.66553240741</v>
      </c>
      <c r="C104" s="1" t="n">
        <v>46087</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8956-2025</t>
        </is>
      </c>
      <c r="B105" s="1" t="n">
        <v>45713.46825231481</v>
      </c>
      <c r="C105" s="1" t="n">
        <v>46087</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6621-2026</t>
        </is>
      </c>
      <c r="B106" s="1" t="n">
        <v>46056.4970949074</v>
      </c>
      <c r="C106" s="1" t="n">
        <v>46087</v>
      </c>
      <c r="D106" t="inlineStr">
        <is>
          <t>VÄSTRA GÖTALANDS LÄN</t>
        </is>
      </c>
      <c r="E106" t="inlineStr">
        <is>
          <t>ALE</t>
        </is>
      </c>
      <c r="G106" t="n">
        <v>0.9</v>
      </c>
      <c r="H106" t="n">
        <v>0</v>
      </c>
      <c r="I106" t="n">
        <v>0</v>
      </c>
      <c r="J106" t="n">
        <v>0</v>
      </c>
      <c r="K106" t="n">
        <v>0</v>
      </c>
      <c r="L106" t="n">
        <v>0</v>
      </c>
      <c r="M106" t="n">
        <v>0</v>
      </c>
      <c r="N106" t="n">
        <v>0</v>
      </c>
      <c r="O106" t="n">
        <v>0</v>
      </c>
      <c r="P106" t="n">
        <v>0</v>
      </c>
      <c r="Q106" t="n">
        <v>0</v>
      </c>
      <c r="R106" s="2" t="inlineStr"/>
    </row>
    <row r="107" ht="15" customHeight="1">
      <c r="A107" t="inlineStr">
        <is>
          <t>A 8659-2025</t>
        </is>
      </c>
      <c r="B107" s="1" t="n">
        <v>45712</v>
      </c>
      <c r="C107" s="1" t="n">
        <v>46087</v>
      </c>
      <c r="D107" t="inlineStr">
        <is>
          <t>VÄSTRA GÖTALANDS LÄN</t>
        </is>
      </c>
      <c r="E107" t="inlineStr">
        <is>
          <t>ALE</t>
        </is>
      </c>
      <c r="G107" t="n">
        <v>5.7</v>
      </c>
      <c r="H107" t="n">
        <v>0</v>
      </c>
      <c r="I107" t="n">
        <v>0</v>
      </c>
      <c r="J107" t="n">
        <v>0</v>
      </c>
      <c r="K107" t="n">
        <v>0</v>
      </c>
      <c r="L107" t="n">
        <v>0</v>
      </c>
      <c r="M107" t="n">
        <v>0</v>
      </c>
      <c r="N107" t="n">
        <v>0</v>
      </c>
      <c r="O107" t="n">
        <v>0</v>
      </c>
      <c r="P107" t="n">
        <v>0</v>
      </c>
      <c r="Q107" t="n">
        <v>0</v>
      </c>
      <c r="R107" s="2" t="inlineStr"/>
    </row>
    <row r="108" ht="15" customHeight="1">
      <c r="A108" t="inlineStr">
        <is>
          <t>A 5344-2024</t>
        </is>
      </c>
      <c r="B108" s="1" t="n">
        <v>45331</v>
      </c>
      <c r="C108" s="1" t="n">
        <v>46087</v>
      </c>
      <c r="D108" t="inlineStr">
        <is>
          <t>VÄSTRA GÖTALANDS LÄN</t>
        </is>
      </c>
      <c r="E108" t="inlineStr">
        <is>
          <t>ALE</t>
        </is>
      </c>
      <c r="G108" t="n">
        <v>2.5</v>
      </c>
      <c r="H108" t="n">
        <v>0</v>
      </c>
      <c r="I108" t="n">
        <v>0</v>
      </c>
      <c r="J108" t="n">
        <v>0</v>
      </c>
      <c r="K108" t="n">
        <v>0</v>
      </c>
      <c r="L108" t="n">
        <v>0</v>
      </c>
      <c r="M108" t="n">
        <v>0</v>
      </c>
      <c r="N108" t="n">
        <v>0</v>
      </c>
      <c r="O108" t="n">
        <v>0</v>
      </c>
      <c r="P108" t="n">
        <v>0</v>
      </c>
      <c r="Q108" t="n">
        <v>0</v>
      </c>
      <c r="R108" s="2" t="inlineStr"/>
    </row>
    <row r="109" ht="15" customHeight="1">
      <c r="A109" t="inlineStr">
        <is>
          <t>A 18637-2023</t>
        </is>
      </c>
      <c r="B109" s="1" t="n">
        <v>45043</v>
      </c>
      <c r="C109" s="1" t="n">
        <v>46087</v>
      </c>
      <c r="D109" t="inlineStr">
        <is>
          <t>VÄSTRA GÖTALANDS LÄN</t>
        </is>
      </c>
      <c r="E109" t="inlineStr">
        <is>
          <t>ALE</t>
        </is>
      </c>
      <c r="G109" t="n">
        <v>3.6</v>
      </c>
      <c r="H109" t="n">
        <v>0</v>
      </c>
      <c r="I109" t="n">
        <v>0</v>
      </c>
      <c r="J109" t="n">
        <v>0</v>
      </c>
      <c r="K109" t="n">
        <v>0</v>
      </c>
      <c r="L109" t="n">
        <v>0</v>
      </c>
      <c r="M109" t="n">
        <v>0</v>
      </c>
      <c r="N109" t="n">
        <v>0</v>
      </c>
      <c r="O109" t="n">
        <v>0</v>
      </c>
      <c r="P109" t="n">
        <v>0</v>
      </c>
      <c r="Q109" t="n">
        <v>0</v>
      </c>
      <c r="R109" s="2" t="inlineStr"/>
    </row>
    <row r="110" ht="15" customHeight="1">
      <c r="A110" t="inlineStr">
        <is>
          <t>A 7296-2026</t>
        </is>
      </c>
      <c r="B110" s="1" t="n">
        <v>46058.64341435185</v>
      </c>
      <c r="C110" s="1" t="n">
        <v>46087</v>
      </c>
      <c r="D110" t="inlineStr">
        <is>
          <t>VÄSTRA GÖTALANDS LÄN</t>
        </is>
      </c>
      <c r="E110" t="inlineStr">
        <is>
          <t>ALE</t>
        </is>
      </c>
      <c r="G110" t="n">
        <v>7.2</v>
      </c>
      <c r="H110" t="n">
        <v>0</v>
      </c>
      <c r="I110" t="n">
        <v>0</v>
      </c>
      <c r="J110" t="n">
        <v>0</v>
      </c>
      <c r="K110" t="n">
        <v>0</v>
      </c>
      <c r="L110" t="n">
        <v>0</v>
      </c>
      <c r="M110" t="n">
        <v>0</v>
      </c>
      <c r="N110" t="n">
        <v>0</v>
      </c>
      <c r="O110" t="n">
        <v>0</v>
      </c>
      <c r="P110" t="n">
        <v>0</v>
      </c>
      <c r="Q110" t="n">
        <v>0</v>
      </c>
      <c r="R110" s="2" t="inlineStr"/>
    </row>
    <row r="111" ht="15" customHeight="1">
      <c r="A111" t="inlineStr">
        <is>
          <t>A 59933-2023</t>
        </is>
      </c>
      <c r="B111" s="1" t="n">
        <v>45257</v>
      </c>
      <c r="C111" s="1" t="n">
        <v>46087</v>
      </c>
      <c r="D111" t="inlineStr">
        <is>
          <t>VÄSTRA GÖTALANDS LÄN</t>
        </is>
      </c>
      <c r="E111" t="inlineStr">
        <is>
          <t>ALE</t>
        </is>
      </c>
      <c r="G111" t="n">
        <v>2.7</v>
      </c>
      <c r="H111" t="n">
        <v>0</v>
      </c>
      <c r="I111" t="n">
        <v>0</v>
      </c>
      <c r="J111" t="n">
        <v>0</v>
      </c>
      <c r="K111" t="n">
        <v>0</v>
      </c>
      <c r="L111" t="n">
        <v>0</v>
      </c>
      <c r="M111" t="n">
        <v>0</v>
      </c>
      <c r="N111" t="n">
        <v>0</v>
      </c>
      <c r="O111" t="n">
        <v>0</v>
      </c>
      <c r="P111" t="n">
        <v>0</v>
      </c>
      <c r="Q111" t="n">
        <v>0</v>
      </c>
      <c r="R111" s="2" t="inlineStr"/>
    </row>
    <row r="112" ht="15" customHeight="1">
      <c r="A112" t="inlineStr">
        <is>
          <t>A 35959-2022</t>
        </is>
      </c>
      <c r="B112" s="1" t="n">
        <v>44802.57002314815</v>
      </c>
      <c r="C112" s="1" t="n">
        <v>46087</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8111-2026</t>
        </is>
      </c>
      <c r="B113" s="1" t="n">
        <v>46062</v>
      </c>
      <c r="C113" s="1" t="n">
        <v>46087</v>
      </c>
      <c r="D113" t="inlineStr">
        <is>
          <t>VÄSTRA GÖTALANDS LÄN</t>
        </is>
      </c>
      <c r="E113" t="inlineStr">
        <is>
          <t>ALE</t>
        </is>
      </c>
      <c r="G113" t="n">
        <v>0.3</v>
      </c>
      <c r="H113" t="n">
        <v>0</v>
      </c>
      <c r="I113" t="n">
        <v>0</v>
      </c>
      <c r="J113" t="n">
        <v>0</v>
      </c>
      <c r="K113" t="n">
        <v>0</v>
      </c>
      <c r="L113" t="n">
        <v>0</v>
      </c>
      <c r="M113" t="n">
        <v>0</v>
      </c>
      <c r="N113" t="n">
        <v>0</v>
      </c>
      <c r="O113" t="n">
        <v>0</v>
      </c>
      <c r="P113" t="n">
        <v>0</v>
      </c>
      <c r="Q113" t="n">
        <v>0</v>
      </c>
      <c r="R113" s="2" t="inlineStr"/>
    </row>
    <row r="114" ht="15" customHeight="1">
      <c r="A114" t="inlineStr">
        <is>
          <t>A 200-2022</t>
        </is>
      </c>
      <c r="B114" s="1" t="n">
        <v>44564</v>
      </c>
      <c r="C114" s="1" t="n">
        <v>46087</v>
      </c>
      <c r="D114" t="inlineStr">
        <is>
          <t>VÄSTRA GÖTALANDS LÄN</t>
        </is>
      </c>
      <c r="E114" t="inlineStr">
        <is>
          <t>ALE</t>
        </is>
      </c>
      <c r="G114" t="n">
        <v>6.8</v>
      </c>
      <c r="H114" t="n">
        <v>0</v>
      </c>
      <c r="I114" t="n">
        <v>0</v>
      </c>
      <c r="J114" t="n">
        <v>0</v>
      </c>
      <c r="K114" t="n">
        <v>0</v>
      </c>
      <c r="L114" t="n">
        <v>0</v>
      </c>
      <c r="M114" t="n">
        <v>0</v>
      </c>
      <c r="N114" t="n">
        <v>0</v>
      </c>
      <c r="O114" t="n">
        <v>0</v>
      </c>
      <c r="P114" t="n">
        <v>0</v>
      </c>
      <c r="Q114" t="n">
        <v>0</v>
      </c>
      <c r="R114" s="2" t="inlineStr"/>
    </row>
    <row r="115" ht="15" customHeight="1">
      <c r="A115" t="inlineStr">
        <is>
          <t>A 8110-2026</t>
        </is>
      </c>
      <c r="B115" s="1" t="n">
        <v>46062</v>
      </c>
      <c r="C115" s="1" t="n">
        <v>46087</v>
      </c>
      <c r="D115" t="inlineStr">
        <is>
          <t>VÄSTRA GÖTALANDS LÄN</t>
        </is>
      </c>
      <c r="E115" t="inlineStr">
        <is>
          <t>ALE</t>
        </is>
      </c>
      <c r="G115" t="n">
        <v>0.7</v>
      </c>
      <c r="H115" t="n">
        <v>0</v>
      </c>
      <c r="I115" t="n">
        <v>0</v>
      </c>
      <c r="J115" t="n">
        <v>0</v>
      </c>
      <c r="K115" t="n">
        <v>0</v>
      </c>
      <c r="L115" t="n">
        <v>0</v>
      </c>
      <c r="M115" t="n">
        <v>0</v>
      </c>
      <c r="N115" t="n">
        <v>0</v>
      </c>
      <c r="O115" t="n">
        <v>0</v>
      </c>
      <c r="P115" t="n">
        <v>0</v>
      </c>
      <c r="Q115" t="n">
        <v>0</v>
      </c>
      <c r="R115" s="2" t="inlineStr"/>
    </row>
    <row r="116" ht="15" customHeight="1">
      <c r="A116" t="inlineStr">
        <is>
          <t>A 17044-2025</t>
        </is>
      </c>
      <c r="B116" s="1" t="n">
        <v>45755.58891203703</v>
      </c>
      <c r="C116" s="1" t="n">
        <v>46087</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8112-2026</t>
        </is>
      </c>
      <c r="B117" s="1" t="n">
        <v>46062</v>
      </c>
      <c r="C117" s="1" t="n">
        <v>46087</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29373-2025</t>
        </is>
      </c>
      <c r="B118" s="1" t="n">
        <v>45824.579375</v>
      </c>
      <c r="C118" s="1" t="n">
        <v>46087</v>
      </c>
      <c r="D118" t="inlineStr">
        <is>
          <t>VÄSTRA GÖTALANDS LÄN</t>
        </is>
      </c>
      <c r="E118" t="inlineStr">
        <is>
          <t>ALE</t>
        </is>
      </c>
      <c r="G118" t="n">
        <v>4.6</v>
      </c>
      <c r="H118" t="n">
        <v>0</v>
      </c>
      <c r="I118" t="n">
        <v>0</v>
      </c>
      <c r="J118" t="n">
        <v>0</v>
      </c>
      <c r="K118" t="n">
        <v>0</v>
      </c>
      <c r="L118" t="n">
        <v>0</v>
      </c>
      <c r="M118" t="n">
        <v>0</v>
      </c>
      <c r="N118" t="n">
        <v>0</v>
      </c>
      <c r="O118" t="n">
        <v>0</v>
      </c>
      <c r="P118" t="n">
        <v>0</v>
      </c>
      <c r="Q118" t="n">
        <v>0</v>
      </c>
      <c r="R118" s="2" t="inlineStr"/>
    </row>
    <row r="119" ht="15" customHeight="1">
      <c r="A119" t="inlineStr">
        <is>
          <t>A 9783-2026</t>
        </is>
      </c>
      <c r="B119" s="1" t="n">
        <v>46072.58835648148</v>
      </c>
      <c r="C119" s="1" t="n">
        <v>46087</v>
      </c>
      <c r="D119" t="inlineStr">
        <is>
          <t>VÄSTRA GÖTALANDS LÄN</t>
        </is>
      </c>
      <c r="E119" t="inlineStr">
        <is>
          <t>ALE</t>
        </is>
      </c>
      <c r="G119" t="n">
        <v>4.9</v>
      </c>
      <c r="H119" t="n">
        <v>0</v>
      </c>
      <c r="I119" t="n">
        <v>0</v>
      </c>
      <c r="J119" t="n">
        <v>0</v>
      </c>
      <c r="K119" t="n">
        <v>0</v>
      </c>
      <c r="L119" t="n">
        <v>0</v>
      </c>
      <c r="M119" t="n">
        <v>0</v>
      </c>
      <c r="N119" t="n">
        <v>0</v>
      </c>
      <c r="O119" t="n">
        <v>0</v>
      </c>
      <c r="P119" t="n">
        <v>0</v>
      </c>
      <c r="Q119" t="n">
        <v>0</v>
      </c>
      <c r="R119" s="2" t="inlineStr"/>
    </row>
    <row r="120" ht="15" customHeight="1">
      <c r="A120" t="inlineStr">
        <is>
          <t>A 1291-2026</t>
        </is>
      </c>
      <c r="B120" s="1" t="n">
        <v>46031.50569444444</v>
      </c>
      <c r="C120" s="1" t="n">
        <v>46087</v>
      </c>
      <c r="D120" t="inlineStr">
        <is>
          <t>VÄSTRA GÖTALANDS LÄN</t>
        </is>
      </c>
      <c r="E120" t="inlineStr">
        <is>
          <t>ALE</t>
        </is>
      </c>
      <c r="G120" t="n">
        <v>0.9</v>
      </c>
      <c r="H120" t="n">
        <v>0</v>
      </c>
      <c r="I120" t="n">
        <v>0</v>
      </c>
      <c r="J120" t="n">
        <v>0</v>
      </c>
      <c r="K120" t="n">
        <v>0</v>
      </c>
      <c r="L120" t="n">
        <v>0</v>
      </c>
      <c r="M120" t="n">
        <v>0</v>
      </c>
      <c r="N120" t="n">
        <v>0</v>
      </c>
      <c r="O120" t="n">
        <v>0</v>
      </c>
      <c r="P120" t="n">
        <v>0</v>
      </c>
      <c r="Q120" t="n">
        <v>0</v>
      </c>
      <c r="R120" s="2" t="inlineStr"/>
    </row>
    <row r="121" ht="15" customHeight="1">
      <c r="A121" t="inlineStr">
        <is>
          <t>A 13382-2025</t>
        </is>
      </c>
      <c r="B121" s="1" t="n">
        <v>45735.67928240741</v>
      </c>
      <c r="C121" s="1" t="n">
        <v>46087</v>
      </c>
      <c r="D121" t="inlineStr">
        <is>
          <t>VÄSTRA GÖTALANDS LÄN</t>
        </is>
      </c>
      <c r="E121" t="inlineStr">
        <is>
          <t>ALE</t>
        </is>
      </c>
      <c r="G121" t="n">
        <v>0.9</v>
      </c>
      <c r="H121" t="n">
        <v>0</v>
      </c>
      <c r="I121" t="n">
        <v>0</v>
      </c>
      <c r="J121" t="n">
        <v>0</v>
      </c>
      <c r="K121" t="n">
        <v>0</v>
      </c>
      <c r="L121" t="n">
        <v>0</v>
      </c>
      <c r="M121" t="n">
        <v>0</v>
      </c>
      <c r="N121" t="n">
        <v>0</v>
      </c>
      <c r="O121" t="n">
        <v>0</v>
      </c>
      <c r="P121" t="n">
        <v>0</v>
      </c>
      <c r="Q121" t="n">
        <v>0</v>
      </c>
      <c r="R121" s="2" t="inlineStr"/>
    </row>
    <row r="122" ht="15" customHeight="1">
      <c r="A122" t="inlineStr">
        <is>
          <t>A 34104-2024</t>
        </is>
      </c>
      <c r="B122" s="1" t="n">
        <v>45523.79202546296</v>
      </c>
      <c r="C122" s="1" t="n">
        <v>46087</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10459-2026</t>
        </is>
      </c>
      <c r="B123" s="1" t="n">
        <v>46077.45564814815</v>
      </c>
      <c r="C123" s="1" t="n">
        <v>46087</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44858.47591435185</v>
      </c>
      <c r="C124" s="1" t="n">
        <v>46087</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13903-2025</t>
        </is>
      </c>
      <c r="B125" s="1" t="n">
        <v>45737.63481481482</v>
      </c>
      <c r="C125" s="1" t="n">
        <v>46087</v>
      </c>
      <c r="D125" t="inlineStr">
        <is>
          <t>VÄSTRA GÖTALANDS LÄN</t>
        </is>
      </c>
      <c r="E125" t="inlineStr">
        <is>
          <t>ALE</t>
        </is>
      </c>
      <c r="G125" t="n">
        <v>0.5</v>
      </c>
      <c r="H125" t="n">
        <v>0</v>
      </c>
      <c r="I125" t="n">
        <v>0</v>
      </c>
      <c r="J125" t="n">
        <v>0</v>
      </c>
      <c r="K125" t="n">
        <v>0</v>
      </c>
      <c r="L125" t="n">
        <v>0</v>
      </c>
      <c r="M125" t="n">
        <v>0</v>
      </c>
      <c r="N125" t="n">
        <v>0</v>
      </c>
      <c r="O125" t="n">
        <v>0</v>
      </c>
      <c r="P125" t="n">
        <v>0</v>
      </c>
      <c r="Q125" t="n">
        <v>0</v>
      </c>
      <c r="R125" s="2" t="inlineStr"/>
    </row>
    <row r="126" ht="15" customHeight="1">
      <c r="A126" t="inlineStr">
        <is>
          <t>A 2414-2026</t>
        </is>
      </c>
      <c r="B126" s="1" t="n">
        <v>46036.74319444445</v>
      </c>
      <c r="C126" s="1" t="n">
        <v>46087</v>
      </c>
      <c r="D126" t="inlineStr">
        <is>
          <t>VÄSTRA GÖTALANDS LÄN</t>
        </is>
      </c>
      <c r="E126" t="inlineStr">
        <is>
          <t>ALE</t>
        </is>
      </c>
      <c r="G126" t="n">
        <v>3.3</v>
      </c>
      <c r="H126" t="n">
        <v>0</v>
      </c>
      <c r="I126" t="n">
        <v>0</v>
      </c>
      <c r="J126" t="n">
        <v>0</v>
      </c>
      <c r="K126" t="n">
        <v>0</v>
      </c>
      <c r="L126" t="n">
        <v>0</v>
      </c>
      <c r="M126" t="n">
        <v>0</v>
      </c>
      <c r="N126" t="n">
        <v>0</v>
      </c>
      <c r="O126" t="n">
        <v>0</v>
      </c>
      <c r="P126" t="n">
        <v>0</v>
      </c>
      <c r="Q126" t="n">
        <v>0</v>
      </c>
      <c r="R126" s="2" t="inlineStr"/>
    </row>
    <row r="127" ht="15" customHeight="1">
      <c r="A127" t="inlineStr">
        <is>
          <t>A 18999-2021</t>
        </is>
      </c>
      <c r="B127" s="1" t="n">
        <v>44308</v>
      </c>
      <c r="C127" s="1" t="n">
        <v>46087</v>
      </c>
      <c r="D127" t="inlineStr">
        <is>
          <t>VÄSTRA GÖTALANDS LÄN</t>
        </is>
      </c>
      <c r="E127" t="inlineStr">
        <is>
          <t>ALE</t>
        </is>
      </c>
      <c r="G127" t="n">
        <v>3.7</v>
      </c>
      <c r="H127" t="n">
        <v>0</v>
      </c>
      <c r="I127" t="n">
        <v>0</v>
      </c>
      <c r="J127" t="n">
        <v>0</v>
      </c>
      <c r="K127" t="n">
        <v>0</v>
      </c>
      <c r="L127" t="n">
        <v>0</v>
      </c>
      <c r="M127" t="n">
        <v>0</v>
      </c>
      <c r="N127" t="n">
        <v>0</v>
      </c>
      <c r="O127" t="n">
        <v>0</v>
      </c>
      <c r="P127" t="n">
        <v>0</v>
      </c>
      <c r="Q127" t="n">
        <v>0</v>
      </c>
      <c r="R127" s="2" t="inlineStr"/>
    </row>
    <row r="128" ht="15" customHeight="1">
      <c r="A128" t="inlineStr">
        <is>
          <t>A 1687-2024</t>
        </is>
      </c>
      <c r="B128" s="1" t="n">
        <v>45306</v>
      </c>
      <c r="C128" s="1" t="n">
        <v>46087</v>
      </c>
      <c r="D128" t="inlineStr">
        <is>
          <t>VÄSTRA GÖTALANDS LÄN</t>
        </is>
      </c>
      <c r="E128" t="inlineStr">
        <is>
          <t>ALE</t>
        </is>
      </c>
      <c r="G128" t="n">
        <v>3.4</v>
      </c>
      <c r="H128" t="n">
        <v>0</v>
      </c>
      <c r="I128" t="n">
        <v>0</v>
      </c>
      <c r="J128" t="n">
        <v>0</v>
      </c>
      <c r="K128" t="n">
        <v>0</v>
      </c>
      <c r="L128" t="n">
        <v>0</v>
      </c>
      <c r="M128" t="n">
        <v>0</v>
      </c>
      <c r="N128" t="n">
        <v>0</v>
      </c>
      <c r="O128" t="n">
        <v>0</v>
      </c>
      <c r="P128" t="n">
        <v>0</v>
      </c>
      <c r="Q128" t="n">
        <v>0</v>
      </c>
      <c r="R128" s="2" t="inlineStr"/>
    </row>
    <row r="129" ht="15" customHeight="1">
      <c r="A129" t="inlineStr">
        <is>
          <t>A 50451-2024</t>
        </is>
      </c>
      <c r="B129" s="1" t="n">
        <v>45601.44248842593</v>
      </c>
      <c r="C129" s="1" t="n">
        <v>46087</v>
      </c>
      <c r="D129" t="inlineStr">
        <is>
          <t>VÄSTRA GÖTALANDS LÄN</t>
        </is>
      </c>
      <c r="E129" t="inlineStr">
        <is>
          <t>ALE</t>
        </is>
      </c>
      <c r="G129" t="n">
        <v>2.9</v>
      </c>
      <c r="H129" t="n">
        <v>0</v>
      </c>
      <c r="I129" t="n">
        <v>0</v>
      </c>
      <c r="J129" t="n">
        <v>0</v>
      </c>
      <c r="K129" t="n">
        <v>0</v>
      </c>
      <c r="L129" t="n">
        <v>0</v>
      </c>
      <c r="M129" t="n">
        <v>0</v>
      </c>
      <c r="N129" t="n">
        <v>0</v>
      </c>
      <c r="O129" t="n">
        <v>0</v>
      </c>
      <c r="P129" t="n">
        <v>0</v>
      </c>
      <c r="Q129" t="n">
        <v>0</v>
      </c>
      <c r="R129" s="2" t="inlineStr"/>
    </row>
    <row r="130" ht="15" customHeight="1">
      <c r="A130" t="inlineStr">
        <is>
          <t>A 49680-2024</t>
        </is>
      </c>
      <c r="B130" s="1" t="n">
        <v>45596.66880787037</v>
      </c>
      <c r="C130" s="1" t="n">
        <v>46087</v>
      </c>
      <c r="D130" t="inlineStr">
        <is>
          <t>VÄSTRA GÖTALANDS LÄN</t>
        </is>
      </c>
      <c r="E130" t="inlineStr">
        <is>
          <t>ALE</t>
        </is>
      </c>
      <c r="G130" t="n">
        <v>3.7</v>
      </c>
      <c r="H130" t="n">
        <v>0</v>
      </c>
      <c r="I130" t="n">
        <v>0</v>
      </c>
      <c r="J130" t="n">
        <v>0</v>
      </c>
      <c r="K130" t="n">
        <v>0</v>
      </c>
      <c r="L130" t="n">
        <v>0</v>
      </c>
      <c r="M130" t="n">
        <v>0</v>
      </c>
      <c r="N130" t="n">
        <v>0</v>
      </c>
      <c r="O130" t="n">
        <v>0</v>
      </c>
      <c r="P130" t="n">
        <v>0</v>
      </c>
      <c r="Q130" t="n">
        <v>0</v>
      </c>
      <c r="R130" s="2" t="inlineStr"/>
    </row>
    <row r="131" ht="15" customHeight="1">
      <c r="A131" t="inlineStr">
        <is>
          <t>A 31409-2025</t>
        </is>
      </c>
      <c r="B131" s="1" t="n">
        <v>45833</v>
      </c>
      <c r="C131" s="1" t="n">
        <v>46087</v>
      </c>
      <c r="D131" t="inlineStr">
        <is>
          <t>VÄSTRA GÖTALANDS LÄN</t>
        </is>
      </c>
      <c r="E131" t="inlineStr">
        <is>
          <t>ALE</t>
        </is>
      </c>
      <c r="G131" t="n">
        <v>0.8</v>
      </c>
      <c r="H131" t="n">
        <v>0</v>
      </c>
      <c r="I131" t="n">
        <v>0</v>
      </c>
      <c r="J131" t="n">
        <v>0</v>
      </c>
      <c r="K131" t="n">
        <v>0</v>
      </c>
      <c r="L131" t="n">
        <v>0</v>
      </c>
      <c r="M131" t="n">
        <v>0</v>
      </c>
      <c r="N131" t="n">
        <v>0</v>
      </c>
      <c r="O131" t="n">
        <v>0</v>
      </c>
      <c r="P131" t="n">
        <v>0</v>
      </c>
      <c r="Q131" t="n">
        <v>0</v>
      </c>
      <c r="R131" s="2" t="inlineStr"/>
    </row>
    <row r="132" ht="15" customHeight="1">
      <c r="A132" t="inlineStr">
        <is>
          <t>A 31533-2025</t>
        </is>
      </c>
      <c r="B132" s="1" t="n">
        <v>45833</v>
      </c>
      <c r="C132" s="1" t="n">
        <v>46087</v>
      </c>
      <c r="D132" t="inlineStr">
        <is>
          <t>VÄSTRA GÖTALANDS LÄN</t>
        </is>
      </c>
      <c r="E132" t="inlineStr">
        <is>
          <t>ALE</t>
        </is>
      </c>
      <c r="G132" t="n">
        <v>1.6</v>
      </c>
      <c r="H132" t="n">
        <v>0</v>
      </c>
      <c r="I132" t="n">
        <v>0</v>
      </c>
      <c r="J132" t="n">
        <v>0</v>
      </c>
      <c r="K132" t="n">
        <v>0</v>
      </c>
      <c r="L132" t="n">
        <v>0</v>
      </c>
      <c r="M132" t="n">
        <v>0</v>
      </c>
      <c r="N132" t="n">
        <v>0</v>
      </c>
      <c r="O132" t="n">
        <v>0</v>
      </c>
      <c r="P132" t="n">
        <v>0</v>
      </c>
      <c r="Q132" t="n">
        <v>0</v>
      </c>
      <c r="R132" s="2" t="inlineStr"/>
    </row>
    <row r="133" ht="15" customHeight="1">
      <c r="A133" t="inlineStr">
        <is>
          <t>A 31488-2025</t>
        </is>
      </c>
      <c r="B133" s="1" t="n">
        <v>45833</v>
      </c>
      <c r="C133" s="1" t="n">
        <v>46087</v>
      </c>
      <c r="D133" t="inlineStr">
        <is>
          <t>VÄSTRA GÖTALANDS LÄN</t>
        </is>
      </c>
      <c r="E133" t="inlineStr">
        <is>
          <t>ALE</t>
        </is>
      </c>
      <c r="G133" t="n">
        <v>1.8</v>
      </c>
      <c r="H133" t="n">
        <v>0</v>
      </c>
      <c r="I133" t="n">
        <v>0</v>
      </c>
      <c r="J133" t="n">
        <v>0</v>
      </c>
      <c r="K133" t="n">
        <v>0</v>
      </c>
      <c r="L133" t="n">
        <v>0</v>
      </c>
      <c r="M133" t="n">
        <v>0</v>
      </c>
      <c r="N133" t="n">
        <v>0</v>
      </c>
      <c r="O133" t="n">
        <v>0</v>
      </c>
      <c r="P133" t="n">
        <v>0</v>
      </c>
      <c r="Q133" t="n">
        <v>0</v>
      </c>
      <c r="R133" s="2" t="inlineStr"/>
    </row>
    <row r="134" ht="15" customHeight="1">
      <c r="A134" t="inlineStr">
        <is>
          <t>A 11516-2026</t>
        </is>
      </c>
      <c r="B134" s="1" t="n">
        <v>46083.66444444445</v>
      </c>
      <c r="C134" s="1" t="n">
        <v>46087</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3261-2026</t>
        </is>
      </c>
      <c r="B135" s="1" t="n">
        <v>46041.5952662037</v>
      </c>
      <c r="C135" s="1" t="n">
        <v>46087</v>
      </c>
      <c r="D135" t="inlineStr">
        <is>
          <t>VÄSTRA GÖTALANDS LÄN</t>
        </is>
      </c>
      <c r="E135" t="inlineStr">
        <is>
          <t>ALE</t>
        </is>
      </c>
      <c r="G135" t="n">
        <v>3.4</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46087</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46087</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42446-2023</t>
        </is>
      </c>
      <c r="B138" s="1" t="n">
        <v>45180</v>
      </c>
      <c r="C138" s="1" t="n">
        <v>46087</v>
      </c>
      <c r="D138" t="inlineStr">
        <is>
          <t>VÄSTRA GÖTALANDS LÄN</t>
        </is>
      </c>
      <c r="E138" t="inlineStr">
        <is>
          <t>ALE</t>
        </is>
      </c>
      <c r="G138" t="n">
        <v>0.8</v>
      </c>
      <c r="H138" t="n">
        <v>0</v>
      </c>
      <c r="I138" t="n">
        <v>0</v>
      </c>
      <c r="J138" t="n">
        <v>0</v>
      </c>
      <c r="K138" t="n">
        <v>0</v>
      </c>
      <c r="L138" t="n">
        <v>0</v>
      </c>
      <c r="M138" t="n">
        <v>0</v>
      </c>
      <c r="N138" t="n">
        <v>0</v>
      </c>
      <c r="O138" t="n">
        <v>0</v>
      </c>
      <c r="P138" t="n">
        <v>0</v>
      </c>
      <c r="Q138" t="n">
        <v>0</v>
      </c>
      <c r="R138" s="2" t="inlineStr"/>
    </row>
    <row r="139" ht="15" customHeight="1">
      <c r="A139" t="inlineStr">
        <is>
          <t>A 67160-2021</t>
        </is>
      </c>
      <c r="B139" s="1" t="n">
        <v>44523</v>
      </c>
      <c r="C139" s="1" t="n">
        <v>46087</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46087</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32762-2023</t>
        </is>
      </c>
      <c r="B141" s="1" t="n">
        <v>45123.46649305556</v>
      </c>
      <c r="C141" s="1" t="n">
        <v>46087</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41598-2022</t>
        </is>
      </c>
      <c r="B142" s="1" t="n">
        <v>44827.4609837963</v>
      </c>
      <c r="C142" s="1" t="n">
        <v>46087</v>
      </c>
      <c r="D142" t="inlineStr">
        <is>
          <t>VÄSTRA GÖTALANDS LÄN</t>
        </is>
      </c>
      <c r="E142" t="inlineStr">
        <is>
          <t>ALE</t>
        </is>
      </c>
      <c r="G142" t="n">
        <v>2</v>
      </c>
      <c r="H142" t="n">
        <v>0</v>
      </c>
      <c r="I142" t="n">
        <v>0</v>
      </c>
      <c r="J142" t="n">
        <v>0</v>
      </c>
      <c r="K142" t="n">
        <v>0</v>
      </c>
      <c r="L142" t="n">
        <v>0</v>
      </c>
      <c r="M142" t="n">
        <v>0</v>
      </c>
      <c r="N142" t="n">
        <v>0</v>
      </c>
      <c r="O142" t="n">
        <v>0</v>
      </c>
      <c r="P142" t="n">
        <v>0</v>
      </c>
      <c r="Q142" t="n">
        <v>0</v>
      </c>
      <c r="R142" s="2" t="inlineStr"/>
    </row>
    <row r="143" ht="15" customHeight="1">
      <c r="A143" t="inlineStr">
        <is>
          <t>A 14458-2024</t>
        </is>
      </c>
      <c r="B143" s="1" t="n">
        <v>45394</v>
      </c>
      <c r="C143" s="1" t="n">
        <v>46087</v>
      </c>
      <c r="D143" t="inlineStr">
        <is>
          <t>VÄSTRA GÖTALANDS LÄN</t>
        </is>
      </c>
      <c r="E143" t="inlineStr">
        <is>
          <t>ALE</t>
        </is>
      </c>
      <c r="G143" t="n">
        <v>0.5</v>
      </c>
      <c r="H143" t="n">
        <v>0</v>
      </c>
      <c r="I143" t="n">
        <v>0</v>
      </c>
      <c r="J143" t="n">
        <v>0</v>
      </c>
      <c r="K143" t="n">
        <v>0</v>
      </c>
      <c r="L143" t="n">
        <v>0</v>
      </c>
      <c r="M143" t="n">
        <v>0</v>
      </c>
      <c r="N143" t="n">
        <v>0</v>
      </c>
      <c r="O143" t="n">
        <v>0</v>
      </c>
      <c r="P143" t="n">
        <v>0</v>
      </c>
      <c r="Q143" t="n">
        <v>0</v>
      </c>
      <c r="R143" s="2" t="inlineStr"/>
    </row>
    <row r="144" ht="15" customHeight="1">
      <c r="A144" t="inlineStr">
        <is>
          <t>A 47087-2023</t>
        </is>
      </c>
      <c r="B144" s="1" t="n">
        <v>45196</v>
      </c>
      <c r="C144" s="1" t="n">
        <v>46087</v>
      </c>
      <c r="D144" t="inlineStr">
        <is>
          <t>VÄSTRA GÖTALANDS LÄN</t>
        </is>
      </c>
      <c r="E144" t="inlineStr">
        <is>
          <t>ALE</t>
        </is>
      </c>
      <c r="G144" t="n">
        <v>1.6</v>
      </c>
      <c r="H144" t="n">
        <v>0</v>
      </c>
      <c r="I144" t="n">
        <v>0</v>
      </c>
      <c r="J144" t="n">
        <v>0</v>
      </c>
      <c r="K144" t="n">
        <v>0</v>
      </c>
      <c r="L144" t="n">
        <v>0</v>
      </c>
      <c r="M144" t="n">
        <v>0</v>
      </c>
      <c r="N144" t="n">
        <v>0</v>
      </c>
      <c r="O144" t="n">
        <v>0</v>
      </c>
      <c r="P144" t="n">
        <v>0</v>
      </c>
      <c r="Q144" t="n">
        <v>0</v>
      </c>
      <c r="R144" s="2" t="inlineStr"/>
    </row>
    <row r="145" ht="15" customHeight="1">
      <c r="A145" t="inlineStr">
        <is>
          <t>A 4642-2024</t>
        </is>
      </c>
      <c r="B145" s="1" t="n">
        <v>45328.43502314815</v>
      </c>
      <c r="C145" s="1" t="n">
        <v>46087</v>
      </c>
      <c r="D145" t="inlineStr">
        <is>
          <t>VÄSTRA GÖTALANDS LÄN</t>
        </is>
      </c>
      <c r="E145" t="inlineStr">
        <is>
          <t>ALE</t>
        </is>
      </c>
      <c r="G145" t="n">
        <v>7.1</v>
      </c>
      <c r="H145" t="n">
        <v>0</v>
      </c>
      <c r="I145" t="n">
        <v>0</v>
      </c>
      <c r="J145" t="n">
        <v>0</v>
      </c>
      <c r="K145" t="n">
        <v>0</v>
      </c>
      <c r="L145" t="n">
        <v>0</v>
      </c>
      <c r="M145" t="n">
        <v>0</v>
      </c>
      <c r="N145" t="n">
        <v>0</v>
      </c>
      <c r="O145" t="n">
        <v>0</v>
      </c>
      <c r="P145" t="n">
        <v>0</v>
      </c>
      <c r="Q145" t="n">
        <v>0</v>
      </c>
      <c r="R145" s="2" t="inlineStr"/>
    </row>
    <row r="146" ht="15" customHeight="1">
      <c r="A146" t="inlineStr">
        <is>
          <t>A 14731-2022</t>
        </is>
      </c>
      <c r="B146" s="1" t="n">
        <v>44656</v>
      </c>
      <c r="C146" s="1" t="n">
        <v>46087</v>
      </c>
      <c r="D146" t="inlineStr">
        <is>
          <t>VÄSTRA GÖTALANDS LÄN</t>
        </is>
      </c>
      <c r="E146" t="inlineStr">
        <is>
          <t>ALE</t>
        </is>
      </c>
      <c r="G146" t="n">
        <v>1.8</v>
      </c>
      <c r="H146" t="n">
        <v>0</v>
      </c>
      <c r="I146" t="n">
        <v>0</v>
      </c>
      <c r="J146" t="n">
        <v>0</v>
      </c>
      <c r="K146" t="n">
        <v>0</v>
      </c>
      <c r="L146" t="n">
        <v>0</v>
      </c>
      <c r="M146" t="n">
        <v>0</v>
      </c>
      <c r="N146" t="n">
        <v>0</v>
      </c>
      <c r="O146" t="n">
        <v>0</v>
      </c>
      <c r="P146" t="n">
        <v>0</v>
      </c>
      <c r="Q146" t="n">
        <v>0</v>
      </c>
      <c r="R146" s="2" t="inlineStr"/>
    </row>
    <row r="147" ht="15" customHeight="1">
      <c r="A147" t="inlineStr">
        <is>
          <t>A 3520-2022</t>
        </is>
      </c>
      <c r="B147" s="1" t="n">
        <v>44585.72818287037</v>
      </c>
      <c r="C147" s="1" t="n">
        <v>46087</v>
      </c>
      <c r="D147" t="inlineStr">
        <is>
          <t>VÄSTRA GÖTALANDS LÄN</t>
        </is>
      </c>
      <c r="E147" t="inlineStr">
        <is>
          <t>ALE</t>
        </is>
      </c>
      <c r="G147" t="n">
        <v>2.3</v>
      </c>
      <c r="H147" t="n">
        <v>0</v>
      </c>
      <c r="I147" t="n">
        <v>0</v>
      </c>
      <c r="J147" t="n">
        <v>0</v>
      </c>
      <c r="K147" t="n">
        <v>0</v>
      </c>
      <c r="L147" t="n">
        <v>0</v>
      </c>
      <c r="M147" t="n">
        <v>0</v>
      </c>
      <c r="N147" t="n">
        <v>0</v>
      </c>
      <c r="O147" t="n">
        <v>0</v>
      </c>
      <c r="P147" t="n">
        <v>0</v>
      </c>
      <c r="Q147" t="n">
        <v>0</v>
      </c>
      <c r="R147" s="2" t="inlineStr"/>
    </row>
    <row r="148" ht="15" customHeight="1">
      <c r="A148" t="inlineStr">
        <is>
          <t>A 33237-2024</t>
        </is>
      </c>
      <c r="B148" s="1" t="n">
        <v>45518.59173611111</v>
      </c>
      <c r="C148" s="1" t="n">
        <v>46087</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49955-2021</t>
        </is>
      </c>
      <c r="B149" s="1" t="n">
        <v>44456</v>
      </c>
      <c r="C149" s="1" t="n">
        <v>46087</v>
      </c>
      <c r="D149" t="inlineStr">
        <is>
          <t>VÄSTRA GÖTALANDS LÄN</t>
        </is>
      </c>
      <c r="E149" t="inlineStr">
        <is>
          <t>ALE</t>
        </is>
      </c>
      <c r="G149" t="n">
        <v>2.2</v>
      </c>
      <c r="H149" t="n">
        <v>0</v>
      </c>
      <c r="I149" t="n">
        <v>0</v>
      </c>
      <c r="J149" t="n">
        <v>0</v>
      </c>
      <c r="K149" t="n">
        <v>0</v>
      </c>
      <c r="L149" t="n">
        <v>0</v>
      </c>
      <c r="M149" t="n">
        <v>0</v>
      </c>
      <c r="N149" t="n">
        <v>0</v>
      </c>
      <c r="O149" t="n">
        <v>0</v>
      </c>
      <c r="P149" t="n">
        <v>0</v>
      </c>
      <c r="Q149" t="n">
        <v>0</v>
      </c>
      <c r="R149" s="2" t="inlineStr"/>
    </row>
    <row r="150" ht="15" customHeight="1">
      <c r="A150" t="inlineStr">
        <is>
          <t>A 44429-2023</t>
        </is>
      </c>
      <c r="B150" s="1" t="n">
        <v>45189.35101851852</v>
      </c>
      <c r="C150" s="1" t="n">
        <v>46087</v>
      </c>
      <c r="D150" t="inlineStr">
        <is>
          <t>VÄSTRA GÖTALANDS LÄN</t>
        </is>
      </c>
      <c r="E150" t="inlineStr">
        <is>
          <t>ALE</t>
        </is>
      </c>
      <c r="G150" t="n">
        <v>0.1</v>
      </c>
      <c r="H150" t="n">
        <v>0</v>
      </c>
      <c r="I150" t="n">
        <v>0</v>
      </c>
      <c r="J150" t="n">
        <v>0</v>
      </c>
      <c r="K150" t="n">
        <v>0</v>
      </c>
      <c r="L150" t="n">
        <v>0</v>
      </c>
      <c r="M150" t="n">
        <v>0</v>
      </c>
      <c r="N150" t="n">
        <v>0</v>
      </c>
      <c r="O150" t="n">
        <v>0</v>
      </c>
      <c r="P150" t="n">
        <v>0</v>
      </c>
      <c r="Q150" t="n">
        <v>0</v>
      </c>
      <c r="R150" s="2" t="inlineStr"/>
    </row>
    <row r="151" ht="15" customHeight="1">
      <c r="A151" t="inlineStr">
        <is>
          <t>A 7892-2024</t>
        </is>
      </c>
      <c r="B151" s="1" t="n">
        <v>45350.40921296296</v>
      </c>
      <c r="C151" s="1" t="n">
        <v>46087</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51164-2024</t>
        </is>
      </c>
      <c r="B152" s="1" t="n">
        <v>45603.5830787037</v>
      </c>
      <c r="C152" s="1" t="n">
        <v>46087</v>
      </c>
      <c r="D152" t="inlineStr">
        <is>
          <t>VÄSTRA GÖTALANDS LÄN</t>
        </is>
      </c>
      <c r="E152" t="inlineStr">
        <is>
          <t>ALE</t>
        </is>
      </c>
      <c r="G152" t="n">
        <v>1.1</v>
      </c>
      <c r="H152" t="n">
        <v>0</v>
      </c>
      <c r="I152" t="n">
        <v>0</v>
      </c>
      <c r="J152" t="n">
        <v>0</v>
      </c>
      <c r="K152" t="n">
        <v>0</v>
      </c>
      <c r="L152" t="n">
        <v>0</v>
      </c>
      <c r="M152" t="n">
        <v>0</v>
      </c>
      <c r="N152" t="n">
        <v>0</v>
      </c>
      <c r="O152" t="n">
        <v>0</v>
      </c>
      <c r="P152" t="n">
        <v>0</v>
      </c>
      <c r="Q152" t="n">
        <v>0</v>
      </c>
      <c r="R152" s="2" t="inlineStr"/>
    </row>
    <row r="153" ht="15" customHeight="1">
      <c r="A153" t="inlineStr">
        <is>
          <t>A 4444-2024</t>
        </is>
      </c>
      <c r="B153" s="1" t="n">
        <v>45327</v>
      </c>
      <c r="C153" s="1" t="n">
        <v>46087</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72801-2021</t>
        </is>
      </c>
      <c r="B154" s="1" t="n">
        <v>44546</v>
      </c>
      <c r="C154" s="1" t="n">
        <v>46087</v>
      </c>
      <c r="D154" t="inlineStr">
        <is>
          <t>VÄSTRA GÖTALANDS LÄN</t>
        </is>
      </c>
      <c r="E154" t="inlineStr">
        <is>
          <t>ALE</t>
        </is>
      </c>
      <c r="F154" t="inlineStr">
        <is>
          <t>Naturvårdsverket</t>
        </is>
      </c>
      <c r="G154" t="n">
        <v>1.4</v>
      </c>
      <c r="H154" t="n">
        <v>0</v>
      </c>
      <c r="I154" t="n">
        <v>0</v>
      </c>
      <c r="J154" t="n">
        <v>0</v>
      </c>
      <c r="K154" t="n">
        <v>0</v>
      </c>
      <c r="L154" t="n">
        <v>0</v>
      </c>
      <c r="M154" t="n">
        <v>0</v>
      </c>
      <c r="N154" t="n">
        <v>0</v>
      </c>
      <c r="O154" t="n">
        <v>0</v>
      </c>
      <c r="P154" t="n">
        <v>0</v>
      </c>
      <c r="Q154" t="n">
        <v>0</v>
      </c>
      <c r="R154" s="2" t="inlineStr"/>
    </row>
    <row r="155" ht="15" customHeight="1">
      <c r="A155" t="inlineStr">
        <is>
          <t>A 1822-2024</t>
        </is>
      </c>
      <c r="B155" s="1" t="n">
        <v>45307.6205787037</v>
      </c>
      <c r="C155" s="1" t="n">
        <v>46087</v>
      </c>
      <c r="D155" t="inlineStr">
        <is>
          <t>VÄSTRA GÖTALANDS LÄN</t>
        </is>
      </c>
      <c r="E155" t="inlineStr">
        <is>
          <t>ALE</t>
        </is>
      </c>
      <c r="G155" t="n">
        <v>2</v>
      </c>
      <c r="H155" t="n">
        <v>0</v>
      </c>
      <c r="I155" t="n">
        <v>0</v>
      </c>
      <c r="J155" t="n">
        <v>0</v>
      </c>
      <c r="K155" t="n">
        <v>0</v>
      </c>
      <c r="L155" t="n">
        <v>0</v>
      </c>
      <c r="M155" t="n">
        <v>0</v>
      </c>
      <c r="N155" t="n">
        <v>0</v>
      </c>
      <c r="O155" t="n">
        <v>0</v>
      </c>
      <c r="P155" t="n">
        <v>0</v>
      </c>
      <c r="Q155" t="n">
        <v>0</v>
      </c>
      <c r="R155" s="2" t="inlineStr"/>
    </row>
    <row r="156" ht="15" customHeight="1">
      <c r="A156" t="inlineStr">
        <is>
          <t>A 15241-2025</t>
        </is>
      </c>
      <c r="B156" s="1" t="n">
        <v>45744.61255787037</v>
      </c>
      <c r="C156" s="1" t="n">
        <v>46087</v>
      </c>
      <c r="D156" t="inlineStr">
        <is>
          <t>VÄSTRA GÖTALANDS LÄN</t>
        </is>
      </c>
      <c r="E156" t="inlineStr">
        <is>
          <t>ALE</t>
        </is>
      </c>
      <c r="G156" t="n">
        <v>2.2</v>
      </c>
      <c r="H156" t="n">
        <v>0</v>
      </c>
      <c r="I156" t="n">
        <v>0</v>
      </c>
      <c r="J156" t="n">
        <v>0</v>
      </c>
      <c r="K156" t="n">
        <v>0</v>
      </c>
      <c r="L156" t="n">
        <v>0</v>
      </c>
      <c r="M156" t="n">
        <v>0</v>
      </c>
      <c r="N156" t="n">
        <v>0</v>
      </c>
      <c r="O156" t="n">
        <v>0</v>
      </c>
      <c r="P156" t="n">
        <v>0</v>
      </c>
      <c r="Q156" t="n">
        <v>0</v>
      </c>
      <c r="R156" s="2" t="inlineStr"/>
    </row>
    <row r="157" ht="15" customHeight="1">
      <c r="A157" t="inlineStr">
        <is>
          <t>A 6947-2024</t>
        </is>
      </c>
      <c r="B157" s="1" t="n">
        <v>45343</v>
      </c>
      <c r="C157" s="1" t="n">
        <v>46087</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34153-2024</t>
        </is>
      </c>
      <c r="B158" s="1" t="n">
        <v>45524.38400462963</v>
      </c>
      <c r="C158" s="1" t="n">
        <v>46087</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41309-2024</t>
        </is>
      </c>
      <c r="B159" s="1" t="n">
        <v>45559</v>
      </c>
      <c r="C159" s="1" t="n">
        <v>46087</v>
      </c>
      <c r="D159" t="inlineStr">
        <is>
          <t>VÄSTRA GÖTALANDS LÄN</t>
        </is>
      </c>
      <c r="E159" t="inlineStr">
        <is>
          <t>ALE</t>
        </is>
      </c>
      <c r="G159" t="n">
        <v>8.4</v>
      </c>
      <c r="H159" t="n">
        <v>0</v>
      </c>
      <c r="I159" t="n">
        <v>0</v>
      </c>
      <c r="J159" t="n">
        <v>0</v>
      </c>
      <c r="K159" t="n">
        <v>0</v>
      </c>
      <c r="L159" t="n">
        <v>0</v>
      </c>
      <c r="M159" t="n">
        <v>0</v>
      </c>
      <c r="N159" t="n">
        <v>0</v>
      </c>
      <c r="O159" t="n">
        <v>0</v>
      </c>
      <c r="P159" t="n">
        <v>0</v>
      </c>
      <c r="Q159" t="n">
        <v>0</v>
      </c>
      <c r="R159" s="2" t="inlineStr"/>
    </row>
    <row r="160" ht="15" customHeight="1">
      <c r="A160" t="inlineStr">
        <is>
          <t>A 15499-2022</t>
        </is>
      </c>
      <c r="B160" s="1" t="n">
        <v>44662</v>
      </c>
      <c r="C160" s="1" t="n">
        <v>46087</v>
      </c>
      <c r="D160" t="inlineStr">
        <is>
          <t>VÄSTRA GÖTALANDS LÄN</t>
        </is>
      </c>
      <c r="E160" t="inlineStr">
        <is>
          <t>ALE</t>
        </is>
      </c>
      <c r="G160" t="n">
        <v>4.7</v>
      </c>
      <c r="H160" t="n">
        <v>0</v>
      </c>
      <c r="I160" t="n">
        <v>0</v>
      </c>
      <c r="J160" t="n">
        <v>0</v>
      </c>
      <c r="K160" t="n">
        <v>0</v>
      </c>
      <c r="L160" t="n">
        <v>0</v>
      </c>
      <c r="M160" t="n">
        <v>0</v>
      </c>
      <c r="N160" t="n">
        <v>0</v>
      </c>
      <c r="O160" t="n">
        <v>0</v>
      </c>
      <c r="P160" t="n">
        <v>0</v>
      </c>
      <c r="Q160" t="n">
        <v>0</v>
      </c>
      <c r="R160" s="2" t="inlineStr"/>
    </row>
    <row r="161" ht="15" customHeight="1">
      <c r="A161" t="inlineStr">
        <is>
          <t>A 3413-2023</t>
        </is>
      </c>
      <c r="B161" s="1" t="n">
        <v>44949</v>
      </c>
      <c r="C161" s="1" t="n">
        <v>46087</v>
      </c>
      <c r="D161" t="inlineStr">
        <is>
          <t>VÄSTRA GÖTALANDS LÄN</t>
        </is>
      </c>
      <c r="E161" t="inlineStr">
        <is>
          <t>ALE</t>
        </is>
      </c>
      <c r="G161" t="n">
        <v>2.3</v>
      </c>
      <c r="H161" t="n">
        <v>0</v>
      </c>
      <c r="I161" t="n">
        <v>0</v>
      </c>
      <c r="J161" t="n">
        <v>0</v>
      </c>
      <c r="K161" t="n">
        <v>0</v>
      </c>
      <c r="L161" t="n">
        <v>0</v>
      </c>
      <c r="M161" t="n">
        <v>0</v>
      </c>
      <c r="N161" t="n">
        <v>0</v>
      </c>
      <c r="O161" t="n">
        <v>0</v>
      </c>
      <c r="P161" t="n">
        <v>0</v>
      </c>
      <c r="Q161" t="n">
        <v>0</v>
      </c>
      <c r="R161" s="2" t="inlineStr"/>
    </row>
    <row r="162" ht="15" customHeight="1">
      <c r="A162" t="inlineStr">
        <is>
          <t>A 27314-2021</t>
        </is>
      </c>
      <c r="B162" s="1" t="n">
        <v>44351.36537037037</v>
      </c>
      <c r="C162" s="1" t="n">
        <v>46087</v>
      </c>
      <c r="D162" t="inlineStr">
        <is>
          <t>VÄSTRA GÖTALANDS LÄN</t>
        </is>
      </c>
      <c r="E162" t="inlineStr">
        <is>
          <t>ALE</t>
        </is>
      </c>
      <c r="G162" t="n">
        <v>11.3</v>
      </c>
      <c r="H162" t="n">
        <v>0</v>
      </c>
      <c r="I162" t="n">
        <v>0</v>
      </c>
      <c r="J162" t="n">
        <v>0</v>
      </c>
      <c r="K162" t="n">
        <v>0</v>
      </c>
      <c r="L162" t="n">
        <v>0</v>
      </c>
      <c r="M162" t="n">
        <v>0</v>
      </c>
      <c r="N162" t="n">
        <v>0</v>
      </c>
      <c r="O162" t="n">
        <v>0</v>
      </c>
      <c r="P162" t="n">
        <v>0</v>
      </c>
      <c r="Q162" t="n">
        <v>0</v>
      </c>
      <c r="R162" s="2" t="inlineStr"/>
    </row>
    <row r="163" ht="15" customHeight="1">
      <c r="A163" t="inlineStr">
        <is>
          <t>A 1960-2024</t>
        </is>
      </c>
      <c r="B163" s="1" t="n">
        <v>45308.50962962963</v>
      </c>
      <c r="C163" s="1" t="n">
        <v>46087</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3418-2023</t>
        </is>
      </c>
      <c r="B164" s="1" t="n">
        <v>44949.56182870371</v>
      </c>
      <c r="C164" s="1" t="n">
        <v>46087</v>
      </c>
      <c r="D164" t="inlineStr">
        <is>
          <t>VÄSTRA GÖTALANDS LÄN</t>
        </is>
      </c>
      <c r="E164" t="inlineStr">
        <is>
          <t>ALE</t>
        </is>
      </c>
      <c r="G164" t="n">
        <v>1.1</v>
      </c>
      <c r="H164" t="n">
        <v>0</v>
      </c>
      <c r="I164" t="n">
        <v>0</v>
      </c>
      <c r="J164" t="n">
        <v>0</v>
      </c>
      <c r="K164" t="n">
        <v>0</v>
      </c>
      <c r="L164" t="n">
        <v>0</v>
      </c>
      <c r="M164" t="n">
        <v>0</v>
      </c>
      <c r="N164" t="n">
        <v>0</v>
      </c>
      <c r="O164" t="n">
        <v>0</v>
      </c>
      <c r="P164" t="n">
        <v>0</v>
      </c>
      <c r="Q164" t="n">
        <v>0</v>
      </c>
      <c r="R164" s="2" t="inlineStr"/>
    </row>
    <row r="165" ht="15" customHeight="1">
      <c r="A165" t="inlineStr">
        <is>
          <t>A 65226-2021</t>
        </is>
      </c>
      <c r="B165" s="1" t="n">
        <v>44515</v>
      </c>
      <c r="C165" s="1" t="n">
        <v>46087</v>
      </c>
      <c r="D165" t="inlineStr">
        <is>
          <t>VÄSTRA GÖTALANDS LÄN</t>
        </is>
      </c>
      <c r="E165" t="inlineStr">
        <is>
          <t>ALE</t>
        </is>
      </c>
      <c r="G165" t="n">
        <v>0.7</v>
      </c>
      <c r="H165" t="n">
        <v>0</v>
      </c>
      <c r="I165" t="n">
        <v>0</v>
      </c>
      <c r="J165" t="n">
        <v>0</v>
      </c>
      <c r="K165" t="n">
        <v>0</v>
      </c>
      <c r="L165" t="n">
        <v>0</v>
      </c>
      <c r="M165" t="n">
        <v>0</v>
      </c>
      <c r="N165" t="n">
        <v>0</v>
      </c>
      <c r="O165" t="n">
        <v>0</v>
      </c>
      <c r="P165" t="n">
        <v>0</v>
      </c>
      <c r="Q165" t="n">
        <v>0</v>
      </c>
      <c r="R165" s="2" t="inlineStr"/>
    </row>
    <row r="166" ht="15" customHeight="1">
      <c r="A166" t="inlineStr">
        <is>
          <t>A 12055-2022</t>
        </is>
      </c>
      <c r="B166" s="1" t="n">
        <v>44636</v>
      </c>
      <c r="C166" s="1" t="n">
        <v>46087</v>
      </c>
      <c r="D166" t="inlineStr">
        <is>
          <t>VÄSTRA GÖTALANDS LÄN</t>
        </is>
      </c>
      <c r="E166" t="inlineStr">
        <is>
          <t>ALE</t>
        </is>
      </c>
      <c r="G166" t="n">
        <v>0.2</v>
      </c>
      <c r="H166" t="n">
        <v>0</v>
      </c>
      <c r="I166" t="n">
        <v>0</v>
      </c>
      <c r="J166" t="n">
        <v>0</v>
      </c>
      <c r="K166" t="n">
        <v>0</v>
      </c>
      <c r="L166" t="n">
        <v>0</v>
      </c>
      <c r="M166" t="n">
        <v>0</v>
      </c>
      <c r="N166" t="n">
        <v>0</v>
      </c>
      <c r="O166" t="n">
        <v>0</v>
      </c>
      <c r="P166" t="n">
        <v>0</v>
      </c>
      <c r="Q166" t="n">
        <v>0</v>
      </c>
      <c r="R166" s="2" t="inlineStr"/>
    </row>
    <row r="167" ht="15" customHeight="1">
      <c r="A167" t="inlineStr">
        <is>
          <t>A 3457-2022</t>
        </is>
      </c>
      <c r="B167" s="1" t="n">
        <v>44585</v>
      </c>
      <c r="C167" s="1" t="n">
        <v>46087</v>
      </c>
      <c r="D167" t="inlineStr">
        <is>
          <t>VÄSTRA GÖTALANDS LÄN</t>
        </is>
      </c>
      <c r="E167" t="inlineStr">
        <is>
          <t>ALE</t>
        </is>
      </c>
      <c r="G167" t="n">
        <v>5.1</v>
      </c>
      <c r="H167" t="n">
        <v>0</v>
      </c>
      <c r="I167" t="n">
        <v>0</v>
      </c>
      <c r="J167" t="n">
        <v>0</v>
      </c>
      <c r="K167" t="n">
        <v>0</v>
      </c>
      <c r="L167" t="n">
        <v>0</v>
      </c>
      <c r="M167" t="n">
        <v>0</v>
      </c>
      <c r="N167" t="n">
        <v>0</v>
      </c>
      <c r="O167" t="n">
        <v>0</v>
      </c>
      <c r="P167" t="n">
        <v>0</v>
      </c>
      <c r="Q167" t="n">
        <v>0</v>
      </c>
      <c r="R167" s="2" t="inlineStr"/>
    </row>
    <row r="168" ht="15" customHeight="1">
      <c r="A168" t="inlineStr">
        <is>
          <t>A 5916-2023</t>
        </is>
      </c>
      <c r="B168" s="1" t="n">
        <v>44963</v>
      </c>
      <c r="C168" s="1" t="n">
        <v>46087</v>
      </c>
      <c r="D168" t="inlineStr">
        <is>
          <t>VÄSTRA GÖTALANDS LÄN</t>
        </is>
      </c>
      <c r="E168" t="inlineStr">
        <is>
          <t>ALE</t>
        </is>
      </c>
      <c r="G168" t="n">
        <v>4.2</v>
      </c>
      <c r="H168" t="n">
        <v>0</v>
      </c>
      <c r="I168" t="n">
        <v>0</v>
      </c>
      <c r="J168" t="n">
        <v>0</v>
      </c>
      <c r="K168" t="n">
        <v>0</v>
      </c>
      <c r="L168" t="n">
        <v>0</v>
      </c>
      <c r="M168" t="n">
        <v>0</v>
      </c>
      <c r="N168" t="n">
        <v>0</v>
      </c>
      <c r="O168" t="n">
        <v>0</v>
      </c>
      <c r="P168" t="n">
        <v>0</v>
      </c>
      <c r="Q168" t="n">
        <v>0</v>
      </c>
      <c r="R168" s="2" t="inlineStr"/>
    </row>
    <row r="169" ht="15" customHeight="1">
      <c r="A169" t="inlineStr">
        <is>
          <t>A 4363-2024</t>
        </is>
      </c>
      <c r="B169" s="1" t="n">
        <v>45325</v>
      </c>
      <c r="C169" s="1" t="n">
        <v>46087</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16601-2025</t>
        </is>
      </c>
      <c r="B170" s="1" t="n">
        <v>45753.53189814815</v>
      </c>
      <c r="C170" s="1" t="n">
        <v>46087</v>
      </c>
      <c r="D170" t="inlineStr">
        <is>
          <t>VÄSTRA GÖTALANDS LÄN</t>
        </is>
      </c>
      <c r="E170" t="inlineStr">
        <is>
          <t>ALE</t>
        </is>
      </c>
      <c r="G170" t="n">
        <v>1.7</v>
      </c>
      <c r="H170" t="n">
        <v>0</v>
      </c>
      <c r="I170" t="n">
        <v>0</v>
      </c>
      <c r="J170" t="n">
        <v>0</v>
      </c>
      <c r="K170" t="n">
        <v>0</v>
      </c>
      <c r="L170" t="n">
        <v>0</v>
      </c>
      <c r="M170" t="n">
        <v>0</v>
      </c>
      <c r="N170" t="n">
        <v>0</v>
      </c>
      <c r="O170" t="n">
        <v>0</v>
      </c>
      <c r="P170" t="n">
        <v>0</v>
      </c>
      <c r="Q170" t="n">
        <v>0</v>
      </c>
      <c r="R170" s="2" t="inlineStr"/>
    </row>
    <row r="171" ht="15" customHeight="1">
      <c r="A171" t="inlineStr">
        <is>
          <t>A 20067-2023</t>
        </is>
      </c>
      <c r="B171" s="1" t="n">
        <v>45054</v>
      </c>
      <c r="C171" s="1" t="n">
        <v>46087</v>
      </c>
      <c r="D171" t="inlineStr">
        <is>
          <t>VÄSTRA GÖTALANDS LÄN</t>
        </is>
      </c>
      <c r="E171" t="inlineStr">
        <is>
          <t>ALE</t>
        </is>
      </c>
      <c r="G171" t="n">
        <v>0.4</v>
      </c>
      <c r="H171" t="n">
        <v>0</v>
      </c>
      <c r="I171" t="n">
        <v>0</v>
      </c>
      <c r="J171" t="n">
        <v>0</v>
      </c>
      <c r="K171" t="n">
        <v>0</v>
      </c>
      <c r="L171" t="n">
        <v>0</v>
      </c>
      <c r="M171" t="n">
        <v>0</v>
      </c>
      <c r="N171" t="n">
        <v>0</v>
      </c>
      <c r="O171" t="n">
        <v>0</v>
      </c>
      <c r="P171" t="n">
        <v>0</v>
      </c>
      <c r="Q171" t="n">
        <v>0</v>
      </c>
      <c r="R171" s="2" t="inlineStr"/>
    </row>
    <row r="172" ht="15" customHeight="1">
      <c r="A172" t="inlineStr">
        <is>
          <t>A 1500-2024</t>
        </is>
      </c>
      <c r="B172" s="1" t="n">
        <v>45306</v>
      </c>
      <c r="C172" s="1" t="n">
        <v>46087</v>
      </c>
      <c r="D172" t="inlineStr">
        <is>
          <t>VÄSTRA GÖTALANDS LÄN</t>
        </is>
      </c>
      <c r="E172" t="inlineStr">
        <is>
          <t>ALE</t>
        </is>
      </c>
      <c r="G172" t="n">
        <v>1.3</v>
      </c>
      <c r="H172" t="n">
        <v>0</v>
      </c>
      <c r="I172" t="n">
        <v>0</v>
      </c>
      <c r="J172" t="n">
        <v>0</v>
      </c>
      <c r="K172" t="n">
        <v>0</v>
      </c>
      <c r="L172" t="n">
        <v>0</v>
      </c>
      <c r="M172" t="n">
        <v>0</v>
      </c>
      <c r="N172" t="n">
        <v>0</v>
      </c>
      <c r="O172" t="n">
        <v>0</v>
      </c>
      <c r="P172" t="n">
        <v>0</v>
      </c>
      <c r="Q172" t="n">
        <v>0</v>
      </c>
      <c r="R172" s="2" t="inlineStr"/>
    </row>
    <row r="173" ht="15" customHeight="1">
      <c r="A173" t="inlineStr">
        <is>
          <t>A 6916-2023</t>
        </is>
      </c>
      <c r="B173" s="1" t="n">
        <v>44967.53349537037</v>
      </c>
      <c r="C173" s="1" t="n">
        <v>46087</v>
      </c>
      <c r="D173" t="inlineStr">
        <is>
          <t>VÄSTRA GÖTALANDS LÄN</t>
        </is>
      </c>
      <c r="E173" t="inlineStr">
        <is>
          <t>ALE</t>
        </is>
      </c>
      <c r="G173" t="n">
        <v>1</v>
      </c>
      <c r="H173" t="n">
        <v>0</v>
      </c>
      <c r="I173" t="n">
        <v>0</v>
      </c>
      <c r="J173" t="n">
        <v>0</v>
      </c>
      <c r="K173" t="n">
        <v>0</v>
      </c>
      <c r="L173" t="n">
        <v>0</v>
      </c>
      <c r="M173" t="n">
        <v>0</v>
      </c>
      <c r="N173" t="n">
        <v>0</v>
      </c>
      <c r="O173" t="n">
        <v>0</v>
      </c>
      <c r="P173" t="n">
        <v>0</v>
      </c>
      <c r="Q173" t="n">
        <v>0</v>
      </c>
      <c r="R173" s="2" t="inlineStr"/>
    </row>
    <row r="174">
      <c r="A174" t="inlineStr">
        <is>
          <t>A 64199-2021</t>
        </is>
      </c>
      <c r="B174" s="1" t="n">
        <v>44510</v>
      </c>
      <c r="C174" s="1" t="n">
        <v>46087</v>
      </c>
      <c r="D174" t="inlineStr">
        <is>
          <t>VÄSTRA GÖTALANDS LÄN</t>
        </is>
      </c>
      <c r="E174" t="inlineStr">
        <is>
          <t>ALE</t>
        </is>
      </c>
      <c r="G174" t="n">
        <v>5.7</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2026-03-06T11:17:32Z</dcterms:created>
  <dcterms:modified xmlns:dcterms="http://purl.org/dc/terms/" xmlns:xsi="http://www.w3.org/2001/XMLSchema-instance" xsi:type="dcterms:W3CDTF">2026-03-06T11:17:32Z</dcterms:modified>
</cp:coreProperties>
</file>