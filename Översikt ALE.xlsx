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45982</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45982</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45982</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45982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45982</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45982</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45982</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32849-2023</t>
        </is>
      </c>
      <c r="B14" s="1" t="n">
        <v>45124</v>
      </c>
      <c r="C14" s="1" t="n">
        <v>45982</v>
      </c>
      <c r="D14" t="inlineStr">
        <is>
          <t>VÄSTRA GÖTALANDS LÄN</t>
        </is>
      </c>
      <c r="E14" t="inlineStr">
        <is>
          <t>ALE</t>
        </is>
      </c>
      <c r="G14" t="n">
        <v>5.6</v>
      </c>
      <c r="H14" t="n">
        <v>2</v>
      </c>
      <c r="I14" t="n">
        <v>6</v>
      </c>
      <c r="J14" t="n">
        <v>1</v>
      </c>
      <c r="K14" t="n">
        <v>0</v>
      </c>
      <c r="L14" t="n">
        <v>0</v>
      </c>
      <c r="M14" t="n">
        <v>0</v>
      </c>
      <c r="N14" t="n">
        <v>0</v>
      </c>
      <c r="O14" t="n">
        <v>1</v>
      </c>
      <c r="P14" t="n">
        <v>0</v>
      </c>
      <c r="Q14" t="n">
        <v>8</v>
      </c>
      <c r="R14" s="2" t="inlineStr">
        <is>
          <t>Spillkråka
Blåmossa
Kornknutmossa
Sotriska
Stor revmossa
Stubbspretmossa
Västlig hakmossa
Vanlig groda</t>
        </is>
      </c>
      <c r="S14">
        <f>HYPERLINK("https://klasma.github.io/Logging_1440/artfynd/A 32849-2023 artfynd.xlsx", "A 32849-2023")</f>
        <v/>
      </c>
      <c r="T14">
        <f>HYPERLINK("https://klasma.github.io/Logging_1440/kartor/A 32849-2023 karta.png", "A 32849-2023")</f>
        <v/>
      </c>
      <c r="V14">
        <f>HYPERLINK("https://klasma.github.io/Logging_1440/klagomål/A 32849-2023 FSC-klagomål.docx", "A 32849-2023")</f>
        <v/>
      </c>
      <c r="W14">
        <f>HYPERLINK("https://klasma.github.io/Logging_1440/klagomålsmail/A 32849-2023 FSC-klagomål mail.docx", "A 32849-2023")</f>
        <v/>
      </c>
      <c r="X14">
        <f>HYPERLINK("https://klasma.github.io/Logging_1440/tillsyn/A 32849-2023 tillsynsbegäran.docx", "A 32849-2023")</f>
        <v/>
      </c>
      <c r="Y14">
        <f>HYPERLINK("https://klasma.github.io/Logging_1440/tillsynsmail/A 32849-2023 tillsynsbegäran mail.docx", "A 32849-2023")</f>
        <v/>
      </c>
      <c r="Z14">
        <f>HYPERLINK("https://klasma.github.io/Logging_1440/fåglar/A 32849-2023 prioriterade fågelarter.docx", "A 32849-2023")</f>
        <v/>
      </c>
    </row>
    <row r="15" ht="15" customHeight="1">
      <c r="A15" t="inlineStr">
        <is>
          <t>A 37005-2025</t>
        </is>
      </c>
      <c r="B15" s="1" t="n">
        <v>45874.69311342593</v>
      </c>
      <c r="C15" s="1" t="n">
        <v>45982</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45982</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45982</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45982</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45982</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45982</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45982</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45982</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45982</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45982</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45982</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45982</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45982</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63569-2023</t>
        </is>
      </c>
      <c r="B29" s="1" t="n">
        <v>45275</v>
      </c>
      <c r="C29" s="1" t="n">
        <v>45982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16534-2025</t>
        </is>
      </c>
      <c r="B30" s="1" t="n">
        <v>45751.65315972222</v>
      </c>
      <c r="C30" s="1" t="n">
        <v>45982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45982</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45982</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45982</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45982</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45982</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45982</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45982</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45982</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45982</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45982</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45982</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45982</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45982</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45982</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45982</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45982</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45982</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45982</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45982</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45982</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45982</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45982</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45982</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45982</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45982</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45982</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45982</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45982</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45982</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45982</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45982</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45982</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44429-2023</t>
        </is>
      </c>
      <c r="B66" s="1" t="n">
        <v>45189.35101851852</v>
      </c>
      <c r="C66" s="1" t="n">
        <v>45982</v>
      </c>
      <c r="D66" t="inlineStr">
        <is>
          <t>VÄSTRA GÖTALANDS LÄN</t>
        </is>
      </c>
      <c r="E66" t="inlineStr">
        <is>
          <t>ALE</t>
        </is>
      </c>
      <c r="G66" t="n">
        <v>0.1</v>
      </c>
      <c r="H66" t="n">
        <v>0</v>
      </c>
      <c r="I66" t="n">
        <v>0</v>
      </c>
      <c r="J66" t="n">
        <v>0</v>
      </c>
      <c r="K66" t="n">
        <v>0</v>
      </c>
      <c r="L66" t="n">
        <v>0</v>
      </c>
      <c r="M66" t="n">
        <v>0</v>
      </c>
      <c r="N66" t="n">
        <v>0</v>
      </c>
      <c r="O66" t="n">
        <v>0</v>
      </c>
      <c r="P66" t="n">
        <v>0</v>
      </c>
      <c r="Q66" t="n">
        <v>0</v>
      </c>
      <c r="R66" s="2" t="inlineStr"/>
    </row>
    <row r="67" ht="15" customHeight="1">
      <c r="A67" t="inlineStr">
        <is>
          <t>A 1822-2024</t>
        </is>
      </c>
      <c r="B67" s="1" t="n">
        <v>45307.6205787037</v>
      </c>
      <c r="C67" s="1" t="n">
        <v>45982</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34104-2024</t>
        </is>
      </c>
      <c r="B68" s="1" t="n">
        <v>45523.79202546296</v>
      </c>
      <c r="C68" s="1" t="n">
        <v>45982</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45982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4971-2024</t>
        </is>
      </c>
      <c r="B70" s="1" t="n">
        <v>45329</v>
      </c>
      <c r="C70" s="1" t="n">
        <v>45982</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49955-2021</t>
        </is>
      </c>
      <c r="B71" s="1" t="n">
        <v>44456</v>
      </c>
      <c r="C71" s="1" t="n">
        <v>45982</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22946-2025</t>
        </is>
      </c>
      <c r="B72" s="1" t="n">
        <v>45790.48229166667</v>
      </c>
      <c r="C72" s="1" t="n">
        <v>45982</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37461-2024</t>
        </is>
      </c>
      <c r="B73" s="1" t="n">
        <v>45540.72516203704</v>
      </c>
      <c r="C73" s="1" t="n">
        <v>45982</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40074-2025</t>
        </is>
      </c>
      <c r="B74" s="1" t="n">
        <v>45894.44685185186</v>
      </c>
      <c r="C74" s="1" t="n">
        <v>45982</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45982</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25849-2025</t>
        </is>
      </c>
      <c r="B76" s="1" t="n">
        <v>45804</v>
      </c>
      <c r="C76" s="1" t="n">
        <v>45982</v>
      </c>
      <c r="D76" t="inlineStr">
        <is>
          <t>VÄSTRA GÖTALANDS LÄN</t>
        </is>
      </c>
      <c r="E76" t="inlineStr">
        <is>
          <t>ALE</t>
        </is>
      </c>
      <c r="G76" t="n">
        <v>0.8</v>
      </c>
      <c r="H76" t="n">
        <v>0</v>
      </c>
      <c r="I76" t="n">
        <v>0</v>
      </c>
      <c r="J76" t="n">
        <v>0</v>
      </c>
      <c r="K76" t="n">
        <v>0</v>
      </c>
      <c r="L76" t="n">
        <v>0</v>
      </c>
      <c r="M76" t="n">
        <v>0</v>
      </c>
      <c r="N76" t="n">
        <v>0</v>
      </c>
      <c r="O76" t="n">
        <v>0</v>
      </c>
      <c r="P76" t="n">
        <v>0</v>
      </c>
      <c r="Q76" t="n">
        <v>0</v>
      </c>
      <c r="R76" s="2" t="inlineStr"/>
    </row>
    <row r="77" ht="15" customHeight="1">
      <c r="A77" t="inlineStr">
        <is>
          <t>A 25848-2025</t>
        </is>
      </c>
      <c r="B77" s="1" t="n">
        <v>45804</v>
      </c>
      <c r="C77" s="1" t="n">
        <v>45982</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1960-2024</t>
        </is>
      </c>
      <c r="B78" s="1" t="n">
        <v>45308.50962962963</v>
      </c>
      <c r="C78" s="1" t="n">
        <v>45982</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41607-2022</t>
        </is>
      </c>
      <c r="B79" s="1" t="n">
        <v>44827.46658564815</v>
      </c>
      <c r="C79" s="1" t="n">
        <v>45982</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15499-2022</t>
        </is>
      </c>
      <c r="B80" s="1" t="n">
        <v>44662</v>
      </c>
      <c r="C80" s="1" t="n">
        <v>45982</v>
      </c>
      <c r="D80" t="inlineStr">
        <is>
          <t>VÄSTRA GÖTALANDS LÄN</t>
        </is>
      </c>
      <c r="E80" t="inlineStr">
        <is>
          <t>ALE</t>
        </is>
      </c>
      <c r="G80" t="n">
        <v>4.7</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45982</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53476-2023</t>
        </is>
      </c>
      <c r="B82" s="1" t="n">
        <v>45230.33737268519</v>
      </c>
      <c r="C82" s="1" t="n">
        <v>45982</v>
      </c>
      <c r="D82" t="inlineStr">
        <is>
          <t>VÄSTRA GÖTALANDS LÄN</t>
        </is>
      </c>
      <c r="E82" t="inlineStr">
        <is>
          <t>ALE</t>
        </is>
      </c>
      <c r="G82" t="n">
        <v>1.9</v>
      </c>
      <c r="H82" t="n">
        <v>0</v>
      </c>
      <c r="I82" t="n">
        <v>0</v>
      </c>
      <c r="J82" t="n">
        <v>0</v>
      </c>
      <c r="K82" t="n">
        <v>0</v>
      </c>
      <c r="L82" t="n">
        <v>0</v>
      </c>
      <c r="M82" t="n">
        <v>0</v>
      </c>
      <c r="N82" t="n">
        <v>0</v>
      </c>
      <c r="O82" t="n">
        <v>0</v>
      </c>
      <c r="P82" t="n">
        <v>0</v>
      </c>
      <c r="Q82" t="n">
        <v>0</v>
      </c>
      <c r="R82" s="2" t="inlineStr"/>
    </row>
    <row r="83" ht="15" customHeight="1">
      <c r="A83" t="inlineStr">
        <is>
          <t>A 50189-2025</t>
        </is>
      </c>
      <c r="B83" s="1" t="n">
        <v>45943.63476851852</v>
      </c>
      <c r="C83" s="1" t="n">
        <v>45982</v>
      </c>
      <c r="D83" t="inlineStr">
        <is>
          <t>VÄSTRA GÖTALANDS LÄN</t>
        </is>
      </c>
      <c r="E83" t="inlineStr">
        <is>
          <t>ALE</t>
        </is>
      </c>
      <c r="G83" t="n">
        <v>3</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45982</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51164-2024</t>
        </is>
      </c>
      <c r="B85" s="1" t="n">
        <v>45603.5830787037</v>
      </c>
      <c r="C85" s="1" t="n">
        <v>45982</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18637-2023</t>
        </is>
      </c>
      <c r="B86" s="1" t="n">
        <v>45043</v>
      </c>
      <c r="C86" s="1" t="n">
        <v>45982</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59933-2023</t>
        </is>
      </c>
      <c r="B87" s="1" t="n">
        <v>45257</v>
      </c>
      <c r="C87" s="1" t="n">
        <v>45982</v>
      </c>
      <c r="D87" t="inlineStr">
        <is>
          <t>VÄSTRA GÖTALANDS LÄN</t>
        </is>
      </c>
      <c r="E87" t="inlineStr">
        <is>
          <t>ALE</t>
        </is>
      </c>
      <c r="G87" t="n">
        <v>2.7</v>
      </c>
      <c r="H87" t="n">
        <v>0</v>
      </c>
      <c r="I87" t="n">
        <v>0</v>
      </c>
      <c r="J87" t="n">
        <v>0</v>
      </c>
      <c r="K87" t="n">
        <v>0</v>
      </c>
      <c r="L87" t="n">
        <v>0</v>
      </c>
      <c r="M87" t="n">
        <v>0</v>
      </c>
      <c r="N87" t="n">
        <v>0</v>
      </c>
      <c r="O87" t="n">
        <v>0</v>
      </c>
      <c r="P87" t="n">
        <v>0</v>
      </c>
      <c r="Q87" t="n">
        <v>0</v>
      </c>
      <c r="R87" s="2" t="inlineStr"/>
    </row>
    <row r="88" ht="15" customHeight="1">
      <c r="A88" t="inlineStr">
        <is>
          <t>A 50973-2025</t>
        </is>
      </c>
      <c r="B88" s="1" t="n">
        <v>45947.31263888889</v>
      </c>
      <c r="C88" s="1" t="n">
        <v>45982</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8659-2025</t>
        </is>
      </c>
      <c r="B89" s="1" t="n">
        <v>45712</v>
      </c>
      <c r="C89" s="1" t="n">
        <v>45982</v>
      </c>
      <c r="D89" t="inlineStr">
        <is>
          <t>VÄSTRA GÖTALANDS LÄN</t>
        </is>
      </c>
      <c r="E89" t="inlineStr">
        <is>
          <t>ALE</t>
        </is>
      </c>
      <c r="G89" t="n">
        <v>5.7</v>
      </c>
      <c r="H89" t="n">
        <v>0</v>
      </c>
      <c r="I89" t="n">
        <v>0</v>
      </c>
      <c r="J89" t="n">
        <v>0</v>
      </c>
      <c r="K89" t="n">
        <v>0</v>
      </c>
      <c r="L89" t="n">
        <v>0</v>
      </c>
      <c r="M89" t="n">
        <v>0</v>
      </c>
      <c r="N89" t="n">
        <v>0</v>
      </c>
      <c r="O89" t="n">
        <v>0</v>
      </c>
      <c r="P89" t="n">
        <v>0</v>
      </c>
      <c r="Q89" t="n">
        <v>0</v>
      </c>
      <c r="R89" s="2" t="inlineStr"/>
    </row>
    <row r="90" ht="15" customHeight="1">
      <c r="A90" t="inlineStr">
        <is>
          <t>A 5344-2024</t>
        </is>
      </c>
      <c r="B90" s="1" t="n">
        <v>45331</v>
      </c>
      <c r="C90" s="1" t="n">
        <v>45982</v>
      </c>
      <c r="D90" t="inlineStr">
        <is>
          <t>VÄSTRA GÖTALANDS LÄN</t>
        </is>
      </c>
      <c r="E90" t="inlineStr">
        <is>
          <t>ALE</t>
        </is>
      </c>
      <c r="G90" t="n">
        <v>2.5</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45982</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13426-2025</t>
        </is>
      </c>
      <c r="B92" s="1" t="n">
        <v>45736.32780092592</v>
      </c>
      <c r="C92" s="1" t="n">
        <v>45982</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24642-2022</t>
        </is>
      </c>
      <c r="B93" s="1" t="n">
        <v>44727.59578703704</v>
      </c>
      <c r="C93" s="1" t="n">
        <v>45982</v>
      </c>
      <c r="D93" t="inlineStr">
        <is>
          <t>VÄSTRA GÖTALANDS LÄN</t>
        </is>
      </c>
      <c r="E93" t="inlineStr">
        <is>
          <t>ALE</t>
        </is>
      </c>
      <c r="G93" t="n">
        <v>10</v>
      </c>
      <c r="H93" t="n">
        <v>0</v>
      </c>
      <c r="I93" t="n">
        <v>0</v>
      </c>
      <c r="J93" t="n">
        <v>0</v>
      </c>
      <c r="K93" t="n">
        <v>0</v>
      </c>
      <c r="L93" t="n">
        <v>0</v>
      </c>
      <c r="M93" t="n">
        <v>0</v>
      </c>
      <c r="N93" t="n">
        <v>0</v>
      </c>
      <c r="O93" t="n">
        <v>0</v>
      </c>
      <c r="P93" t="n">
        <v>0</v>
      </c>
      <c r="Q93" t="n">
        <v>0</v>
      </c>
      <c r="R93" s="2" t="inlineStr"/>
    </row>
    <row r="94" ht="15" customHeight="1">
      <c r="A94" t="inlineStr">
        <is>
          <t>A 29373-2025</t>
        </is>
      </c>
      <c r="B94" s="1" t="n">
        <v>45824.579375</v>
      </c>
      <c r="C94" s="1" t="n">
        <v>45982</v>
      </c>
      <c r="D94" t="inlineStr">
        <is>
          <t>VÄSTRA GÖTALANDS LÄN</t>
        </is>
      </c>
      <c r="E94" t="inlineStr">
        <is>
          <t>ALE</t>
        </is>
      </c>
      <c r="G94" t="n">
        <v>4.6</v>
      </c>
      <c r="H94" t="n">
        <v>0</v>
      </c>
      <c r="I94" t="n">
        <v>0</v>
      </c>
      <c r="J94" t="n">
        <v>0</v>
      </c>
      <c r="K94" t="n">
        <v>0</v>
      </c>
      <c r="L94" t="n">
        <v>0</v>
      </c>
      <c r="M94" t="n">
        <v>0</v>
      </c>
      <c r="N94" t="n">
        <v>0</v>
      </c>
      <c r="O94" t="n">
        <v>0</v>
      </c>
      <c r="P94" t="n">
        <v>0</v>
      </c>
      <c r="Q94" t="n">
        <v>0</v>
      </c>
      <c r="R94" s="2" t="inlineStr"/>
    </row>
    <row r="95" ht="15" customHeight="1">
      <c r="A95" t="inlineStr">
        <is>
          <t>A 13382-2025</t>
        </is>
      </c>
      <c r="B95" s="1" t="n">
        <v>45735.67928240741</v>
      </c>
      <c r="C95" s="1" t="n">
        <v>45982</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51976-2025</t>
        </is>
      </c>
      <c r="B96" s="1" t="n">
        <v>45952.56412037037</v>
      </c>
      <c r="C96" s="1" t="n">
        <v>45982</v>
      </c>
      <c r="D96" t="inlineStr">
        <is>
          <t>VÄSTRA GÖTALANDS LÄN</t>
        </is>
      </c>
      <c r="E96" t="inlineStr">
        <is>
          <t>ALE</t>
        </is>
      </c>
      <c r="G96" t="n">
        <v>5.2</v>
      </c>
      <c r="H96" t="n">
        <v>0</v>
      </c>
      <c r="I96" t="n">
        <v>0</v>
      </c>
      <c r="J96" t="n">
        <v>0</v>
      </c>
      <c r="K96" t="n">
        <v>0</v>
      </c>
      <c r="L96" t="n">
        <v>0</v>
      </c>
      <c r="M96" t="n">
        <v>0</v>
      </c>
      <c r="N96" t="n">
        <v>0</v>
      </c>
      <c r="O96" t="n">
        <v>0</v>
      </c>
      <c r="P96" t="n">
        <v>0</v>
      </c>
      <c r="Q96" t="n">
        <v>0</v>
      </c>
      <c r="R96" s="2" t="inlineStr"/>
    </row>
    <row r="97" ht="15" customHeight="1">
      <c r="A97" t="inlineStr">
        <is>
          <t>A 13903-2025</t>
        </is>
      </c>
      <c r="B97" s="1" t="n">
        <v>45737.63481481482</v>
      </c>
      <c r="C97" s="1" t="n">
        <v>45982</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32762-2023</t>
        </is>
      </c>
      <c r="B98" s="1" t="n">
        <v>45123.46649305556</v>
      </c>
      <c r="C98" s="1" t="n">
        <v>45982</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31407-2025</t>
        </is>
      </c>
      <c r="B99" s="1" t="n">
        <v>45833</v>
      </c>
      <c r="C99" s="1" t="n">
        <v>45982</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31409-2025</t>
        </is>
      </c>
      <c r="B100" s="1" t="n">
        <v>45833</v>
      </c>
      <c r="C100" s="1" t="n">
        <v>45982</v>
      </c>
      <c r="D100" t="inlineStr">
        <is>
          <t>VÄSTRA GÖTALANDS LÄN</t>
        </is>
      </c>
      <c r="E100" t="inlineStr">
        <is>
          <t>ALE</t>
        </is>
      </c>
      <c r="G100" t="n">
        <v>0.8</v>
      </c>
      <c r="H100" t="n">
        <v>0</v>
      </c>
      <c r="I100" t="n">
        <v>0</v>
      </c>
      <c r="J100" t="n">
        <v>0</v>
      </c>
      <c r="K100" t="n">
        <v>0</v>
      </c>
      <c r="L100" t="n">
        <v>0</v>
      </c>
      <c r="M100" t="n">
        <v>0</v>
      </c>
      <c r="N100" t="n">
        <v>0</v>
      </c>
      <c r="O100" t="n">
        <v>0</v>
      </c>
      <c r="P100" t="n">
        <v>0</v>
      </c>
      <c r="Q100" t="n">
        <v>0</v>
      </c>
      <c r="R100" s="2" t="inlineStr"/>
    </row>
    <row r="101" ht="15" customHeight="1">
      <c r="A101" t="inlineStr">
        <is>
          <t>A 52423-2025</t>
        </is>
      </c>
      <c r="B101" s="1" t="n">
        <v>45954.37650462963</v>
      </c>
      <c r="C101" s="1" t="n">
        <v>45982</v>
      </c>
      <c r="D101" t="inlineStr">
        <is>
          <t>VÄSTRA GÖTALANDS LÄN</t>
        </is>
      </c>
      <c r="E101" t="inlineStr">
        <is>
          <t>ALE</t>
        </is>
      </c>
      <c r="G101" t="n">
        <v>4.1</v>
      </c>
      <c r="H101" t="n">
        <v>0</v>
      </c>
      <c r="I101" t="n">
        <v>0</v>
      </c>
      <c r="J101" t="n">
        <v>0</v>
      </c>
      <c r="K101" t="n">
        <v>0</v>
      </c>
      <c r="L101" t="n">
        <v>0</v>
      </c>
      <c r="M101" t="n">
        <v>0</v>
      </c>
      <c r="N101" t="n">
        <v>0</v>
      </c>
      <c r="O101" t="n">
        <v>0</v>
      </c>
      <c r="P101" t="n">
        <v>0</v>
      </c>
      <c r="Q101" t="n">
        <v>0</v>
      </c>
      <c r="R101" s="2" t="inlineStr"/>
    </row>
    <row r="102" ht="15" customHeight="1">
      <c r="A102" t="inlineStr">
        <is>
          <t>A 52391-2025</t>
        </is>
      </c>
      <c r="B102" s="1" t="n">
        <v>45954.34305555555</v>
      </c>
      <c r="C102" s="1" t="n">
        <v>45982</v>
      </c>
      <c r="D102" t="inlineStr">
        <is>
          <t>VÄSTRA GÖTALANDS LÄN</t>
        </is>
      </c>
      <c r="E102" t="inlineStr">
        <is>
          <t>ALE</t>
        </is>
      </c>
      <c r="G102" t="n">
        <v>10.6</v>
      </c>
      <c r="H102" t="n">
        <v>0</v>
      </c>
      <c r="I102" t="n">
        <v>0</v>
      </c>
      <c r="J102" t="n">
        <v>0</v>
      </c>
      <c r="K102" t="n">
        <v>0</v>
      </c>
      <c r="L102" t="n">
        <v>0</v>
      </c>
      <c r="M102" t="n">
        <v>0</v>
      </c>
      <c r="N102" t="n">
        <v>0</v>
      </c>
      <c r="O102" t="n">
        <v>0</v>
      </c>
      <c r="P102" t="n">
        <v>0</v>
      </c>
      <c r="Q102" t="n">
        <v>0</v>
      </c>
      <c r="R102" s="2" t="inlineStr"/>
    </row>
    <row r="103" ht="15" customHeight="1">
      <c r="A103" t="inlineStr">
        <is>
          <t>A 31488-2025</t>
        </is>
      </c>
      <c r="B103" s="1" t="n">
        <v>45833</v>
      </c>
      <c r="C103" s="1" t="n">
        <v>45982</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31533-2025</t>
        </is>
      </c>
      <c r="B104" s="1" t="n">
        <v>45833</v>
      </c>
      <c r="C104" s="1" t="n">
        <v>45982</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51564-2023</t>
        </is>
      </c>
      <c r="B105" s="1" t="n">
        <v>45222</v>
      </c>
      <c r="C105" s="1" t="n">
        <v>45982</v>
      </c>
      <c r="D105" t="inlineStr">
        <is>
          <t>VÄSTRA GÖTALANDS LÄN</t>
        </is>
      </c>
      <c r="E105" t="inlineStr">
        <is>
          <t>ALE</t>
        </is>
      </c>
      <c r="G105" t="n">
        <v>1.5</v>
      </c>
      <c r="H105" t="n">
        <v>0</v>
      </c>
      <c r="I105" t="n">
        <v>0</v>
      </c>
      <c r="J105" t="n">
        <v>0</v>
      </c>
      <c r="K105" t="n">
        <v>0</v>
      </c>
      <c r="L105" t="n">
        <v>0</v>
      </c>
      <c r="M105" t="n">
        <v>0</v>
      </c>
      <c r="N105" t="n">
        <v>0</v>
      </c>
      <c r="O105" t="n">
        <v>0</v>
      </c>
      <c r="P105" t="n">
        <v>0</v>
      </c>
      <c r="Q105" t="n">
        <v>0</v>
      </c>
      <c r="R105" s="2" t="inlineStr"/>
    </row>
    <row r="106" ht="15" customHeight="1">
      <c r="A106" t="inlineStr">
        <is>
          <t>A 26157-2023</t>
        </is>
      </c>
      <c r="B106" s="1" t="n">
        <v>45091.50479166667</v>
      </c>
      <c r="C106" s="1" t="n">
        <v>45982</v>
      </c>
      <c r="D106" t="inlineStr">
        <is>
          <t>VÄSTRA GÖTALANDS LÄN</t>
        </is>
      </c>
      <c r="E106" t="inlineStr">
        <is>
          <t>ALE</t>
        </is>
      </c>
      <c r="G106" t="n">
        <v>2.6</v>
      </c>
      <c r="H106" t="n">
        <v>0</v>
      </c>
      <c r="I106" t="n">
        <v>0</v>
      </c>
      <c r="J106" t="n">
        <v>0</v>
      </c>
      <c r="K106" t="n">
        <v>0</v>
      </c>
      <c r="L106" t="n">
        <v>0</v>
      </c>
      <c r="M106" t="n">
        <v>0</v>
      </c>
      <c r="N106" t="n">
        <v>0</v>
      </c>
      <c r="O106" t="n">
        <v>0</v>
      </c>
      <c r="P106" t="n">
        <v>0</v>
      </c>
      <c r="Q106" t="n">
        <v>0</v>
      </c>
      <c r="R106" s="2" t="inlineStr"/>
    </row>
    <row r="107" ht="15" customHeight="1">
      <c r="A107" t="inlineStr">
        <is>
          <t>A 46226-2025</t>
        </is>
      </c>
      <c r="B107" s="1" t="n">
        <v>45924</v>
      </c>
      <c r="C107" s="1" t="n">
        <v>45982</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46227-2025</t>
        </is>
      </c>
      <c r="B108" s="1" t="n">
        <v>45924.90386574074</v>
      </c>
      <c r="C108" s="1" t="n">
        <v>45982</v>
      </c>
      <c r="D108" t="inlineStr">
        <is>
          <t>VÄSTRA GÖTALANDS LÄN</t>
        </is>
      </c>
      <c r="E108" t="inlineStr">
        <is>
          <t>ALE</t>
        </is>
      </c>
      <c r="G108" t="n">
        <v>0.3</v>
      </c>
      <c r="H108" t="n">
        <v>0</v>
      </c>
      <c r="I108" t="n">
        <v>0</v>
      </c>
      <c r="J108" t="n">
        <v>0</v>
      </c>
      <c r="K108" t="n">
        <v>0</v>
      </c>
      <c r="L108" t="n">
        <v>0</v>
      </c>
      <c r="M108" t="n">
        <v>0</v>
      </c>
      <c r="N108" t="n">
        <v>0</v>
      </c>
      <c r="O108" t="n">
        <v>0</v>
      </c>
      <c r="P108" t="n">
        <v>0</v>
      </c>
      <c r="Q108" t="n">
        <v>0</v>
      </c>
      <c r="R108" s="2" t="inlineStr"/>
    </row>
    <row r="109" ht="15" customHeight="1">
      <c r="A109" t="inlineStr">
        <is>
          <t>A 47087-2023</t>
        </is>
      </c>
      <c r="B109" s="1" t="n">
        <v>45196</v>
      </c>
      <c r="C109" s="1" t="n">
        <v>45982</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27314-2021</t>
        </is>
      </c>
      <c r="B110" s="1" t="n">
        <v>44351.36537037037</v>
      </c>
      <c r="C110" s="1" t="n">
        <v>45982</v>
      </c>
      <c r="D110" t="inlineStr">
        <is>
          <t>VÄSTRA GÖTALANDS LÄN</t>
        </is>
      </c>
      <c r="E110" t="inlineStr">
        <is>
          <t>ALE</t>
        </is>
      </c>
      <c r="G110" t="n">
        <v>11.3</v>
      </c>
      <c r="H110" t="n">
        <v>0</v>
      </c>
      <c r="I110" t="n">
        <v>0</v>
      </c>
      <c r="J110" t="n">
        <v>0</v>
      </c>
      <c r="K110" t="n">
        <v>0</v>
      </c>
      <c r="L110" t="n">
        <v>0</v>
      </c>
      <c r="M110" t="n">
        <v>0</v>
      </c>
      <c r="N110" t="n">
        <v>0</v>
      </c>
      <c r="O110" t="n">
        <v>0</v>
      </c>
      <c r="P110" t="n">
        <v>0</v>
      </c>
      <c r="Q110" t="n">
        <v>0</v>
      </c>
      <c r="R110" s="2" t="inlineStr"/>
    </row>
    <row r="111" ht="15" customHeight="1">
      <c r="A111" t="inlineStr">
        <is>
          <t>A 47592-2025</t>
        </is>
      </c>
      <c r="B111" s="1" t="n">
        <v>45931.44649305556</v>
      </c>
      <c r="C111" s="1" t="n">
        <v>45982</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47330-2025</t>
        </is>
      </c>
      <c r="B112" s="1" t="n">
        <v>45930.56170138889</v>
      </c>
      <c r="C112" s="1" t="n">
        <v>45982</v>
      </c>
      <c r="D112" t="inlineStr">
        <is>
          <t>VÄSTRA GÖTALANDS LÄN</t>
        </is>
      </c>
      <c r="E112" t="inlineStr">
        <is>
          <t>ALE</t>
        </is>
      </c>
      <c r="G112" t="n">
        <v>3.7</v>
      </c>
      <c r="H112" t="n">
        <v>0</v>
      </c>
      <c r="I112" t="n">
        <v>0</v>
      </c>
      <c r="J112" t="n">
        <v>0</v>
      </c>
      <c r="K112" t="n">
        <v>0</v>
      </c>
      <c r="L112" t="n">
        <v>0</v>
      </c>
      <c r="M112" t="n">
        <v>0</v>
      </c>
      <c r="N112" t="n">
        <v>0</v>
      </c>
      <c r="O112" t="n">
        <v>0</v>
      </c>
      <c r="P112" t="n">
        <v>0</v>
      </c>
      <c r="Q112" t="n">
        <v>0</v>
      </c>
      <c r="R112" s="2" t="inlineStr"/>
    </row>
    <row r="113" ht="15" customHeight="1">
      <c r="A113" t="inlineStr">
        <is>
          <t>A 47593-2025</t>
        </is>
      </c>
      <c r="B113" s="1" t="n">
        <v>45931.4480787037</v>
      </c>
      <c r="C113" s="1" t="n">
        <v>45982</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5875-2023</t>
        </is>
      </c>
      <c r="B114" s="1" t="n">
        <v>44963</v>
      </c>
      <c r="C114" s="1" t="n">
        <v>45982</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47728-2025</t>
        </is>
      </c>
      <c r="B115" s="1" t="n">
        <v>45931.63186342592</v>
      </c>
      <c r="C115" s="1" t="n">
        <v>45982</v>
      </c>
      <c r="D115" t="inlineStr">
        <is>
          <t>VÄSTRA GÖTALANDS LÄN</t>
        </is>
      </c>
      <c r="E115" t="inlineStr">
        <is>
          <t>ALE</t>
        </is>
      </c>
      <c r="G115" t="n">
        <v>1.1</v>
      </c>
      <c r="H115" t="n">
        <v>0</v>
      </c>
      <c r="I115" t="n">
        <v>0</v>
      </c>
      <c r="J115" t="n">
        <v>0</v>
      </c>
      <c r="K115" t="n">
        <v>0</v>
      </c>
      <c r="L115" t="n">
        <v>0</v>
      </c>
      <c r="M115" t="n">
        <v>0</v>
      </c>
      <c r="N115" t="n">
        <v>0</v>
      </c>
      <c r="O115" t="n">
        <v>0</v>
      </c>
      <c r="P115" t="n">
        <v>0</v>
      </c>
      <c r="Q115" t="n">
        <v>0</v>
      </c>
      <c r="R115" s="2" t="inlineStr"/>
    </row>
    <row r="116" ht="15" customHeight="1">
      <c r="A116" t="inlineStr">
        <is>
          <t>A 1566-2022</t>
        </is>
      </c>
      <c r="B116" s="1" t="n">
        <v>44573</v>
      </c>
      <c r="C116" s="1" t="n">
        <v>45982</v>
      </c>
      <c r="D116" t="inlineStr">
        <is>
          <t>VÄSTRA GÖTALANDS LÄN</t>
        </is>
      </c>
      <c r="E116" t="inlineStr">
        <is>
          <t>ALE</t>
        </is>
      </c>
      <c r="G116" t="n">
        <v>3</v>
      </c>
      <c r="H116" t="n">
        <v>0</v>
      </c>
      <c r="I116" t="n">
        <v>0</v>
      </c>
      <c r="J116" t="n">
        <v>0</v>
      </c>
      <c r="K116" t="n">
        <v>0</v>
      </c>
      <c r="L116" t="n">
        <v>0</v>
      </c>
      <c r="M116" t="n">
        <v>0</v>
      </c>
      <c r="N116" t="n">
        <v>0</v>
      </c>
      <c r="O116" t="n">
        <v>0</v>
      </c>
      <c r="P116" t="n">
        <v>0</v>
      </c>
      <c r="Q116" t="n">
        <v>0</v>
      </c>
      <c r="R116" s="2" t="inlineStr"/>
    </row>
    <row r="117" ht="15" customHeight="1">
      <c r="A117" t="inlineStr">
        <is>
          <t>A 12445-2022</t>
        </is>
      </c>
      <c r="B117" s="1" t="n">
        <v>44638</v>
      </c>
      <c r="C117" s="1" t="n">
        <v>45982</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64199-2021</t>
        </is>
      </c>
      <c r="B118" s="1" t="n">
        <v>44510</v>
      </c>
      <c r="C118" s="1" t="n">
        <v>45982</v>
      </c>
      <c r="D118" t="inlineStr">
        <is>
          <t>VÄSTRA GÖTALANDS LÄN</t>
        </is>
      </c>
      <c r="E118" t="inlineStr">
        <is>
          <t>ALE</t>
        </is>
      </c>
      <c r="G118" t="n">
        <v>5.7</v>
      </c>
      <c r="H118" t="n">
        <v>0</v>
      </c>
      <c r="I118" t="n">
        <v>0</v>
      </c>
      <c r="J118" t="n">
        <v>0</v>
      </c>
      <c r="K118" t="n">
        <v>0</v>
      </c>
      <c r="L118" t="n">
        <v>0</v>
      </c>
      <c r="M118" t="n">
        <v>0</v>
      </c>
      <c r="N118" t="n">
        <v>0</v>
      </c>
      <c r="O118" t="n">
        <v>0</v>
      </c>
      <c r="P118" t="n">
        <v>0</v>
      </c>
      <c r="Q118" t="n">
        <v>0</v>
      </c>
      <c r="R118" s="2" t="inlineStr"/>
    </row>
    <row r="119" ht="15" customHeight="1">
      <c r="A119" t="inlineStr">
        <is>
          <t>A 57473-2022</t>
        </is>
      </c>
      <c r="B119" s="1" t="n">
        <v>44896</v>
      </c>
      <c r="C119" s="1" t="n">
        <v>45982</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48213-2025</t>
        </is>
      </c>
      <c r="B120" s="1" t="n">
        <v>45933</v>
      </c>
      <c r="C120" s="1" t="n">
        <v>45982</v>
      </c>
      <c r="D120" t="inlineStr">
        <is>
          <t>VÄSTRA GÖTALANDS LÄN</t>
        </is>
      </c>
      <c r="E120" t="inlineStr">
        <is>
          <t>ALE</t>
        </is>
      </c>
      <c r="G120" t="n">
        <v>3.3</v>
      </c>
      <c r="H120" t="n">
        <v>0</v>
      </c>
      <c r="I120" t="n">
        <v>0</v>
      </c>
      <c r="J120" t="n">
        <v>0</v>
      </c>
      <c r="K120" t="n">
        <v>0</v>
      </c>
      <c r="L120" t="n">
        <v>0</v>
      </c>
      <c r="M120" t="n">
        <v>0</v>
      </c>
      <c r="N120" t="n">
        <v>0</v>
      </c>
      <c r="O120" t="n">
        <v>0</v>
      </c>
      <c r="P120" t="n">
        <v>0</v>
      </c>
      <c r="Q120" t="n">
        <v>0</v>
      </c>
      <c r="R120" s="2" t="inlineStr"/>
    </row>
    <row r="121" ht="15" customHeight="1">
      <c r="A121" t="inlineStr">
        <is>
          <t>A 48218-2025</t>
        </is>
      </c>
      <c r="B121" s="1" t="n">
        <v>45933</v>
      </c>
      <c r="C121" s="1" t="n">
        <v>45982</v>
      </c>
      <c r="D121" t="inlineStr">
        <is>
          <t>VÄSTRA GÖTALANDS LÄN</t>
        </is>
      </c>
      <c r="E121" t="inlineStr">
        <is>
          <t>ALE</t>
        </is>
      </c>
      <c r="G121" t="n">
        <v>1.4</v>
      </c>
      <c r="H121" t="n">
        <v>0</v>
      </c>
      <c r="I121" t="n">
        <v>0</v>
      </c>
      <c r="J121" t="n">
        <v>0</v>
      </c>
      <c r="K121" t="n">
        <v>0</v>
      </c>
      <c r="L121" t="n">
        <v>0</v>
      </c>
      <c r="M121" t="n">
        <v>0</v>
      </c>
      <c r="N121" t="n">
        <v>0</v>
      </c>
      <c r="O121" t="n">
        <v>0</v>
      </c>
      <c r="P121" t="n">
        <v>0</v>
      </c>
      <c r="Q121" t="n">
        <v>0</v>
      </c>
      <c r="R121" s="2" t="inlineStr"/>
    </row>
    <row r="122" ht="15" customHeight="1">
      <c r="A122" t="inlineStr">
        <is>
          <t>A 67160-2021</t>
        </is>
      </c>
      <c r="B122" s="1" t="n">
        <v>44523</v>
      </c>
      <c r="C122" s="1" t="n">
        <v>45982</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56905-2025</t>
        </is>
      </c>
      <c r="B123" s="1" t="n">
        <v>45978.57502314815</v>
      </c>
      <c r="C123" s="1" t="n">
        <v>45982</v>
      </c>
      <c r="D123" t="inlineStr">
        <is>
          <t>VÄSTRA GÖTALANDS LÄN</t>
        </is>
      </c>
      <c r="E123" t="inlineStr">
        <is>
          <t>ALE</t>
        </is>
      </c>
      <c r="G123" t="n">
        <v>5.2</v>
      </c>
      <c r="H123" t="n">
        <v>0</v>
      </c>
      <c r="I123" t="n">
        <v>0</v>
      </c>
      <c r="J123" t="n">
        <v>0</v>
      </c>
      <c r="K123" t="n">
        <v>0</v>
      </c>
      <c r="L123" t="n">
        <v>0</v>
      </c>
      <c r="M123" t="n">
        <v>0</v>
      </c>
      <c r="N123" t="n">
        <v>0</v>
      </c>
      <c r="O123" t="n">
        <v>0</v>
      </c>
      <c r="P123" t="n">
        <v>0</v>
      </c>
      <c r="Q123" t="n">
        <v>0</v>
      </c>
      <c r="R123" s="2" t="inlineStr"/>
    </row>
    <row r="124" ht="15" customHeight="1">
      <c r="A124" t="inlineStr">
        <is>
          <t>A 3520-2022</t>
        </is>
      </c>
      <c r="B124" s="1" t="n">
        <v>44585.72818287037</v>
      </c>
      <c r="C124" s="1" t="n">
        <v>45982</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65226-2021</t>
        </is>
      </c>
      <c r="B125" s="1" t="n">
        <v>44515</v>
      </c>
      <c r="C125" s="1" t="n">
        <v>45982</v>
      </c>
      <c r="D125" t="inlineStr">
        <is>
          <t>VÄSTRA GÖTALANDS LÄN</t>
        </is>
      </c>
      <c r="E125" t="inlineStr">
        <is>
          <t>ALE</t>
        </is>
      </c>
      <c r="G125" t="n">
        <v>0.7</v>
      </c>
      <c r="H125" t="n">
        <v>0</v>
      </c>
      <c r="I125" t="n">
        <v>0</v>
      </c>
      <c r="J125" t="n">
        <v>0</v>
      </c>
      <c r="K125" t="n">
        <v>0</v>
      </c>
      <c r="L125" t="n">
        <v>0</v>
      </c>
      <c r="M125" t="n">
        <v>0</v>
      </c>
      <c r="N125" t="n">
        <v>0</v>
      </c>
      <c r="O125" t="n">
        <v>0</v>
      </c>
      <c r="P125" t="n">
        <v>0</v>
      </c>
      <c r="Q125" t="n">
        <v>0</v>
      </c>
      <c r="R125" s="2" t="inlineStr"/>
    </row>
    <row r="126" ht="15" customHeight="1">
      <c r="A126" t="inlineStr">
        <is>
          <t>A 18999-2021</t>
        </is>
      </c>
      <c r="B126" s="1" t="n">
        <v>44308</v>
      </c>
      <c r="C126" s="1" t="n">
        <v>45982</v>
      </c>
      <c r="D126" t="inlineStr">
        <is>
          <t>VÄSTRA GÖTALANDS LÄN</t>
        </is>
      </c>
      <c r="E126" t="inlineStr">
        <is>
          <t>ALE</t>
        </is>
      </c>
      <c r="G126" t="n">
        <v>3.7</v>
      </c>
      <c r="H126" t="n">
        <v>0</v>
      </c>
      <c r="I126" t="n">
        <v>0</v>
      </c>
      <c r="J126" t="n">
        <v>0</v>
      </c>
      <c r="K126" t="n">
        <v>0</v>
      </c>
      <c r="L126" t="n">
        <v>0</v>
      </c>
      <c r="M126" t="n">
        <v>0</v>
      </c>
      <c r="N126" t="n">
        <v>0</v>
      </c>
      <c r="O126" t="n">
        <v>0</v>
      </c>
      <c r="P126" t="n">
        <v>0</v>
      </c>
      <c r="Q126" t="n">
        <v>0</v>
      </c>
      <c r="R126" s="2" t="inlineStr"/>
    </row>
    <row r="127" ht="15" customHeight="1">
      <c r="A127" t="inlineStr">
        <is>
          <t>A 17044-2025</t>
        </is>
      </c>
      <c r="B127" s="1" t="n">
        <v>45755.58891203703</v>
      </c>
      <c r="C127" s="1" t="n">
        <v>45982</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55488-2022</t>
        </is>
      </c>
      <c r="B128" s="1" t="n">
        <v>44887</v>
      </c>
      <c r="C128" s="1" t="n">
        <v>45982</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16601-2025</t>
        </is>
      </c>
      <c r="B129" s="1" t="n">
        <v>45753.53189814815</v>
      </c>
      <c r="C129" s="1" t="n">
        <v>45982</v>
      </c>
      <c r="D129" t="inlineStr">
        <is>
          <t>VÄSTRA GÖTALANDS LÄN</t>
        </is>
      </c>
      <c r="E129" t="inlineStr">
        <is>
          <t>ALE</t>
        </is>
      </c>
      <c r="G129" t="n">
        <v>1.7</v>
      </c>
      <c r="H129" t="n">
        <v>0</v>
      </c>
      <c r="I129" t="n">
        <v>0</v>
      </c>
      <c r="J129" t="n">
        <v>0</v>
      </c>
      <c r="K129" t="n">
        <v>0</v>
      </c>
      <c r="L129" t="n">
        <v>0</v>
      </c>
      <c r="M129" t="n">
        <v>0</v>
      </c>
      <c r="N129" t="n">
        <v>0</v>
      </c>
      <c r="O129" t="n">
        <v>0</v>
      </c>
      <c r="P129" t="n">
        <v>0</v>
      </c>
      <c r="Q129" t="n">
        <v>0</v>
      </c>
      <c r="R129" s="2" t="inlineStr"/>
    </row>
    <row r="130" ht="15" customHeight="1">
      <c r="A130" t="inlineStr">
        <is>
          <t>A 36403-2024</t>
        </is>
      </c>
      <c r="B130" s="1" t="n">
        <v>45535.69445601852</v>
      </c>
      <c r="C130" s="1" t="n">
        <v>45982</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200-2022</t>
        </is>
      </c>
      <c r="B131" s="1" t="n">
        <v>44564</v>
      </c>
      <c r="C131" s="1" t="n">
        <v>45982</v>
      </c>
      <c r="D131" t="inlineStr">
        <is>
          <t>VÄSTRA GÖTALANDS LÄN</t>
        </is>
      </c>
      <c r="E131" t="inlineStr">
        <is>
          <t>ALE</t>
        </is>
      </c>
      <c r="G131" t="n">
        <v>6.8</v>
      </c>
      <c r="H131" t="n">
        <v>0</v>
      </c>
      <c r="I131" t="n">
        <v>0</v>
      </c>
      <c r="J131" t="n">
        <v>0</v>
      </c>
      <c r="K131" t="n">
        <v>0</v>
      </c>
      <c r="L131" t="n">
        <v>0</v>
      </c>
      <c r="M131" t="n">
        <v>0</v>
      </c>
      <c r="N131" t="n">
        <v>0</v>
      </c>
      <c r="O131" t="n">
        <v>0</v>
      </c>
      <c r="P131" t="n">
        <v>0</v>
      </c>
      <c r="Q131" t="n">
        <v>0</v>
      </c>
      <c r="R131" s="2" t="inlineStr"/>
    </row>
    <row r="132" ht="15" customHeight="1">
      <c r="A132" t="inlineStr">
        <is>
          <t>A 15582-2025</t>
        </is>
      </c>
      <c r="B132" s="1" t="n">
        <v>45747.81394675926</v>
      </c>
      <c r="C132" s="1" t="n">
        <v>45982</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7892-2024</t>
        </is>
      </c>
      <c r="B133" s="1" t="n">
        <v>45350.40921296296</v>
      </c>
      <c r="C133" s="1" t="n">
        <v>45982</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6947-2024</t>
        </is>
      </c>
      <c r="B134" s="1" t="n">
        <v>45343</v>
      </c>
      <c r="C134" s="1" t="n">
        <v>45982</v>
      </c>
      <c r="D134" t="inlineStr">
        <is>
          <t>VÄSTRA GÖTALANDS LÄN</t>
        </is>
      </c>
      <c r="E134" t="inlineStr">
        <is>
          <t>ALE</t>
        </is>
      </c>
      <c r="G134" t="n">
        <v>3.7</v>
      </c>
      <c r="H134" t="n">
        <v>0</v>
      </c>
      <c r="I134" t="n">
        <v>0</v>
      </c>
      <c r="J134" t="n">
        <v>0</v>
      </c>
      <c r="K134" t="n">
        <v>0</v>
      </c>
      <c r="L134" t="n">
        <v>0</v>
      </c>
      <c r="M134" t="n">
        <v>0</v>
      </c>
      <c r="N134" t="n">
        <v>0</v>
      </c>
      <c r="O134" t="n">
        <v>0</v>
      </c>
      <c r="P134" t="n">
        <v>0</v>
      </c>
      <c r="Q134" t="n">
        <v>0</v>
      </c>
      <c r="R134" s="2" t="inlineStr"/>
    </row>
    <row r="135" ht="15" customHeight="1">
      <c r="A135" t="inlineStr">
        <is>
          <t>A 4444-2024</t>
        </is>
      </c>
      <c r="B135" s="1" t="n">
        <v>45327</v>
      </c>
      <c r="C135" s="1" t="n">
        <v>45982</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72801-2021</t>
        </is>
      </c>
      <c r="B136" s="1" t="n">
        <v>44546</v>
      </c>
      <c r="C136" s="1" t="n">
        <v>45982</v>
      </c>
      <c r="D136" t="inlineStr">
        <is>
          <t>VÄSTRA GÖTALANDS LÄN</t>
        </is>
      </c>
      <c r="E136" t="inlineStr">
        <is>
          <t>ALE</t>
        </is>
      </c>
      <c r="F136" t="inlineStr">
        <is>
          <t>Naturvårdsverket</t>
        </is>
      </c>
      <c r="G136" t="n">
        <v>1.4</v>
      </c>
      <c r="H136" t="n">
        <v>0</v>
      </c>
      <c r="I136" t="n">
        <v>0</v>
      </c>
      <c r="J136" t="n">
        <v>0</v>
      </c>
      <c r="K136" t="n">
        <v>0</v>
      </c>
      <c r="L136" t="n">
        <v>0</v>
      </c>
      <c r="M136" t="n">
        <v>0</v>
      </c>
      <c r="N136" t="n">
        <v>0</v>
      </c>
      <c r="O136" t="n">
        <v>0</v>
      </c>
      <c r="P136" t="n">
        <v>0</v>
      </c>
      <c r="Q136" t="n">
        <v>0</v>
      </c>
      <c r="R136" s="2" t="inlineStr"/>
    </row>
    <row r="137" ht="15" customHeight="1">
      <c r="A137" t="inlineStr">
        <is>
          <t>A 26083-2023</t>
        </is>
      </c>
      <c r="B137" s="1" t="n">
        <v>45091</v>
      </c>
      <c r="C137" s="1" t="n">
        <v>45982</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45982</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4363-2024</t>
        </is>
      </c>
      <c r="B139" s="1" t="n">
        <v>45325</v>
      </c>
      <c r="C139" s="1" t="n">
        <v>45982</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45988-2021</t>
        </is>
      </c>
      <c r="B140" s="1" t="n">
        <v>44441</v>
      </c>
      <c r="C140" s="1" t="n">
        <v>45982</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20067-2023</t>
        </is>
      </c>
      <c r="B141" s="1" t="n">
        <v>45054</v>
      </c>
      <c r="C141" s="1" t="n">
        <v>45982</v>
      </c>
      <c r="D141" t="inlineStr">
        <is>
          <t>VÄSTRA GÖTALANDS LÄN</t>
        </is>
      </c>
      <c r="E141" t="inlineStr">
        <is>
          <t>ALE</t>
        </is>
      </c>
      <c r="G141" t="n">
        <v>0.4</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45982</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41309-2024</t>
        </is>
      </c>
      <c r="B143" s="1" t="n">
        <v>45559</v>
      </c>
      <c r="C143" s="1" t="n">
        <v>45982</v>
      </c>
      <c r="D143" t="inlineStr">
        <is>
          <t>VÄSTRA GÖTALANDS LÄN</t>
        </is>
      </c>
      <c r="E143" t="inlineStr">
        <is>
          <t>ALE</t>
        </is>
      </c>
      <c r="G143" t="n">
        <v>8.4</v>
      </c>
      <c r="H143" t="n">
        <v>0</v>
      </c>
      <c r="I143" t="n">
        <v>0</v>
      </c>
      <c r="J143" t="n">
        <v>0</v>
      </c>
      <c r="K143" t="n">
        <v>0</v>
      </c>
      <c r="L143" t="n">
        <v>0</v>
      </c>
      <c r="M143" t="n">
        <v>0</v>
      </c>
      <c r="N143" t="n">
        <v>0</v>
      </c>
      <c r="O143" t="n">
        <v>0</v>
      </c>
      <c r="P143" t="n">
        <v>0</v>
      </c>
      <c r="Q143" t="n">
        <v>0</v>
      </c>
      <c r="R143" s="2" t="inlineStr"/>
    </row>
    <row r="144" ht="15" customHeight="1">
      <c r="A144" t="inlineStr">
        <is>
          <t>A 7807-2023</t>
        </is>
      </c>
      <c r="B144" s="1" t="n">
        <v>44973</v>
      </c>
      <c r="C144" s="1" t="n">
        <v>45982</v>
      </c>
      <c r="D144" t="inlineStr">
        <is>
          <t>VÄSTRA GÖTALANDS LÄN</t>
        </is>
      </c>
      <c r="E144" t="inlineStr">
        <is>
          <t>ALE</t>
        </is>
      </c>
      <c r="G144" t="n">
        <v>10.5</v>
      </c>
      <c r="H144" t="n">
        <v>0</v>
      </c>
      <c r="I144" t="n">
        <v>0</v>
      </c>
      <c r="J144" t="n">
        <v>0</v>
      </c>
      <c r="K144" t="n">
        <v>0</v>
      </c>
      <c r="L144" t="n">
        <v>0</v>
      </c>
      <c r="M144" t="n">
        <v>0</v>
      </c>
      <c r="N144" t="n">
        <v>0</v>
      </c>
      <c r="O144" t="n">
        <v>0</v>
      </c>
      <c r="P144" t="n">
        <v>0</v>
      </c>
      <c r="Q144" t="n">
        <v>0</v>
      </c>
      <c r="R144" s="2" t="inlineStr"/>
    </row>
    <row r="145" ht="15" customHeight="1">
      <c r="A145" t="inlineStr">
        <is>
          <t>A 3413-2023</t>
        </is>
      </c>
      <c r="B145" s="1" t="n">
        <v>44949</v>
      </c>
      <c r="C145" s="1" t="n">
        <v>45982</v>
      </c>
      <c r="D145" t="inlineStr">
        <is>
          <t>VÄSTRA GÖTALANDS LÄN</t>
        </is>
      </c>
      <c r="E145" t="inlineStr">
        <is>
          <t>ALE</t>
        </is>
      </c>
      <c r="G145" t="n">
        <v>2.3</v>
      </c>
      <c r="H145" t="n">
        <v>0</v>
      </c>
      <c r="I145" t="n">
        <v>0</v>
      </c>
      <c r="J145" t="n">
        <v>0</v>
      </c>
      <c r="K145" t="n">
        <v>0</v>
      </c>
      <c r="L145" t="n">
        <v>0</v>
      </c>
      <c r="M145" t="n">
        <v>0</v>
      </c>
      <c r="N145" t="n">
        <v>0</v>
      </c>
      <c r="O145" t="n">
        <v>0</v>
      </c>
      <c r="P145" t="n">
        <v>0</v>
      </c>
      <c r="Q145" t="n">
        <v>0</v>
      </c>
      <c r="R145" s="2" t="inlineStr"/>
    </row>
    <row r="146" ht="15" customHeight="1">
      <c r="A146" t="inlineStr">
        <is>
          <t>A 35959-2022</t>
        </is>
      </c>
      <c r="B146" s="1" t="n">
        <v>44802.57002314815</v>
      </c>
      <c r="C146" s="1" t="n">
        <v>45982</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14493-2024</t>
        </is>
      </c>
      <c r="B147" s="1" t="n">
        <v>45394.58491898148</v>
      </c>
      <c r="C147" s="1" t="n">
        <v>45982</v>
      </c>
      <c r="D147" t="inlineStr">
        <is>
          <t>VÄSTRA GÖTALANDS LÄN</t>
        </is>
      </c>
      <c r="E147" t="inlineStr">
        <is>
          <t>ALE</t>
        </is>
      </c>
      <c r="G147" t="n">
        <v>2.3</v>
      </c>
      <c r="H147" t="n">
        <v>0</v>
      </c>
      <c r="I147" t="n">
        <v>0</v>
      </c>
      <c r="J147" t="n">
        <v>0</v>
      </c>
      <c r="K147" t="n">
        <v>0</v>
      </c>
      <c r="L147" t="n">
        <v>0</v>
      </c>
      <c r="M147" t="n">
        <v>0</v>
      </c>
      <c r="N147" t="n">
        <v>0</v>
      </c>
      <c r="O147" t="n">
        <v>0</v>
      </c>
      <c r="P147" t="n">
        <v>0</v>
      </c>
      <c r="Q147" t="n">
        <v>0</v>
      </c>
      <c r="R147" s="2" t="inlineStr"/>
    </row>
    <row r="148" ht="15" customHeight="1">
      <c r="A148" t="inlineStr">
        <is>
          <t>A 1500-2024</t>
        </is>
      </c>
      <c r="B148" s="1" t="n">
        <v>45306</v>
      </c>
      <c r="C148" s="1" t="n">
        <v>45982</v>
      </c>
      <c r="D148" t="inlineStr">
        <is>
          <t>VÄSTRA GÖTALANDS LÄN</t>
        </is>
      </c>
      <c r="E148" t="inlineStr">
        <is>
          <t>ALE</t>
        </is>
      </c>
      <c r="G148" t="n">
        <v>1.3</v>
      </c>
      <c r="H148" t="n">
        <v>0</v>
      </c>
      <c r="I148" t="n">
        <v>0</v>
      </c>
      <c r="J148" t="n">
        <v>0</v>
      </c>
      <c r="K148" t="n">
        <v>0</v>
      </c>
      <c r="L148" t="n">
        <v>0</v>
      </c>
      <c r="M148" t="n">
        <v>0</v>
      </c>
      <c r="N148" t="n">
        <v>0</v>
      </c>
      <c r="O148" t="n">
        <v>0</v>
      </c>
      <c r="P148" t="n">
        <v>0</v>
      </c>
      <c r="Q148" t="n">
        <v>0</v>
      </c>
      <c r="R148" s="2" t="inlineStr"/>
    </row>
    <row r="149" ht="15" customHeight="1">
      <c r="A149" t="inlineStr">
        <is>
          <t>A 1687-2024</t>
        </is>
      </c>
      <c r="B149" s="1" t="n">
        <v>45306</v>
      </c>
      <c r="C149" s="1" t="n">
        <v>45982</v>
      </c>
      <c r="D149" t="inlineStr">
        <is>
          <t>VÄSTRA GÖTALANDS LÄN</t>
        </is>
      </c>
      <c r="E149" t="inlineStr">
        <is>
          <t>ALE</t>
        </is>
      </c>
      <c r="G149" t="n">
        <v>3.4</v>
      </c>
      <c r="H149" t="n">
        <v>0</v>
      </c>
      <c r="I149" t="n">
        <v>0</v>
      </c>
      <c r="J149" t="n">
        <v>0</v>
      </c>
      <c r="K149" t="n">
        <v>0</v>
      </c>
      <c r="L149" t="n">
        <v>0</v>
      </c>
      <c r="M149" t="n">
        <v>0</v>
      </c>
      <c r="N149" t="n">
        <v>0</v>
      </c>
      <c r="O149" t="n">
        <v>0</v>
      </c>
      <c r="P149" t="n">
        <v>0</v>
      </c>
      <c r="Q149" t="n">
        <v>0</v>
      </c>
      <c r="R149" s="2" t="inlineStr"/>
    </row>
    <row r="150" ht="15" customHeight="1">
      <c r="A150" t="inlineStr">
        <is>
          <t>A 14458-2024</t>
        </is>
      </c>
      <c r="B150" s="1" t="n">
        <v>45394</v>
      </c>
      <c r="C150" s="1" t="n">
        <v>45982</v>
      </c>
      <c r="D150" t="inlineStr">
        <is>
          <t>VÄSTRA GÖTALANDS LÄN</t>
        </is>
      </c>
      <c r="E150" t="inlineStr">
        <is>
          <t>ALE</t>
        </is>
      </c>
      <c r="G150" t="n">
        <v>0.5</v>
      </c>
      <c r="H150" t="n">
        <v>0</v>
      </c>
      <c r="I150" t="n">
        <v>0</v>
      </c>
      <c r="J150" t="n">
        <v>0</v>
      </c>
      <c r="K150" t="n">
        <v>0</v>
      </c>
      <c r="L150" t="n">
        <v>0</v>
      </c>
      <c r="M150" t="n">
        <v>0</v>
      </c>
      <c r="N150" t="n">
        <v>0</v>
      </c>
      <c r="O150" t="n">
        <v>0</v>
      </c>
      <c r="P150" t="n">
        <v>0</v>
      </c>
      <c r="Q150" t="n">
        <v>0</v>
      </c>
      <c r="R150" s="2" t="inlineStr"/>
    </row>
    <row r="151" ht="15" customHeight="1">
      <c r="A151" t="inlineStr">
        <is>
          <t>A 42446-2023</t>
        </is>
      </c>
      <c r="B151" s="1" t="n">
        <v>45180</v>
      </c>
      <c r="C151" s="1" t="n">
        <v>45982</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33237-2024</t>
        </is>
      </c>
      <c r="B152" s="1" t="n">
        <v>45518.59173611111</v>
      </c>
      <c r="C152" s="1" t="n">
        <v>45982</v>
      </c>
      <c r="D152" t="inlineStr">
        <is>
          <t>VÄSTRA GÖTALANDS LÄN</t>
        </is>
      </c>
      <c r="E152" t="inlineStr">
        <is>
          <t>ALE</t>
        </is>
      </c>
      <c r="G152" t="n">
        <v>0.6</v>
      </c>
      <c r="H152" t="n">
        <v>0</v>
      </c>
      <c r="I152" t="n">
        <v>0</v>
      </c>
      <c r="J152" t="n">
        <v>0</v>
      </c>
      <c r="K152" t="n">
        <v>0</v>
      </c>
      <c r="L152" t="n">
        <v>0</v>
      </c>
      <c r="M152" t="n">
        <v>0</v>
      </c>
      <c r="N152" t="n">
        <v>0</v>
      </c>
      <c r="O152" t="n">
        <v>0</v>
      </c>
      <c r="P152" t="n">
        <v>0</v>
      </c>
      <c r="Q152" t="n">
        <v>0</v>
      </c>
      <c r="R152" s="2" t="inlineStr"/>
    </row>
    <row r="153" ht="15" customHeight="1">
      <c r="A153" t="inlineStr">
        <is>
          <t>A 12055-2022</t>
        </is>
      </c>
      <c r="B153" s="1" t="n">
        <v>44636</v>
      </c>
      <c r="C153" s="1" t="n">
        <v>45982</v>
      </c>
      <c r="D153" t="inlineStr">
        <is>
          <t>VÄSTRA GÖTALANDS LÄN</t>
        </is>
      </c>
      <c r="E153" t="inlineStr">
        <is>
          <t>ALE</t>
        </is>
      </c>
      <c r="G153" t="n">
        <v>0.2</v>
      </c>
      <c r="H153" t="n">
        <v>0</v>
      </c>
      <c r="I153" t="n">
        <v>0</v>
      </c>
      <c r="J153" t="n">
        <v>0</v>
      </c>
      <c r="K153" t="n">
        <v>0</v>
      </c>
      <c r="L153" t="n">
        <v>0</v>
      </c>
      <c r="M153" t="n">
        <v>0</v>
      </c>
      <c r="N153" t="n">
        <v>0</v>
      </c>
      <c r="O153" t="n">
        <v>0</v>
      </c>
      <c r="P153" t="n">
        <v>0</v>
      </c>
      <c r="Q153" t="n">
        <v>0</v>
      </c>
      <c r="R153" s="2" t="inlineStr"/>
    </row>
    <row r="154" ht="15" customHeight="1">
      <c r="A154" t="inlineStr">
        <is>
          <t>A 36763-2022</t>
        </is>
      </c>
      <c r="B154" s="1" t="n">
        <v>44805</v>
      </c>
      <c r="C154" s="1" t="n">
        <v>45982</v>
      </c>
      <c r="D154" t="inlineStr">
        <is>
          <t>VÄSTRA GÖTALANDS LÄN</t>
        </is>
      </c>
      <c r="E154" t="inlineStr">
        <is>
          <t>ALE</t>
        </is>
      </c>
      <c r="G154" t="n">
        <v>6.1</v>
      </c>
      <c r="H154" t="n">
        <v>0</v>
      </c>
      <c r="I154" t="n">
        <v>0</v>
      </c>
      <c r="J154" t="n">
        <v>0</v>
      </c>
      <c r="K154" t="n">
        <v>0</v>
      </c>
      <c r="L154" t="n">
        <v>0</v>
      </c>
      <c r="M154" t="n">
        <v>0</v>
      </c>
      <c r="N154" t="n">
        <v>0</v>
      </c>
      <c r="O154" t="n">
        <v>0</v>
      </c>
      <c r="P154" t="n">
        <v>0</v>
      </c>
      <c r="Q154" t="n">
        <v>0</v>
      </c>
      <c r="R154" s="2" t="inlineStr"/>
    </row>
    <row r="155" ht="15" customHeight="1">
      <c r="A155" t="inlineStr">
        <is>
          <t>A 3407-2023</t>
        </is>
      </c>
      <c r="B155" s="1" t="n">
        <v>44949.54909722223</v>
      </c>
      <c r="C155" s="1" t="n">
        <v>45982</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15241-2025</t>
        </is>
      </c>
      <c r="B156" s="1" t="n">
        <v>45744.61255787037</v>
      </c>
      <c r="C156" s="1" t="n">
        <v>45982</v>
      </c>
      <c r="D156" t="inlineStr">
        <is>
          <t>VÄSTRA GÖTALANDS LÄN</t>
        </is>
      </c>
      <c r="E156" t="inlineStr">
        <is>
          <t>ALE</t>
        </is>
      </c>
      <c r="G156" t="n">
        <v>2.2</v>
      </c>
      <c r="H156" t="n">
        <v>0</v>
      </c>
      <c r="I156" t="n">
        <v>0</v>
      </c>
      <c r="J156" t="n">
        <v>0</v>
      </c>
      <c r="K156" t="n">
        <v>0</v>
      </c>
      <c r="L156" t="n">
        <v>0</v>
      </c>
      <c r="M156" t="n">
        <v>0</v>
      </c>
      <c r="N156" t="n">
        <v>0</v>
      </c>
      <c r="O156" t="n">
        <v>0</v>
      </c>
      <c r="P156" t="n">
        <v>0</v>
      </c>
      <c r="Q156" t="n">
        <v>0</v>
      </c>
      <c r="R156" s="2" t="inlineStr"/>
    </row>
    <row r="157" ht="15" customHeight="1">
      <c r="A157" t="inlineStr">
        <is>
          <t>A 49680-2024</t>
        </is>
      </c>
      <c r="B157" s="1" t="n">
        <v>45596.66880787037</v>
      </c>
      <c r="C157" s="1" t="n">
        <v>45982</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34153-2024</t>
        </is>
      </c>
      <c r="B158" s="1" t="n">
        <v>45524.38400462963</v>
      </c>
      <c r="C158" s="1" t="n">
        <v>45982</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14731-2022</t>
        </is>
      </c>
      <c r="B159" s="1" t="n">
        <v>44656</v>
      </c>
      <c r="C159" s="1" t="n">
        <v>45982</v>
      </c>
      <c r="D159" t="inlineStr">
        <is>
          <t>VÄSTRA GÖTALANDS LÄN</t>
        </is>
      </c>
      <c r="E159" t="inlineStr">
        <is>
          <t>ALE</t>
        </is>
      </c>
      <c r="G159" t="n">
        <v>1.8</v>
      </c>
      <c r="H159" t="n">
        <v>0</v>
      </c>
      <c r="I159" t="n">
        <v>0</v>
      </c>
      <c r="J159" t="n">
        <v>0</v>
      </c>
      <c r="K159" t="n">
        <v>0</v>
      </c>
      <c r="L159" t="n">
        <v>0</v>
      </c>
      <c r="M159" t="n">
        <v>0</v>
      </c>
      <c r="N159" t="n">
        <v>0</v>
      </c>
      <c r="O159" t="n">
        <v>0</v>
      </c>
      <c r="P159" t="n">
        <v>0</v>
      </c>
      <c r="Q159" t="n">
        <v>0</v>
      </c>
      <c r="R159" s="2" t="inlineStr"/>
    </row>
    <row r="160" ht="15" customHeight="1">
      <c r="A160" t="inlineStr">
        <is>
          <t>A 41598-2022</t>
        </is>
      </c>
      <c r="B160" s="1" t="n">
        <v>44827.4609837963</v>
      </c>
      <c r="C160" s="1" t="n">
        <v>45982</v>
      </c>
      <c r="D160" t="inlineStr">
        <is>
          <t>VÄSTRA GÖTALANDS LÄN</t>
        </is>
      </c>
      <c r="E160" t="inlineStr">
        <is>
          <t>ALE</t>
        </is>
      </c>
      <c r="G160" t="n">
        <v>2</v>
      </c>
      <c r="H160" t="n">
        <v>0</v>
      </c>
      <c r="I160" t="n">
        <v>0</v>
      </c>
      <c r="J160" t="n">
        <v>0</v>
      </c>
      <c r="K160" t="n">
        <v>0</v>
      </c>
      <c r="L160" t="n">
        <v>0</v>
      </c>
      <c r="M160" t="n">
        <v>0</v>
      </c>
      <c r="N160" t="n">
        <v>0</v>
      </c>
      <c r="O160" t="n">
        <v>0</v>
      </c>
      <c r="P160" t="n">
        <v>0</v>
      </c>
      <c r="Q160" t="n">
        <v>0</v>
      </c>
      <c r="R160" s="2" t="inlineStr"/>
    </row>
    <row r="161" ht="15" customHeight="1">
      <c r="A161" t="inlineStr">
        <is>
          <t>A 4642-2024</t>
        </is>
      </c>
      <c r="B161" s="1" t="n">
        <v>45328.43502314815</v>
      </c>
      <c r="C161" s="1" t="n">
        <v>45982</v>
      </c>
      <c r="D161" t="inlineStr">
        <is>
          <t>VÄSTRA GÖTALANDS LÄN</t>
        </is>
      </c>
      <c r="E161" t="inlineStr">
        <is>
          <t>ALE</t>
        </is>
      </c>
      <c r="G161" t="n">
        <v>7.1</v>
      </c>
      <c r="H161" t="n">
        <v>0</v>
      </c>
      <c r="I161" t="n">
        <v>0</v>
      </c>
      <c r="J161" t="n">
        <v>0</v>
      </c>
      <c r="K161" t="n">
        <v>0</v>
      </c>
      <c r="L161" t="n">
        <v>0</v>
      </c>
      <c r="M161" t="n">
        <v>0</v>
      </c>
      <c r="N161" t="n">
        <v>0</v>
      </c>
      <c r="O161" t="n">
        <v>0</v>
      </c>
      <c r="P161" t="n">
        <v>0</v>
      </c>
      <c r="Q161" t="n">
        <v>0</v>
      </c>
      <c r="R161" s="2" t="inlineStr"/>
    </row>
    <row r="162" ht="15" customHeight="1">
      <c r="A162" t="inlineStr">
        <is>
          <t>A 69325-2020</t>
        </is>
      </c>
      <c r="B162" s="1" t="n">
        <v>44193</v>
      </c>
      <c r="C162" s="1" t="n">
        <v>45982</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5916-2023</t>
        </is>
      </c>
      <c r="B163" s="1" t="n">
        <v>44963</v>
      </c>
      <c r="C163" s="1" t="n">
        <v>45982</v>
      </c>
      <c r="D163" t="inlineStr">
        <is>
          <t>VÄSTRA GÖTALANDS LÄN</t>
        </is>
      </c>
      <c r="E163" t="inlineStr">
        <is>
          <t>ALE</t>
        </is>
      </c>
      <c r="G163" t="n">
        <v>4.2</v>
      </c>
      <c r="H163" t="n">
        <v>0</v>
      </c>
      <c r="I163" t="n">
        <v>0</v>
      </c>
      <c r="J163" t="n">
        <v>0</v>
      </c>
      <c r="K163" t="n">
        <v>0</v>
      </c>
      <c r="L163" t="n">
        <v>0</v>
      </c>
      <c r="M163" t="n">
        <v>0</v>
      </c>
      <c r="N163" t="n">
        <v>0</v>
      </c>
      <c r="O163" t="n">
        <v>0</v>
      </c>
      <c r="P163" t="n">
        <v>0</v>
      </c>
      <c r="Q163" t="n">
        <v>0</v>
      </c>
      <c r="R163" s="2" t="inlineStr"/>
    </row>
    <row r="164" ht="15" customHeight="1">
      <c r="A164" t="inlineStr">
        <is>
          <t>A 3457-2022</t>
        </is>
      </c>
      <c r="B164" s="1" t="n">
        <v>44585</v>
      </c>
      <c r="C164" s="1" t="n">
        <v>45982</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8956-2025</t>
        </is>
      </c>
      <c r="B165" s="1" t="n">
        <v>45713.46825231481</v>
      </c>
      <c r="C165" s="1" t="n">
        <v>45982</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c r="A166" t="inlineStr">
        <is>
          <t>A 50451-2024</t>
        </is>
      </c>
      <c r="B166" s="1" t="n">
        <v>45601.44248842593</v>
      </c>
      <c r="C166" s="1" t="n">
        <v>45982</v>
      </c>
      <c r="D166" t="inlineStr">
        <is>
          <t>VÄSTRA GÖTALANDS LÄN</t>
        </is>
      </c>
      <c r="E166" t="inlineStr">
        <is>
          <t>ALE</t>
        </is>
      </c>
      <c r="G166" t="n">
        <v>2.9</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2025-11-21T19:54:24Z</dcterms:created>
  <dcterms:modified xmlns:dcterms="http://purl.org/dc/terms/" xmlns:xsi="http://www.w3.org/2001/XMLSchema-instance" xsi:type="dcterms:W3CDTF">2025-11-21T19:54:24Z</dcterms:modified>
</cp:coreProperties>
</file>