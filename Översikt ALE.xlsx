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46036</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46036</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46036</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46036</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46036</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46036</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46036</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46036</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46036</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46036</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46036</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46036</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46036</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46036</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46036</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46036</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46036</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46036</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46036</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1503-2024</t>
        </is>
      </c>
      <c r="B24" s="1" t="n">
        <v>45306.35041666667</v>
      </c>
      <c r="C24" s="1" t="n">
        <v>46036</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2270-2025</t>
        </is>
      </c>
      <c r="B25" s="1" t="n">
        <v>45673.54403935185</v>
      </c>
      <c r="C25" s="1" t="n">
        <v>46036</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63569-2023</t>
        </is>
      </c>
      <c r="B26" s="1" t="n">
        <v>45275</v>
      </c>
      <c r="C26" s="1" t="n">
        <v>46036</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13380-2025</t>
        </is>
      </c>
      <c r="B27" s="1" t="n">
        <v>45735.6765162037</v>
      </c>
      <c r="C27" s="1" t="n">
        <v>46036</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40931-2025</t>
        </is>
      </c>
      <c r="B28" s="1" t="n">
        <v>45897.64783564815</v>
      </c>
      <c r="C28" s="1" t="n">
        <v>46036</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16534-2025</t>
        </is>
      </c>
      <c r="B29" s="1" t="n">
        <v>45751.65315972222</v>
      </c>
      <c r="C29" s="1" t="n">
        <v>46036</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46036</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46036</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46036</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46036</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13902-2025</t>
        </is>
      </c>
      <c r="B35" s="1" t="n">
        <v>45737.63446759259</v>
      </c>
      <c r="C35" s="1" t="n">
        <v>46036</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62524-2025</t>
        </is>
      </c>
      <c r="B36" s="1" t="n">
        <v>46007.6247337963</v>
      </c>
      <c r="C36" s="1" t="n">
        <v>46036</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58412-2025</t>
        </is>
      </c>
      <c r="B37" s="1" t="n">
        <v>45985.57564814815</v>
      </c>
      <c r="C37" s="1" t="n">
        <v>46036</v>
      </c>
      <c r="D37" t="inlineStr">
        <is>
          <t>VÄSTRA GÖTALANDS LÄN</t>
        </is>
      </c>
      <c r="E37" t="inlineStr">
        <is>
          <t>ALE</t>
        </is>
      </c>
      <c r="G37" t="n">
        <v>3.2</v>
      </c>
      <c r="H37" t="n">
        <v>1</v>
      </c>
      <c r="I37" t="n">
        <v>0</v>
      </c>
      <c r="J37" t="n">
        <v>0</v>
      </c>
      <c r="K37" t="n">
        <v>0</v>
      </c>
      <c r="L37" t="n">
        <v>0</v>
      </c>
      <c r="M37" t="n">
        <v>0</v>
      </c>
      <c r="N37" t="n">
        <v>0</v>
      </c>
      <c r="O37" t="n">
        <v>0</v>
      </c>
      <c r="P37" t="n">
        <v>0</v>
      </c>
      <c r="Q37" t="n">
        <v>1</v>
      </c>
      <c r="R37" s="2" t="inlineStr">
        <is>
          <t>Äkta lopplummer</t>
        </is>
      </c>
      <c r="S37">
        <f>HYPERLINK("https://klasma.github.io/Logging_1440/artfynd/A 58412-2025 artfynd.xlsx", "A 58412-2025")</f>
        <v/>
      </c>
      <c r="T37">
        <f>HYPERLINK("https://klasma.github.io/Logging_1440/kartor/A 58412-2025 karta.png", "A 58412-2025")</f>
        <v/>
      </c>
      <c r="V37">
        <f>HYPERLINK("https://klasma.github.io/Logging_1440/klagomål/A 58412-2025 FSC-klagomål.docx", "A 58412-2025")</f>
        <v/>
      </c>
      <c r="W37">
        <f>HYPERLINK("https://klasma.github.io/Logging_1440/klagomålsmail/A 58412-2025 FSC-klagomål mail.docx", "A 58412-2025")</f>
        <v/>
      </c>
      <c r="X37">
        <f>HYPERLINK("https://klasma.github.io/Logging_1440/tillsyn/A 58412-2025 tillsynsbegäran.docx", "A 58412-2025")</f>
        <v/>
      </c>
      <c r="Y37">
        <f>HYPERLINK("https://klasma.github.io/Logging_1440/tillsynsmail/A 58412-2025 tillsynsbegäran mail.docx", "A 58412-2025")</f>
        <v/>
      </c>
    </row>
    <row r="38" ht="15" customHeight="1">
      <c r="A38" t="inlineStr">
        <is>
          <t>A 12084-2025</t>
        </is>
      </c>
      <c r="B38" s="1" t="n">
        <v>45728.95387731482</v>
      </c>
      <c r="C38" s="1" t="n">
        <v>46036</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46036</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46036</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26677-2025</t>
        </is>
      </c>
      <c r="B41" s="1" t="n">
        <v>45810.42446759259</v>
      </c>
      <c r="C41" s="1" t="n">
        <v>46036</v>
      </c>
      <c r="D41" t="inlineStr">
        <is>
          <t>VÄSTRA GÖTALANDS LÄN</t>
        </is>
      </c>
      <c r="E41" t="inlineStr">
        <is>
          <t>ALE</t>
        </is>
      </c>
      <c r="G41" t="n">
        <v>1.2</v>
      </c>
      <c r="H41" t="n">
        <v>0</v>
      </c>
      <c r="I41" t="n">
        <v>1</v>
      </c>
      <c r="J41" t="n">
        <v>0</v>
      </c>
      <c r="K41" t="n">
        <v>0</v>
      </c>
      <c r="L41" t="n">
        <v>0</v>
      </c>
      <c r="M41" t="n">
        <v>0</v>
      </c>
      <c r="N41" t="n">
        <v>0</v>
      </c>
      <c r="O41" t="n">
        <v>0</v>
      </c>
      <c r="P41" t="n">
        <v>0</v>
      </c>
      <c r="Q41" t="n">
        <v>1</v>
      </c>
      <c r="R41" s="2" t="inlineStr">
        <is>
          <t>Västlig hakmossa</t>
        </is>
      </c>
      <c r="S41">
        <f>HYPERLINK("https://klasma.github.io/Logging_1440/artfynd/A 26677-2025 artfynd.xlsx", "A 26677-2025")</f>
        <v/>
      </c>
      <c r="T41">
        <f>HYPERLINK("https://klasma.github.io/Logging_1440/kartor/A 26677-2025 karta.png", "A 26677-2025")</f>
        <v/>
      </c>
      <c r="V41">
        <f>HYPERLINK("https://klasma.github.io/Logging_1440/klagomål/A 26677-2025 FSC-klagomål.docx", "A 26677-2025")</f>
        <v/>
      </c>
      <c r="W41">
        <f>HYPERLINK("https://klasma.github.io/Logging_1440/klagomålsmail/A 26677-2025 FSC-klagomål mail.docx", "A 26677-2025")</f>
        <v/>
      </c>
      <c r="X41">
        <f>HYPERLINK("https://klasma.github.io/Logging_1440/tillsyn/A 26677-2025 tillsynsbegäran.docx", "A 26677-2025")</f>
        <v/>
      </c>
      <c r="Y41">
        <f>HYPERLINK("https://klasma.github.io/Logging_1440/tillsynsmail/A 26677-2025 tillsynsbegäran mail.docx", "A 26677-2025")</f>
        <v/>
      </c>
    </row>
    <row r="42" ht="15" customHeight="1">
      <c r="A42" t="inlineStr">
        <is>
          <t>A 21281-2021</t>
        </is>
      </c>
      <c r="B42" s="1" t="n">
        <v>44320.61850694445</v>
      </c>
      <c r="C42" s="1" t="n">
        <v>46036</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46036</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46036</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46036</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46036</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46036</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46036</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46036</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46036</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46036</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46036</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46036</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46036</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46036</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46036</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46036</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46036</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46036</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46036</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46036</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46036</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46036</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46036</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46036</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1822-2024</t>
        </is>
      </c>
      <c r="B66" s="1" t="n">
        <v>45307.6205787037</v>
      </c>
      <c r="C66" s="1" t="n">
        <v>46036</v>
      </c>
      <c r="D66" t="inlineStr">
        <is>
          <t>VÄSTRA GÖTALANDS LÄN</t>
        </is>
      </c>
      <c r="E66" t="inlineStr">
        <is>
          <t>ALE</t>
        </is>
      </c>
      <c r="G66" t="n">
        <v>2</v>
      </c>
      <c r="H66" t="n">
        <v>0</v>
      </c>
      <c r="I66" t="n">
        <v>0</v>
      </c>
      <c r="J66" t="n">
        <v>0</v>
      </c>
      <c r="K66" t="n">
        <v>0</v>
      </c>
      <c r="L66" t="n">
        <v>0</v>
      </c>
      <c r="M66" t="n">
        <v>0</v>
      </c>
      <c r="N66" t="n">
        <v>0</v>
      </c>
      <c r="O66" t="n">
        <v>0</v>
      </c>
      <c r="P66" t="n">
        <v>0</v>
      </c>
      <c r="Q66" t="n">
        <v>0</v>
      </c>
      <c r="R66" s="2" t="inlineStr"/>
    </row>
    <row r="67" ht="15" customHeight="1">
      <c r="A67" t="inlineStr">
        <is>
          <t>A 34104-2024</t>
        </is>
      </c>
      <c r="B67" s="1" t="n">
        <v>45523.79202546296</v>
      </c>
      <c r="C67" s="1" t="n">
        <v>46036</v>
      </c>
      <c r="D67" t="inlineStr">
        <is>
          <t>VÄSTRA GÖTALANDS LÄN</t>
        </is>
      </c>
      <c r="E67" t="inlineStr">
        <is>
          <t>ALE</t>
        </is>
      </c>
      <c r="G67" t="n">
        <v>2.2</v>
      </c>
      <c r="H67" t="n">
        <v>0</v>
      </c>
      <c r="I67" t="n">
        <v>0</v>
      </c>
      <c r="J67" t="n">
        <v>0</v>
      </c>
      <c r="K67" t="n">
        <v>0</v>
      </c>
      <c r="L67" t="n">
        <v>0</v>
      </c>
      <c r="M67" t="n">
        <v>0</v>
      </c>
      <c r="N67" t="n">
        <v>0</v>
      </c>
      <c r="O67" t="n">
        <v>0</v>
      </c>
      <c r="P67" t="n">
        <v>0</v>
      </c>
      <c r="Q67" t="n">
        <v>0</v>
      </c>
      <c r="R67" s="2" t="inlineStr"/>
    </row>
    <row r="68" ht="15" customHeight="1">
      <c r="A68" t="inlineStr">
        <is>
          <t>A 3418-2023</t>
        </is>
      </c>
      <c r="B68" s="1" t="n">
        <v>44949.56182870371</v>
      </c>
      <c r="C68" s="1" t="n">
        <v>46036</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41607-2022</t>
        </is>
      </c>
      <c r="B69" s="1" t="n">
        <v>44827.46658564815</v>
      </c>
      <c r="C69" s="1" t="n">
        <v>46036</v>
      </c>
      <c r="D69" t="inlineStr">
        <is>
          <t>VÄSTRA GÖTALANDS LÄN</t>
        </is>
      </c>
      <c r="E69" t="inlineStr">
        <is>
          <t>ALE</t>
        </is>
      </c>
      <c r="G69" t="n">
        <v>3.6</v>
      </c>
      <c r="H69" t="n">
        <v>0</v>
      </c>
      <c r="I69" t="n">
        <v>0</v>
      </c>
      <c r="J69" t="n">
        <v>0</v>
      </c>
      <c r="K69" t="n">
        <v>0</v>
      </c>
      <c r="L69" t="n">
        <v>0</v>
      </c>
      <c r="M69" t="n">
        <v>0</v>
      </c>
      <c r="N69" t="n">
        <v>0</v>
      </c>
      <c r="O69" t="n">
        <v>0</v>
      </c>
      <c r="P69" t="n">
        <v>0</v>
      </c>
      <c r="Q69" t="n">
        <v>0</v>
      </c>
      <c r="R69" s="2" t="inlineStr"/>
    </row>
    <row r="70" ht="15" customHeight="1">
      <c r="A70" t="inlineStr">
        <is>
          <t>A 15499-2022</t>
        </is>
      </c>
      <c r="B70" s="1" t="n">
        <v>44662</v>
      </c>
      <c r="C70" s="1" t="n">
        <v>46036</v>
      </c>
      <c r="D70" t="inlineStr">
        <is>
          <t>VÄSTRA GÖTALANDS LÄN</t>
        </is>
      </c>
      <c r="E70" t="inlineStr">
        <is>
          <t>ALE</t>
        </is>
      </c>
      <c r="G70" t="n">
        <v>4.7</v>
      </c>
      <c r="H70" t="n">
        <v>0</v>
      </c>
      <c r="I70" t="n">
        <v>0</v>
      </c>
      <c r="J70" t="n">
        <v>0</v>
      </c>
      <c r="K70" t="n">
        <v>0</v>
      </c>
      <c r="L70" t="n">
        <v>0</v>
      </c>
      <c r="M70" t="n">
        <v>0</v>
      </c>
      <c r="N70" t="n">
        <v>0</v>
      </c>
      <c r="O70" t="n">
        <v>0</v>
      </c>
      <c r="P70" t="n">
        <v>0</v>
      </c>
      <c r="Q70" t="n">
        <v>0</v>
      </c>
      <c r="R70" s="2" t="inlineStr"/>
    </row>
    <row r="71" ht="15" customHeight="1">
      <c r="A71" t="inlineStr">
        <is>
          <t>A 53476-2023</t>
        </is>
      </c>
      <c r="B71" s="1" t="n">
        <v>45230.33737268519</v>
      </c>
      <c r="C71" s="1" t="n">
        <v>46036</v>
      </c>
      <c r="D71" t="inlineStr">
        <is>
          <t>VÄSTRA GÖTALANDS LÄN</t>
        </is>
      </c>
      <c r="E71" t="inlineStr">
        <is>
          <t>ALE</t>
        </is>
      </c>
      <c r="G71" t="n">
        <v>1.9</v>
      </c>
      <c r="H71" t="n">
        <v>0</v>
      </c>
      <c r="I71" t="n">
        <v>0</v>
      </c>
      <c r="J71" t="n">
        <v>0</v>
      </c>
      <c r="K71" t="n">
        <v>0</v>
      </c>
      <c r="L71" t="n">
        <v>0</v>
      </c>
      <c r="M71" t="n">
        <v>0</v>
      </c>
      <c r="N71" t="n">
        <v>0</v>
      </c>
      <c r="O71" t="n">
        <v>0</v>
      </c>
      <c r="P71" t="n">
        <v>0</v>
      </c>
      <c r="Q71" t="n">
        <v>0</v>
      </c>
      <c r="R71" s="2" t="inlineStr"/>
    </row>
    <row r="72" ht="15" customHeight="1">
      <c r="A72" t="inlineStr">
        <is>
          <t>A 51164-2024</t>
        </is>
      </c>
      <c r="B72" s="1" t="n">
        <v>45603.5830787037</v>
      </c>
      <c r="C72" s="1" t="n">
        <v>46036</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55405-2021</t>
        </is>
      </c>
      <c r="B73" s="1" t="n">
        <v>44475.53733796296</v>
      </c>
      <c r="C73" s="1" t="n">
        <v>46036</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56493-2021</t>
        </is>
      </c>
      <c r="B74" s="1" t="n">
        <v>44480.57173611111</v>
      </c>
      <c r="C74" s="1" t="n">
        <v>46036</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1960-2024</t>
        </is>
      </c>
      <c r="B75" s="1" t="n">
        <v>45308.50962962963</v>
      </c>
      <c r="C75" s="1" t="n">
        <v>46036</v>
      </c>
      <c r="D75" t="inlineStr">
        <is>
          <t>VÄSTRA GÖTALANDS LÄN</t>
        </is>
      </c>
      <c r="E75" t="inlineStr">
        <is>
          <t>ALE</t>
        </is>
      </c>
      <c r="G75" t="n">
        <v>1.9</v>
      </c>
      <c r="H75" t="n">
        <v>0</v>
      </c>
      <c r="I75" t="n">
        <v>0</v>
      </c>
      <c r="J75" t="n">
        <v>0</v>
      </c>
      <c r="K75" t="n">
        <v>0</v>
      </c>
      <c r="L75" t="n">
        <v>0</v>
      </c>
      <c r="M75" t="n">
        <v>0</v>
      </c>
      <c r="N75" t="n">
        <v>0</v>
      </c>
      <c r="O75" t="n">
        <v>0</v>
      </c>
      <c r="P75" t="n">
        <v>0</v>
      </c>
      <c r="Q75" t="n">
        <v>0</v>
      </c>
      <c r="R75" s="2" t="inlineStr"/>
    </row>
    <row r="76" ht="15" customHeight="1">
      <c r="A76" t="inlineStr">
        <is>
          <t>A 24642-2022</t>
        </is>
      </c>
      <c r="B76" s="1" t="n">
        <v>44727.59578703704</v>
      </c>
      <c r="C76" s="1" t="n">
        <v>46036</v>
      </c>
      <c r="D76" t="inlineStr">
        <is>
          <t>VÄSTRA GÖTALANDS LÄN</t>
        </is>
      </c>
      <c r="E76" t="inlineStr">
        <is>
          <t>ALE</t>
        </is>
      </c>
      <c r="G76" t="n">
        <v>10</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46036</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18637-2023</t>
        </is>
      </c>
      <c r="B78" s="1" t="n">
        <v>45043</v>
      </c>
      <c r="C78" s="1" t="n">
        <v>46036</v>
      </c>
      <c r="D78" t="inlineStr">
        <is>
          <t>VÄSTRA GÖTALANDS LÄN</t>
        </is>
      </c>
      <c r="E78" t="inlineStr">
        <is>
          <t>ALE</t>
        </is>
      </c>
      <c r="G78" t="n">
        <v>3.6</v>
      </c>
      <c r="H78" t="n">
        <v>0</v>
      </c>
      <c r="I78" t="n">
        <v>0</v>
      </c>
      <c r="J78" t="n">
        <v>0</v>
      </c>
      <c r="K78" t="n">
        <v>0</v>
      </c>
      <c r="L78" t="n">
        <v>0</v>
      </c>
      <c r="M78" t="n">
        <v>0</v>
      </c>
      <c r="N78" t="n">
        <v>0</v>
      </c>
      <c r="O78" t="n">
        <v>0</v>
      </c>
      <c r="P78" t="n">
        <v>0</v>
      </c>
      <c r="Q78" t="n">
        <v>0</v>
      </c>
      <c r="R78" s="2" t="inlineStr"/>
    </row>
    <row r="79" ht="15" customHeight="1">
      <c r="A79" t="inlineStr">
        <is>
          <t>A 59933-2023</t>
        </is>
      </c>
      <c r="B79" s="1" t="n">
        <v>45257</v>
      </c>
      <c r="C79" s="1" t="n">
        <v>46036</v>
      </c>
      <c r="D79" t="inlineStr">
        <is>
          <t>VÄSTRA GÖTALANDS LÄN</t>
        </is>
      </c>
      <c r="E79" t="inlineStr">
        <is>
          <t>ALE</t>
        </is>
      </c>
      <c r="G79" t="n">
        <v>2.7</v>
      </c>
      <c r="H79" t="n">
        <v>0</v>
      </c>
      <c r="I79" t="n">
        <v>0</v>
      </c>
      <c r="J79" t="n">
        <v>0</v>
      </c>
      <c r="K79" t="n">
        <v>0</v>
      </c>
      <c r="L79" t="n">
        <v>0</v>
      </c>
      <c r="M79" t="n">
        <v>0</v>
      </c>
      <c r="N79" t="n">
        <v>0</v>
      </c>
      <c r="O79" t="n">
        <v>0</v>
      </c>
      <c r="P79" t="n">
        <v>0</v>
      </c>
      <c r="Q79" t="n">
        <v>0</v>
      </c>
      <c r="R79" s="2" t="inlineStr"/>
    </row>
    <row r="80" ht="15" customHeight="1">
      <c r="A80" t="inlineStr">
        <is>
          <t>A 8659-2025</t>
        </is>
      </c>
      <c r="B80" s="1" t="n">
        <v>45712</v>
      </c>
      <c r="C80" s="1" t="n">
        <v>46036</v>
      </c>
      <c r="D80" t="inlineStr">
        <is>
          <t>VÄSTRA GÖTALANDS LÄN</t>
        </is>
      </c>
      <c r="E80" t="inlineStr">
        <is>
          <t>ALE</t>
        </is>
      </c>
      <c r="G80" t="n">
        <v>5.7</v>
      </c>
      <c r="H80" t="n">
        <v>0</v>
      </c>
      <c r="I80" t="n">
        <v>0</v>
      </c>
      <c r="J80" t="n">
        <v>0</v>
      </c>
      <c r="K80" t="n">
        <v>0</v>
      </c>
      <c r="L80" t="n">
        <v>0</v>
      </c>
      <c r="M80" t="n">
        <v>0</v>
      </c>
      <c r="N80" t="n">
        <v>0</v>
      </c>
      <c r="O80" t="n">
        <v>0</v>
      </c>
      <c r="P80" t="n">
        <v>0</v>
      </c>
      <c r="Q80" t="n">
        <v>0</v>
      </c>
      <c r="R80" s="2" t="inlineStr"/>
    </row>
    <row r="81" ht="15" customHeight="1">
      <c r="A81" t="inlineStr">
        <is>
          <t>A 5344-2024</t>
        </is>
      </c>
      <c r="B81" s="1" t="n">
        <v>45331</v>
      </c>
      <c r="C81" s="1" t="n">
        <v>46036</v>
      </c>
      <c r="D81" t="inlineStr">
        <is>
          <t>VÄSTRA GÖTALANDS LÄN</t>
        </is>
      </c>
      <c r="E81" t="inlineStr">
        <is>
          <t>ALE</t>
        </is>
      </c>
      <c r="G81" t="n">
        <v>2.5</v>
      </c>
      <c r="H81" t="n">
        <v>0</v>
      </c>
      <c r="I81" t="n">
        <v>0</v>
      </c>
      <c r="J81" t="n">
        <v>0</v>
      </c>
      <c r="K81" t="n">
        <v>0</v>
      </c>
      <c r="L81" t="n">
        <v>0</v>
      </c>
      <c r="M81" t="n">
        <v>0</v>
      </c>
      <c r="N81" t="n">
        <v>0</v>
      </c>
      <c r="O81" t="n">
        <v>0</v>
      </c>
      <c r="P81" t="n">
        <v>0</v>
      </c>
      <c r="Q81" t="n">
        <v>0</v>
      </c>
      <c r="R81" s="2" t="inlineStr"/>
    </row>
    <row r="82" ht="15" customHeight="1">
      <c r="A82" t="inlineStr">
        <is>
          <t>A 32762-2023</t>
        </is>
      </c>
      <c r="B82" s="1" t="n">
        <v>45123.46649305556</v>
      </c>
      <c r="C82" s="1" t="n">
        <v>46036</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29373-2025</t>
        </is>
      </c>
      <c r="B83" s="1" t="n">
        <v>45824.579375</v>
      </c>
      <c r="C83" s="1" t="n">
        <v>46036</v>
      </c>
      <c r="D83" t="inlineStr">
        <is>
          <t>VÄSTRA GÖTALANDS LÄN</t>
        </is>
      </c>
      <c r="E83" t="inlineStr">
        <is>
          <t>ALE</t>
        </is>
      </c>
      <c r="G83" t="n">
        <v>4.6</v>
      </c>
      <c r="H83" t="n">
        <v>0</v>
      </c>
      <c r="I83" t="n">
        <v>0</v>
      </c>
      <c r="J83" t="n">
        <v>0</v>
      </c>
      <c r="K83" t="n">
        <v>0</v>
      </c>
      <c r="L83" t="n">
        <v>0</v>
      </c>
      <c r="M83" t="n">
        <v>0</v>
      </c>
      <c r="N83" t="n">
        <v>0</v>
      </c>
      <c r="O83" t="n">
        <v>0</v>
      </c>
      <c r="P83" t="n">
        <v>0</v>
      </c>
      <c r="Q83" t="n">
        <v>0</v>
      </c>
      <c r="R83" s="2" t="inlineStr"/>
    </row>
    <row r="84" ht="15" customHeight="1">
      <c r="A84" t="inlineStr">
        <is>
          <t>A 13382-2025</t>
        </is>
      </c>
      <c r="B84" s="1" t="n">
        <v>45735.67928240741</v>
      </c>
      <c r="C84" s="1" t="n">
        <v>46036</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46036</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13903-2025</t>
        </is>
      </c>
      <c r="B86" s="1" t="n">
        <v>45737.63481481482</v>
      </c>
      <c r="C86" s="1" t="n">
        <v>46036</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40074-2025</t>
        </is>
      </c>
      <c r="B87" s="1" t="n">
        <v>45894.44685185186</v>
      </c>
      <c r="C87" s="1" t="n">
        <v>46036</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31409-2025</t>
        </is>
      </c>
      <c r="B88" s="1" t="n">
        <v>45833</v>
      </c>
      <c r="C88" s="1" t="n">
        <v>46036</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31488-2025</t>
        </is>
      </c>
      <c r="B89" s="1" t="n">
        <v>45833</v>
      </c>
      <c r="C89" s="1" t="n">
        <v>46036</v>
      </c>
      <c r="D89" t="inlineStr">
        <is>
          <t>VÄSTRA GÖTALANDS LÄN</t>
        </is>
      </c>
      <c r="E89" t="inlineStr">
        <is>
          <t>ALE</t>
        </is>
      </c>
      <c r="G89" t="n">
        <v>1.8</v>
      </c>
      <c r="H89" t="n">
        <v>0</v>
      </c>
      <c r="I89" t="n">
        <v>0</v>
      </c>
      <c r="J89" t="n">
        <v>0</v>
      </c>
      <c r="K89" t="n">
        <v>0</v>
      </c>
      <c r="L89" t="n">
        <v>0</v>
      </c>
      <c r="M89" t="n">
        <v>0</v>
      </c>
      <c r="N89" t="n">
        <v>0</v>
      </c>
      <c r="O89" t="n">
        <v>0</v>
      </c>
      <c r="P89" t="n">
        <v>0</v>
      </c>
      <c r="Q89" t="n">
        <v>0</v>
      </c>
      <c r="R89" s="2" t="inlineStr"/>
    </row>
    <row r="90" ht="15" customHeight="1">
      <c r="A90" t="inlineStr">
        <is>
          <t>A 31533-2025</t>
        </is>
      </c>
      <c r="B90" s="1" t="n">
        <v>45833</v>
      </c>
      <c r="C90" s="1" t="n">
        <v>46036</v>
      </c>
      <c r="D90" t="inlineStr">
        <is>
          <t>VÄSTRA GÖTALANDS LÄN</t>
        </is>
      </c>
      <c r="E90" t="inlineStr">
        <is>
          <t>ALE</t>
        </is>
      </c>
      <c r="G90" t="n">
        <v>1.6</v>
      </c>
      <c r="H90" t="n">
        <v>0</v>
      </c>
      <c r="I90" t="n">
        <v>0</v>
      </c>
      <c r="J90" t="n">
        <v>0</v>
      </c>
      <c r="K90" t="n">
        <v>0</v>
      </c>
      <c r="L90" t="n">
        <v>0</v>
      </c>
      <c r="M90" t="n">
        <v>0</v>
      </c>
      <c r="N90" t="n">
        <v>0</v>
      </c>
      <c r="O90" t="n">
        <v>0</v>
      </c>
      <c r="P90" t="n">
        <v>0</v>
      </c>
      <c r="Q90" t="n">
        <v>0</v>
      </c>
      <c r="R90" s="2" t="inlineStr"/>
    </row>
    <row r="91" ht="15" customHeight="1">
      <c r="A91" t="inlineStr">
        <is>
          <t>A 13426-2025</t>
        </is>
      </c>
      <c r="B91" s="1" t="n">
        <v>45736.32780092592</v>
      </c>
      <c r="C91" s="1" t="n">
        <v>46036</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26157-2023</t>
        </is>
      </c>
      <c r="B92" s="1" t="n">
        <v>45091.50479166667</v>
      </c>
      <c r="C92" s="1" t="n">
        <v>46036</v>
      </c>
      <c r="D92" t="inlineStr">
        <is>
          <t>VÄSTRA GÖTALANDS LÄN</t>
        </is>
      </c>
      <c r="E92" t="inlineStr">
        <is>
          <t>ALE</t>
        </is>
      </c>
      <c r="G92" t="n">
        <v>2.6</v>
      </c>
      <c r="H92" t="n">
        <v>0</v>
      </c>
      <c r="I92" t="n">
        <v>0</v>
      </c>
      <c r="J92" t="n">
        <v>0</v>
      </c>
      <c r="K92" t="n">
        <v>0</v>
      </c>
      <c r="L92" t="n">
        <v>0</v>
      </c>
      <c r="M92" t="n">
        <v>0</v>
      </c>
      <c r="N92" t="n">
        <v>0</v>
      </c>
      <c r="O92" t="n">
        <v>0</v>
      </c>
      <c r="P92" t="n">
        <v>0</v>
      </c>
      <c r="Q92" t="n">
        <v>0</v>
      </c>
      <c r="R92" s="2" t="inlineStr"/>
    </row>
    <row r="93" ht="15" customHeight="1">
      <c r="A93" t="inlineStr">
        <is>
          <t>A 47087-2023</t>
        </is>
      </c>
      <c r="B93" s="1" t="n">
        <v>45196</v>
      </c>
      <c r="C93" s="1" t="n">
        <v>46036</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27314-2021</t>
        </is>
      </c>
      <c r="B94" s="1" t="n">
        <v>44351.36537037037</v>
      </c>
      <c r="C94" s="1" t="n">
        <v>46036</v>
      </c>
      <c r="D94" t="inlineStr">
        <is>
          <t>VÄSTRA GÖTALANDS LÄN</t>
        </is>
      </c>
      <c r="E94" t="inlineStr">
        <is>
          <t>ALE</t>
        </is>
      </c>
      <c r="G94" t="n">
        <v>11.3</v>
      </c>
      <c r="H94" t="n">
        <v>0</v>
      </c>
      <c r="I94" t="n">
        <v>0</v>
      </c>
      <c r="J94" t="n">
        <v>0</v>
      </c>
      <c r="K94" t="n">
        <v>0</v>
      </c>
      <c r="L94" t="n">
        <v>0</v>
      </c>
      <c r="M94" t="n">
        <v>0</v>
      </c>
      <c r="N94" t="n">
        <v>0</v>
      </c>
      <c r="O94" t="n">
        <v>0</v>
      </c>
      <c r="P94" t="n">
        <v>0</v>
      </c>
      <c r="Q94" t="n">
        <v>0</v>
      </c>
      <c r="R94" s="2" t="inlineStr"/>
    </row>
    <row r="95" ht="15" customHeight="1">
      <c r="A95" t="inlineStr">
        <is>
          <t>A 46226-2025</t>
        </is>
      </c>
      <c r="B95" s="1" t="n">
        <v>45924</v>
      </c>
      <c r="C95" s="1" t="n">
        <v>46036</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46036</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5875-2023</t>
        </is>
      </c>
      <c r="B97" s="1" t="n">
        <v>44963</v>
      </c>
      <c r="C97" s="1" t="n">
        <v>46036</v>
      </c>
      <c r="D97" t="inlineStr">
        <is>
          <t>VÄSTRA GÖTALANDS LÄN</t>
        </is>
      </c>
      <c r="E97" t="inlineStr">
        <is>
          <t>ALE</t>
        </is>
      </c>
      <c r="G97" t="n">
        <v>2.2</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46036</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47592-2025</t>
        </is>
      </c>
      <c r="B99" s="1" t="n">
        <v>45931.44649305556</v>
      </c>
      <c r="C99" s="1" t="n">
        <v>46036</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47330-2025</t>
        </is>
      </c>
      <c r="B100" s="1" t="n">
        <v>45930.56170138889</v>
      </c>
      <c r="C100" s="1" t="n">
        <v>46036</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47593-2025</t>
        </is>
      </c>
      <c r="B101" s="1" t="n">
        <v>45931.4480787037</v>
      </c>
      <c r="C101" s="1" t="n">
        <v>46036</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47728-2025</t>
        </is>
      </c>
      <c r="B102" s="1" t="n">
        <v>45931.63186342592</v>
      </c>
      <c r="C102" s="1" t="n">
        <v>46036</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46036</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12445-2022</t>
        </is>
      </c>
      <c r="B104" s="1" t="n">
        <v>44638</v>
      </c>
      <c r="C104" s="1" t="n">
        <v>46036</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57473-2022</t>
        </is>
      </c>
      <c r="B105" s="1" t="n">
        <v>44896</v>
      </c>
      <c r="C105" s="1" t="n">
        <v>46036</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48213-2025</t>
        </is>
      </c>
      <c r="B106" s="1" t="n">
        <v>45933</v>
      </c>
      <c r="C106" s="1" t="n">
        <v>46036</v>
      </c>
      <c r="D106" t="inlineStr">
        <is>
          <t>VÄSTRA GÖTALANDS LÄN</t>
        </is>
      </c>
      <c r="E106" t="inlineStr">
        <is>
          <t>ALE</t>
        </is>
      </c>
      <c r="G106" t="n">
        <v>3.3</v>
      </c>
      <c r="H106" t="n">
        <v>0</v>
      </c>
      <c r="I106" t="n">
        <v>0</v>
      </c>
      <c r="J106" t="n">
        <v>0</v>
      </c>
      <c r="K106" t="n">
        <v>0</v>
      </c>
      <c r="L106" t="n">
        <v>0</v>
      </c>
      <c r="M106" t="n">
        <v>0</v>
      </c>
      <c r="N106" t="n">
        <v>0</v>
      </c>
      <c r="O106" t="n">
        <v>0</v>
      </c>
      <c r="P106" t="n">
        <v>0</v>
      </c>
      <c r="Q106" t="n">
        <v>0</v>
      </c>
      <c r="R106" s="2" t="inlineStr"/>
    </row>
    <row r="107" ht="15" customHeight="1">
      <c r="A107" t="inlineStr">
        <is>
          <t>A 48218-2025</t>
        </is>
      </c>
      <c r="B107" s="1" t="n">
        <v>45933</v>
      </c>
      <c r="C107" s="1" t="n">
        <v>46036</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46036</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50189-2025</t>
        </is>
      </c>
      <c r="B109" s="1" t="n">
        <v>45943.63476851852</v>
      </c>
      <c r="C109" s="1" t="n">
        <v>46036</v>
      </c>
      <c r="D109" t="inlineStr">
        <is>
          <t>VÄSTRA GÖTALANDS LÄN</t>
        </is>
      </c>
      <c r="E109" t="inlineStr">
        <is>
          <t>ALE</t>
        </is>
      </c>
      <c r="G109" t="n">
        <v>3</v>
      </c>
      <c r="H109" t="n">
        <v>0</v>
      </c>
      <c r="I109" t="n">
        <v>0</v>
      </c>
      <c r="J109" t="n">
        <v>0</v>
      </c>
      <c r="K109" t="n">
        <v>0</v>
      </c>
      <c r="L109" t="n">
        <v>0</v>
      </c>
      <c r="M109" t="n">
        <v>0</v>
      </c>
      <c r="N109" t="n">
        <v>0</v>
      </c>
      <c r="O109" t="n">
        <v>0</v>
      </c>
      <c r="P109" t="n">
        <v>0</v>
      </c>
      <c r="Q109" t="n">
        <v>0</v>
      </c>
      <c r="R109" s="2" t="inlineStr"/>
    </row>
    <row r="110" ht="15" customHeight="1">
      <c r="A110" t="inlineStr">
        <is>
          <t>A 50973-2025</t>
        </is>
      </c>
      <c r="B110" s="1" t="n">
        <v>45947.31263888889</v>
      </c>
      <c r="C110" s="1" t="n">
        <v>46036</v>
      </c>
      <c r="D110" t="inlineStr">
        <is>
          <t>VÄSTRA GÖTALANDS LÄN</t>
        </is>
      </c>
      <c r="E110" t="inlineStr">
        <is>
          <t>ALE</t>
        </is>
      </c>
      <c r="G110" t="n">
        <v>12</v>
      </c>
      <c r="H110" t="n">
        <v>0</v>
      </c>
      <c r="I110" t="n">
        <v>0</v>
      </c>
      <c r="J110" t="n">
        <v>0</v>
      </c>
      <c r="K110" t="n">
        <v>0</v>
      </c>
      <c r="L110" t="n">
        <v>0</v>
      </c>
      <c r="M110" t="n">
        <v>0</v>
      </c>
      <c r="N110" t="n">
        <v>0</v>
      </c>
      <c r="O110" t="n">
        <v>0</v>
      </c>
      <c r="P110" t="n">
        <v>0</v>
      </c>
      <c r="Q110" t="n">
        <v>0</v>
      </c>
      <c r="R110" s="2" t="inlineStr"/>
    </row>
    <row r="111" ht="15" customHeight="1">
      <c r="A111" t="inlineStr">
        <is>
          <t>A 3520-2022</t>
        </is>
      </c>
      <c r="B111" s="1" t="n">
        <v>44585.72818287037</v>
      </c>
      <c r="C111" s="1" t="n">
        <v>46036</v>
      </c>
      <c r="D111" t="inlineStr">
        <is>
          <t>VÄSTRA GÖTALANDS LÄN</t>
        </is>
      </c>
      <c r="E111" t="inlineStr">
        <is>
          <t>ALE</t>
        </is>
      </c>
      <c r="G111" t="n">
        <v>2.3</v>
      </c>
      <c r="H111" t="n">
        <v>0</v>
      </c>
      <c r="I111" t="n">
        <v>0</v>
      </c>
      <c r="J111" t="n">
        <v>0</v>
      </c>
      <c r="K111" t="n">
        <v>0</v>
      </c>
      <c r="L111" t="n">
        <v>0</v>
      </c>
      <c r="M111" t="n">
        <v>0</v>
      </c>
      <c r="N111" t="n">
        <v>0</v>
      </c>
      <c r="O111" t="n">
        <v>0</v>
      </c>
      <c r="P111" t="n">
        <v>0</v>
      </c>
      <c r="Q111" t="n">
        <v>0</v>
      </c>
      <c r="R111" s="2" t="inlineStr"/>
    </row>
    <row r="112" ht="15" customHeight="1">
      <c r="A112" t="inlineStr">
        <is>
          <t>A 65226-2021</t>
        </is>
      </c>
      <c r="B112" s="1" t="n">
        <v>44515</v>
      </c>
      <c r="C112" s="1" t="n">
        <v>46036</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60287-2025</t>
        </is>
      </c>
      <c r="B113" s="1" t="n">
        <v>45994.64711805555</v>
      </c>
      <c r="C113" s="1" t="n">
        <v>46036</v>
      </c>
      <c r="D113" t="inlineStr">
        <is>
          <t>VÄSTRA GÖTALANDS LÄN</t>
        </is>
      </c>
      <c r="E113" t="inlineStr">
        <is>
          <t>ALE</t>
        </is>
      </c>
      <c r="G113" t="n">
        <v>1.2</v>
      </c>
      <c r="H113" t="n">
        <v>0</v>
      </c>
      <c r="I113" t="n">
        <v>0</v>
      </c>
      <c r="J113" t="n">
        <v>0</v>
      </c>
      <c r="K113" t="n">
        <v>0</v>
      </c>
      <c r="L113" t="n">
        <v>0</v>
      </c>
      <c r="M113" t="n">
        <v>0</v>
      </c>
      <c r="N113" t="n">
        <v>0</v>
      </c>
      <c r="O113" t="n">
        <v>0</v>
      </c>
      <c r="P113" t="n">
        <v>0</v>
      </c>
      <c r="Q113" t="n">
        <v>0</v>
      </c>
      <c r="R113" s="2" t="inlineStr"/>
    </row>
    <row r="114" ht="15" customHeight="1">
      <c r="A114" t="inlineStr">
        <is>
          <t>A 51976-2025</t>
        </is>
      </c>
      <c r="B114" s="1" t="n">
        <v>45952.56412037037</v>
      </c>
      <c r="C114" s="1" t="n">
        <v>46036</v>
      </c>
      <c r="D114" t="inlineStr">
        <is>
          <t>VÄSTRA GÖTALANDS LÄN</t>
        </is>
      </c>
      <c r="E114" t="inlineStr">
        <is>
          <t>ALE</t>
        </is>
      </c>
      <c r="G114" t="n">
        <v>5.2</v>
      </c>
      <c r="H114" t="n">
        <v>0</v>
      </c>
      <c r="I114" t="n">
        <v>0</v>
      </c>
      <c r="J114" t="n">
        <v>0</v>
      </c>
      <c r="K114" t="n">
        <v>0</v>
      </c>
      <c r="L114" t="n">
        <v>0</v>
      </c>
      <c r="M114" t="n">
        <v>0</v>
      </c>
      <c r="N114" t="n">
        <v>0</v>
      </c>
      <c r="O114" t="n">
        <v>0</v>
      </c>
      <c r="P114" t="n">
        <v>0</v>
      </c>
      <c r="Q114" t="n">
        <v>0</v>
      </c>
      <c r="R114" s="2" t="inlineStr"/>
    </row>
    <row r="115" ht="15" customHeight="1">
      <c r="A115" t="inlineStr">
        <is>
          <t>A 18999-2021</t>
        </is>
      </c>
      <c r="B115" s="1" t="n">
        <v>44308</v>
      </c>
      <c r="C115" s="1" t="n">
        <v>46036</v>
      </c>
      <c r="D115" t="inlineStr">
        <is>
          <t>VÄSTRA GÖTALANDS LÄN</t>
        </is>
      </c>
      <c r="E115" t="inlineStr">
        <is>
          <t>ALE</t>
        </is>
      </c>
      <c r="G115" t="n">
        <v>3.7</v>
      </c>
      <c r="H115" t="n">
        <v>0</v>
      </c>
      <c r="I115" t="n">
        <v>0</v>
      </c>
      <c r="J115" t="n">
        <v>0</v>
      </c>
      <c r="K115" t="n">
        <v>0</v>
      </c>
      <c r="L115" t="n">
        <v>0</v>
      </c>
      <c r="M115" t="n">
        <v>0</v>
      </c>
      <c r="N115" t="n">
        <v>0</v>
      </c>
      <c r="O115" t="n">
        <v>0</v>
      </c>
      <c r="P115" t="n">
        <v>0</v>
      </c>
      <c r="Q115" t="n">
        <v>0</v>
      </c>
      <c r="R115" s="2" t="inlineStr"/>
    </row>
    <row r="116" ht="15" customHeight="1">
      <c r="A116" t="inlineStr">
        <is>
          <t>A 52423-2025</t>
        </is>
      </c>
      <c r="B116" s="1" t="n">
        <v>45954.37650462963</v>
      </c>
      <c r="C116" s="1" t="n">
        <v>46036</v>
      </c>
      <c r="D116" t="inlineStr">
        <is>
          <t>VÄSTRA GÖTALANDS LÄN</t>
        </is>
      </c>
      <c r="E116" t="inlineStr">
        <is>
          <t>ALE</t>
        </is>
      </c>
      <c r="G116" t="n">
        <v>4.1</v>
      </c>
      <c r="H116" t="n">
        <v>0</v>
      </c>
      <c r="I116" t="n">
        <v>0</v>
      </c>
      <c r="J116" t="n">
        <v>0</v>
      </c>
      <c r="K116" t="n">
        <v>0</v>
      </c>
      <c r="L116" t="n">
        <v>0</v>
      </c>
      <c r="M116" t="n">
        <v>0</v>
      </c>
      <c r="N116" t="n">
        <v>0</v>
      </c>
      <c r="O116" t="n">
        <v>0</v>
      </c>
      <c r="P116" t="n">
        <v>0</v>
      </c>
      <c r="Q116" t="n">
        <v>0</v>
      </c>
      <c r="R116" s="2" t="inlineStr"/>
    </row>
    <row r="117" ht="15" customHeight="1">
      <c r="A117" t="inlineStr">
        <is>
          <t>A 52391-2025</t>
        </is>
      </c>
      <c r="B117" s="1" t="n">
        <v>45954.34305555555</v>
      </c>
      <c r="C117" s="1" t="n">
        <v>46036</v>
      </c>
      <c r="D117" t="inlineStr">
        <is>
          <t>VÄSTRA GÖTALANDS LÄN</t>
        </is>
      </c>
      <c r="E117" t="inlineStr">
        <is>
          <t>ALE</t>
        </is>
      </c>
      <c r="G117" t="n">
        <v>10.6</v>
      </c>
      <c r="H117" t="n">
        <v>0</v>
      </c>
      <c r="I117" t="n">
        <v>0</v>
      </c>
      <c r="J117" t="n">
        <v>0</v>
      </c>
      <c r="K117" t="n">
        <v>0</v>
      </c>
      <c r="L117" t="n">
        <v>0</v>
      </c>
      <c r="M117" t="n">
        <v>0</v>
      </c>
      <c r="N117" t="n">
        <v>0</v>
      </c>
      <c r="O117" t="n">
        <v>0</v>
      </c>
      <c r="P117" t="n">
        <v>0</v>
      </c>
      <c r="Q117" t="n">
        <v>0</v>
      </c>
      <c r="R117" s="2" t="inlineStr"/>
    </row>
    <row r="118" ht="15" customHeight="1">
      <c r="A118" t="inlineStr">
        <is>
          <t>A 17044-2025</t>
        </is>
      </c>
      <c r="B118" s="1" t="n">
        <v>45755.58891203703</v>
      </c>
      <c r="C118" s="1" t="n">
        <v>46036</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46036</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16601-2025</t>
        </is>
      </c>
      <c r="B120" s="1" t="n">
        <v>45753.53189814815</v>
      </c>
      <c r="C120" s="1" t="n">
        <v>46036</v>
      </c>
      <c r="D120" t="inlineStr">
        <is>
          <t>VÄSTRA GÖTALANDS LÄN</t>
        </is>
      </c>
      <c r="E120" t="inlineStr">
        <is>
          <t>ALE</t>
        </is>
      </c>
      <c r="G120" t="n">
        <v>1.7</v>
      </c>
      <c r="H120" t="n">
        <v>0</v>
      </c>
      <c r="I120" t="n">
        <v>0</v>
      </c>
      <c r="J120" t="n">
        <v>0</v>
      </c>
      <c r="K120" t="n">
        <v>0</v>
      </c>
      <c r="L120" t="n">
        <v>0</v>
      </c>
      <c r="M120" t="n">
        <v>0</v>
      </c>
      <c r="N120" t="n">
        <v>0</v>
      </c>
      <c r="O120" t="n">
        <v>0</v>
      </c>
      <c r="P120" t="n">
        <v>0</v>
      </c>
      <c r="Q120" t="n">
        <v>0</v>
      </c>
      <c r="R120" s="2" t="inlineStr"/>
    </row>
    <row r="121" ht="15" customHeight="1">
      <c r="A121" t="inlineStr">
        <is>
          <t>A 61819-2025</t>
        </is>
      </c>
      <c r="B121" s="1" t="n">
        <v>46003.3241087963</v>
      </c>
      <c r="C121" s="1" t="n">
        <v>46036</v>
      </c>
      <c r="D121" t="inlineStr">
        <is>
          <t>VÄSTRA GÖTALANDS LÄN</t>
        </is>
      </c>
      <c r="E121" t="inlineStr">
        <is>
          <t>ALE</t>
        </is>
      </c>
      <c r="G121" t="n">
        <v>5.1</v>
      </c>
      <c r="H121" t="n">
        <v>0</v>
      </c>
      <c r="I121" t="n">
        <v>0</v>
      </c>
      <c r="J121" t="n">
        <v>0</v>
      </c>
      <c r="K121" t="n">
        <v>0</v>
      </c>
      <c r="L121" t="n">
        <v>0</v>
      </c>
      <c r="M121" t="n">
        <v>0</v>
      </c>
      <c r="N121" t="n">
        <v>0</v>
      </c>
      <c r="O121" t="n">
        <v>0</v>
      </c>
      <c r="P121" t="n">
        <v>0</v>
      </c>
      <c r="Q121" t="n">
        <v>0</v>
      </c>
      <c r="R121" s="2" t="inlineStr"/>
    </row>
    <row r="122" ht="15" customHeight="1">
      <c r="A122" t="inlineStr">
        <is>
          <t>A 36403-2024</t>
        </is>
      </c>
      <c r="B122" s="1" t="n">
        <v>45535.69445601852</v>
      </c>
      <c r="C122" s="1" t="n">
        <v>46036</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61771-2025</t>
        </is>
      </c>
      <c r="B123" s="1" t="n">
        <v>46002.6478587963</v>
      </c>
      <c r="C123" s="1" t="n">
        <v>46036</v>
      </c>
      <c r="D123" t="inlineStr">
        <is>
          <t>VÄSTRA GÖTALANDS LÄN</t>
        </is>
      </c>
      <c r="E123" t="inlineStr">
        <is>
          <t>ALE</t>
        </is>
      </c>
      <c r="G123" t="n">
        <v>3.9</v>
      </c>
      <c r="H123" t="n">
        <v>0</v>
      </c>
      <c r="I123" t="n">
        <v>0</v>
      </c>
      <c r="J123" t="n">
        <v>0</v>
      </c>
      <c r="K123" t="n">
        <v>0</v>
      </c>
      <c r="L123" t="n">
        <v>0</v>
      </c>
      <c r="M123" t="n">
        <v>0</v>
      </c>
      <c r="N123" t="n">
        <v>0</v>
      </c>
      <c r="O123" t="n">
        <v>0</v>
      </c>
      <c r="P123" t="n">
        <v>0</v>
      </c>
      <c r="Q123" t="n">
        <v>0</v>
      </c>
      <c r="R123" s="2" t="inlineStr"/>
    </row>
    <row r="124" ht="15" customHeight="1">
      <c r="A124" t="inlineStr">
        <is>
          <t>A 61744-2025</t>
        </is>
      </c>
      <c r="B124" s="1" t="n">
        <v>46002.60298611111</v>
      </c>
      <c r="C124" s="1" t="n">
        <v>46036</v>
      </c>
      <c r="D124" t="inlineStr">
        <is>
          <t>VÄSTRA GÖTALANDS LÄN</t>
        </is>
      </c>
      <c r="E124" t="inlineStr">
        <is>
          <t>ALE</t>
        </is>
      </c>
      <c r="G124" t="n">
        <v>3.1</v>
      </c>
      <c r="H124" t="n">
        <v>0</v>
      </c>
      <c r="I124" t="n">
        <v>0</v>
      </c>
      <c r="J124" t="n">
        <v>0</v>
      </c>
      <c r="K124" t="n">
        <v>0</v>
      </c>
      <c r="L124" t="n">
        <v>0</v>
      </c>
      <c r="M124" t="n">
        <v>0</v>
      </c>
      <c r="N124" t="n">
        <v>0</v>
      </c>
      <c r="O124" t="n">
        <v>0</v>
      </c>
      <c r="P124" t="n">
        <v>0</v>
      </c>
      <c r="Q124" t="n">
        <v>0</v>
      </c>
      <c r="R124" s="2" t="inlineStr"/>
    </row>
    <row r="125" ht="15" customHeight="1">
      <c r="A125" t="inlineStr">
        <is>
          <t>A 200-2022</t>
        </is>
      </c>
      <c r="B125" s="1" t="n">
        <v>44564</v>
      </c>
      <c r="C125" s="1" t="n">
        <v>46036</v>
      </c>
      <c r="D125" t="inlineStr">
        <is>
          <t>VÄSTRA GÖTALANDS LÄN</t>
        </is>
      </c>
      <c r="E125" t="inlineStr">
        <is>
          <t>ALE</t>
        </is>
      </c>
      <c r="G125" t="n">
        <v>6.8</v>
      </c>
      <c r="H125" t="n">
        <v>0</v>
      </c>
      <c r="I125" t="n">
        <v>0</v>
      </c>
      <c r="J125" t="n">
        <v>0</v>
      </c>
      <c r="K125" t="n">
        <v>0</v>
      </c>
      <c r="L125" t="n">
        <v>0</v>
      </c>
      <c r="M125" t="n">
        <v>0</v>
      </c>
      <c r="N125" t="n">
        <v>0</v>
      </c>
      <c r="O125" t="n">
        <v>0</v>
      </c>
      <c r="P125" t="n">
        <v>0</v>
      </c>
      <c r="Q125" t="n">
        <v>0</v>
      </c>
      <c r="R125" s="2" t="inlineStr"/>
    </row>
    <row r="126" ht="15" customHeight="1">
      <c r="A126" t="inlineStr">
        <is>
          <t>A 15582-2025</t>
        </is>
      </c>
      <c r="B126" s="1" t="n">
        <v>45747.81394675926</v>
      </c>
      <c r="C126" s="1" t="n">
        <v>46036</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7892-2024</t>
        </is>
      </c>
      <c r="B127" s="1" t="n">
        <v>45350.40921296296</v>
      </c>
      <c r="C127" s="1" t="n">
        <v>46036</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6947-2024</t>
        </is>
      </c>
      <c r="B128" s="1" t="n">
        <v>45343</v>
      </c>
      <c r="C128" s="1" t="n">
        <v>46036</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4444-2024</t>
        </is>
      </c>
      <c r="B129" s="1" t="n">
        <v>45327</v>
      </c>
      <c r="C129" s="1" t="n">
        <v>46036</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62828-2025</t>
        </is>
      </c>
      <c r="B130" s="1" t="n">
        <v>46008.66553240741</v>
      </c>
      <c r="C130" s="1" t="n">
        <v>46036</v>
      </c>
      <c r="D130" t="inlineStr">
        <is>
          <t>VÄSTRA GÖTALANDS LÄN</t>
        </is>
      </c>
      <c r="E130" t="inlineStr">
        <is>
          <t>ALE</t>
        </is>
      </c>
      <c r="G130" t="n">
        <v>2.6</v>
      </c>
      <c r="H130" t="n">
        <v>0</v>
      </c>
      <c r="I130" t="n">
        <v>0</v>
      </c>
      <c r="J130" t="n">
        <v>0</v>
      </c>
      <c r="K130" t="n">
        <v>0</v>
      </c>
      <c r="L130" t="n">
        <v>0</v>
      </c>
      <c r="M130" t="n">
        <v>0</v>
      </c>
      <c r="N130" t="n">
        <v>0</v>
      </c>
      <c r="O130" t="n">
        <v>0</v>
      </c>
      <c r="P130" t="n">
        <v>0</v>
      </c>
      <c r="Q130" t="n">
        <v>0</v>
      </c>
      <c r="R130" s="2" t="inlineStr"/>
    </row>
    <row r="131" ht="15" customHeight="1">
      <c r="A131" t="inlineStr">
        <is>
          <t>A 72801-2021</t>
        </is>
      </c>
      <c r="B131" s="1" t="n">
        <v>44546</v>
      </c>
      <c r="C131" s="1" t="n">
        <v>46036</v>
      </c>
      <c r="D131" t="inlineStr">
        <is>
          <t>VÄSTRA GÖTALANDS LÄN</t>
        </is>
      </c>
      <c r="E131" t="inlineStr">
        <is>
          <t>ALE</t>
        </is>
      </c>
      <c r="F131" t="inlineStr">
        <is>
          <t>Naturvårdsverket</t>
        </is>
      </c>
      <c r="G131" t="n">
        <v>1.4</v>
      </c>
      <c r="H131" t="n">
        <v>0</v>
      </c>
      <c r="I131" t="n">
        <v>0</v>
      </c>
      <c r="J131" t="n">
        <v>0</v>
      </c>
      <c r="K131" t="n">
        <v>0</v>
      </c>
      <c r="L131" t="n">
        <v>0</v>
      </c>
      <c r="M131" t="n">
        <v>0</v>
      </c>
      <c r="N131" t="n">
        <v>0</v>
      </c>
      <c r="O131" t="n">
        <v>0</v>
      </c>
      <c r="P131" t="n">
        <v>0</v>
      </c>
      <c r="Q131" t="n">
        <v>0</v>
      </c>
      <c r="R131" s="2" t="inlineStr"/>
    </row>
    <row r="132" ht="15" customHeight="1">
      <c r="A132" t="inlineStr">
        <is>
          <t>A 26083-2023</t>
        </is>
      </c>
      <c r="B132" s="1" t="n">
        <v>45091</v>
      </c>
      <c r="C132" s="1" t="n">
        <v>46036</v>
      </c>
      <c r="D132" t="inlineStr">
        <is>
          <t>VÄSTRA GÖTALANDS LÄN</t>
        </is>
      </c>
      <c r="E132" t="inlineStr">
        <is>
          <t>ALE</t>
        </is>
      </c>
      <c r="G132" t="n">
        <v>1.6</v>
      </c>
      <c r="H132" t="n">
        <v>0</v>
      </c>
      <c r="I132" t="n">
        <v>0</v>
      </c>
      <c r="J132" t="n">
        <v>0</v>
      </c>
      <c r="K132" t="n">
        <v>0</v>
      </c>
      <c r="L132" t="n">
        <v>0</v>
      </c>
      <c r="M132" t="n">
        <v>0</v>
      </c>
      <c r="N132" t="n">
        <v>0</v>
      </c>
      <c r="O132" t="n">
        <v>0</v>
      </c>
      <c r="P132" t="n">
        <v>0</v>
      </c>
      <c r="Q132" t="n">
        <v>0</v>
      </c>
      <c r="R132" s="2" t="inlineStr"/>
    </row>
    <row r="133" ht="15" customHeight="1">
      <c r="A133" t="inlineStr">
        <is>
          <t>A 56905-2025</t>
        </is>
      </c>
      <c r="B133" s="1" t="n">
        <v>45978.57502314815</v>
      </c>
      <c r="C133" s="1" t="n">
        <v>46036</v>
      </c>
      <c r="D133" t="inlineStr">
        <is>
          <t>VÄSTRA GÖTALANDS LÄN</t>
        </is>
      </c>
      <c r="E133" t="inlineStr">
        <is>
          <t>ALE</t>
        </is>
      </c>
      <c r="G133" t="n">
        <v>5.2</v>
      </c>
      <c r="H133" t="n">
        <v>0</v>
      </c>
      <c r="I133" t="n">
        <v>0</v>
      </c>
      <c r="J133" t="n">
        <v>0</v>
      </c>
      <c r="K133" t="n">
        <v>0</v>
      </c>
      <c r="L133" t="n">
        <v>0</v>
      </c>
      <c r="M133" t="n">
        <v>0</v>
      </c>
      <c r="N133" t="n">
        <v>0</v>
      </c>
      <c r="O133" t="n">
        <v>0</v>
      </c>
      <c r="P133" t="n">
        <v>0</v>
      </c>
      <c r="Q133" t="n">
        <v>0</v>
      </c>
      <c r="R133" s="2" t="inlineStr"/>
    </row>
    <row r="134" ht="15" customHeight="1">
      <c r="A134" t="inlineStr">
        <is>
          <t>A 58414-2025</t>
        </is>
      </c>
      <c r="B134" s="1" t="n">
        <v>45985.57778935185</v>
      </c>
      <c r="C134" s="1" t="n">
        <v>46036</v>
      </c>
      <c r="D134" t="inlineStr">
        <is>
          <t>VÄSTRA GÖTALANDS LÄN</t>
        </is>
      </c>
      <c r="E134" t="inlineStr">
        <is>
          <t>ALE</t>
        </is>
      </c>
      <c r="G134" t="n">
        <v>4.3</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46036</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4363-2024</t>
        </is>
      </c>
      <c r="B136" s="1" t="n">
        <v>45325</v>
      </c>
      <c r="C136" s="1" t="n">
        <v>46036</v>
      </c>
      <c r="D136" t="inlineStr">
        <is>
          <t>VÄSTRA GÖTALANDS LÄN</t>
        </is>
      </c>
      <c r="E136" t="inlineStr">
        <is>
          <t>ALE</t>
        </is>
      </c>
      <c r="G136" t="n">
        <v>0.6</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46036</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59409-2025</t>
        </is>
      </c>
      <c r="B138" s="1" t="n">
        <v>45989.49545138889</v>
      </c>
      <c r="C138" s="1" t="n">
        <v>46036</v>
      </c>
      <c r="D138" t="inlineStr">
        <is>
          <t>VÄSTRA GÖTALANDS LÄN</t>
        </is>
      </c>
      <c r="E138" t="inlineStr">
        <is>
          <t>ALE</t>
        </is>
      </c>
      <c r="G138" t="n">
        <v>0.3</v>
      </c>
      <c r="H138" t="n">
        <v>0</v>
      </c>
      <c r="I138" t="n">
        <v>0</v>
      </c>
      <c r="J138" t="n">
        <v>0</v>
      </c>
      <c r="K138" t="n">
        <v>0</v>
      </c>
      <c r="L138" t="n">
        <v>0</v>
      </c>
      <c r="M138" t="n">
        <v>0</v>
      </c>
      <c r="N138" t="n">
        <v>0</v>
      </c>
      <c r="O138" t="n">
        <v>0</v>
      </c>
      <c r="P138" t="n">
        <v>0</v>
      </c>
      <c r="Q138" t="n">
        <v>0</v>
      </c>
      <c r="R138" s="2" t="inlineStr"/>
    </row>
    <row r="139" ht="15" customHeight="1">
      <c r="A139" t="inlineStr">
        <is>
          <t>A 1291-2026</t>
        </is>
      </c>
      <c r="B139" s="1" t="n">
        <v>46031.50569444444</v>
      </c>
      <c r="C139" s="1" t="n">
        <v>46036</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45988-2021</t>
        </is>
      </c>
      <c r="B140" s="1" t="n">
        <v>44441</v>
      </c>
      <c r="C140" s="1" t="n">
        <v>46036</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20067-2023</t>
        </is>
      </c>
      <c r="B141" s="1" t="n">
        <v>45054</v>
      </c>
      <c r="C141" s="1" t="n">
        <v>46036</v>
      </c>
      <c r="D141" t="inlineStr">
        <is>
          <t>VÄSTRA GÖTALANDS LÄN</t>
        </is>
      </c>
      <c r="E141" t="inlineStr">
        <is>
          <t>ALE</t>
        </is>
      </c>
      <c r="G141" t="n">
        <v>0.4</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46036</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41309-2024</t>
        </is>
      </c>
      <c r="B143" s="1" t="n">
        <v>45559</v>
      </c>
      <c r="C143" s="1" t="n">
        <v>46036</v>
      </c>
      <c r="D143" t="inlineStr">
        <is>
          <t>VÄSTRA GÖTALANDS LÄN</t>
        </is>
      </c>
      <c r="E143" t="inlineStr">
        <is>
          <t>ALE</t>
        </is>
      </c>
      <c r="G143" t="n">
        <v>8.4</v>
      </c>
      <c r="H143" t="n">
        <v>0</v>
      </c>
      <c r="I143" t="n">
        <v>0</v>
      </c>
      <c r="J143" t="n">
        <v>0</v>
      </c>
      <c r="K143" t="n">
        <v>0</v>
      </c>
      <c r="L143" t="n">
        <v>0</v>
      </c>
      <c r="M143" t="n">
        <v>0</v>
      </c>
      <c r="N143" t="n">
        <v>0</v>
      </c>
      <c r="O143" t="n">
        <v>0</v>
      </c>
      <c r="P143" t="n">
        <v>0</v>
      </c>
      <c r="Q143" t="n">
        <v>0</v>
      </c>
      <c r="R143" s="2" t="inlineStr"/>
    </row>
    <row r="144" ht="15" customHeight="1">
      <c r="A144" t="inlineStr">
        <is>
          <t>A 7807-2023</t>
        </is>
      </c>
      <c r="B144" s="1" t="n">
        <v>44973</v>
      </c>
      <c r="C144" s="1" t="n">
        <v>46036</v>
      </c>
      <c r="D144" t="inlineStr">
        <is>
          <t>VÄSTRA GÖTALANDS LÄN</t>
        </is>
      </c>
      <c r="E144" t="inlineStr">
        <is>
          <t>ALE</t>
        </is>
      </c>
      <c r="G144" t="n">
        <v>10.5</v>
      </c>
      <c r="H144" t="n">
        <v>0</v>
      </c>
      <c r="I144" t="n">
        <v>0</v>
      </c>
      <c r="J144" t="n">
        <v>0</v>
      </c>
      <c r="K144" t="n">
        <v>0</v>
      </c>
      <c r="L144" t="n">
        <v>0</v>
      </c>
      <c r="M144" t="n">
        <v>0</v>
      </c>
      <c r="N144" t="n">
        <v>0</v>
      </c>
      <c r="O144" t="n">
        <v>0</v>
      </c>
      <c r="P144" t="n">
        <v>0</v>
      </c>
      <c r="Q144" t="n">
        <v>0</v>
      </c>
      <c r="R144" s="2" t="inlineStr"/>
    </row>
    <row r="145" ht="15" customHeight="1">
      <c r="A145" t="inlineStr">
        <is>
          <t>A 3413-2023</t>
        </is>
      </c>
      <c r="B145" s="1" t="n">
        <v>44949</v>
      </c>
      <c r="C145" s="1" t="n">
        <v>46036</v>
      </c>
      <c r="D145" t="inlineStr">
        <is>
          <t>VÄSTRA GÖTALANDS LÄN</t>
        </is>
      </c>
      <c r="E145" t="inlineStr">
        <is>
          <t>ALE</t>
        </is>
      </c>
      <c r="G145" t="n">
        <v>2.3</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46036</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14493-2024</t>
        </is>
      </c>
      <c r="B147" s="1" t="n">
        <v>45394.58491898148</v>
      </c>
      <c r="C147" s="1" t="n">
        <v>46036</v>
      </c>
      <c r="D147" t="inlineStr">
        <is>
          <t>VÄSTRA GÖTALANDS LÄN</t>
        </is>
      </c>
      <c r="E147" t="inlineStr">
        <is>
          <t>ALE</t>
        </is>
      </c>
      <c r="G147" t="n">
        <v>2.3</v>
      </c>
      <c r="H147" t="n">
        <v>0</v>
      </c>
      <c r="I147" t="n">
        <v>0</v>
      </c>
      <c r="J147" t="n">
        <v>0</v>
      </c>
      <c r="K147" t="n">
        <v>0</v>
      </c>
      <c r="L147" t="n">
        <v>0</v>
      </c>
      <c r="M147" t="n">
        <v>0</v>
      </c>
      <c r="N147" t="n">
        <v>0</v>
      </c>
      <c r="O147" t="n">
        <v>0</v>
      </c>
      <c r="P147" t="n">
        <v>0</v>
      </c>
      <c r="Q147" t="n">
        <v>0</v>
      </c>
      <c r="R147" s="2" t="inlineStr"/>
    </row>
    <row r="148" ht="15" customHeight="1">
      <c r="A148" t="inlineStr">
        <is>
          <t>A 1500-2024</t>
        </is>
      </c>
      <c r="B148" s="1" t="n">
        <v>45306</v>
      </c>
      <c r="C148" s="1" t="n">
        <v>46036</v>
      </c>
      <c r="D148" t="inlineStr">
        <is>
          <t>VÄSTRA GÖTALANDS LÄN</t>
        </is>
      </c>
      <c r="E148" t="inlineStr">
        <is>
          <t>ALE</t>
        </is>
      </c>
      <c r="G148" t="n">
        <v>1.3</v>
      </c>
      <c r="H148" t="n">
        <v>0</v>
      </c>
      <c r="I148" t="n">
        <v>0</v>
      </c>
      <c r="J148" t="n">
        <v>0</v>
      </c>
      <c r="K148" t="n">
        <v>0</v>
      </c>
      <c r="L148" t="n">
        <v>0</v>
      </c>
      <c r="M148" t="n">
        <v>0</v>
      </c>
      <c r="N148" t="n">
        <v>0</v>
      </c>
      <c r="O148" t="n">
        <v>0</v>
      </c>
      <c r="P148" t="n">
        <v>0</v>
      </c>
      <c r="Q148" t="n">
        <v>0</v>
      </c>
      <c r="R148" s="2" t="inlineStr"/>
    </row>
    <row r="149" ht="15" customHeight="1">
      <c r="A149" t="inlineStr">
        <is>
          <t>A 1687-2024</t>
        </is>
      </c>
      <c r="B149" s="1" t="n">
        <v>45306</v>
      </c>
      <c r="C149" s="1" t="n">
        <v>46036</v>
      </c>
      <c r="D149" t="inlineStr">
        <is>
          <t>VÄSTRA GÖTALANDS LÄN</t>
        </is>
      </c>
      <c r="E149" t="inlineStr">
        <is>
          <t>ALE</t>
        </is>
      </c>
      <c r="G149" t="n">
        <v>3.4</v>
      </c>
      <c r="H149" t="n">
        <v>0</v>
      </c>
      <c r="I149" t="n">
        <v>0</v>
      </c>
      <c r="J149" t="n">
        <v>0</v>
      </c>
      <c r="K149" t="n">
        <v>0</v>
      </c>
      <c r="L149" t="n">
        <v>0</v>
      </c>
      <c r="M149" t="n">
        <v>0</v>
      </c>
      <c r="N149" t="n">
        <v>0</v>
      </c>
      <c r="O149" t="n">
        <v>0</v>
      </c>
      <c r="P149" t="n">
        <v>0</v>
      </c>
      <c r="Q149" t="n">
        <v>0</v>
      </c>
      <c r="R149" s="2" t="inlineStr"/>
    </row>
    <row r="150" ht="15" customHeight="1">
      <c r="A150" t="inlineStr">
        <is>
          <t>A 14458-2024</t>
        </is>
      </c>
      <c r="B150" s="1" t="n">
        <v>45394</v>
      </c>
      <c r="C150" s="1" t="n">
        <v>46036</v>
      </c>
      <c r="D150" t="inlineStr">
        <is>
          <t>VÄSTRA GÖTALANDS LÄN</t>
        </is>
      </c>
      <c r="E150" t="inlineStr">
        <is>
          <t>ALE</t>
        </is>
      </c>
      <c r="G150" t="n">
        <v>0.5</v>
      </c>
      <c r="H150" t="n">
        <v>0</v>
      </c>
      <c r="I150" t="n">
        <v>0</v>
      </c>
      <c r="J150" t="n">
        <v>0</v>
      </c>
      <c r="K150" t="n">
        <v>0</v>
      </c>
      <c r="L150" t="n">
        <v>0</v>
      </c>
      <c r="M150" t="n">
        <v>0</v>
      </c>
      <c r="N150" t="n">
        <v>0</v>
      </c>
      <c r="O150" t="n">
        <v>0</v>
      </c>
      <c r="P150" t="n">
        <v>0</v>
      </c>
      <c r="Q150" t="n">
        <v>0</v>
      </c>
      <c r="R150" s="2" t="inlineStr"/>
    </row>
    <row r="151" ht="15" customHeight="1">
      <c r="A151" t="inlineStr">
        <is>
          <t>A 42446-2023</t>
        </is>
      </c>
      <c r="B151" s="1" t="n">
        <v>45180</v>
      </c>
      <c r="C151" s="1" t="n">
        <v>46036</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33237-2024</t>
        </is>
      </c>
      <c r="B152" s="1" t="n">
        <v>45518.59173611111</v>
      </c>
      <c r="C152" s="1" t="n">
        <v>46036</v>
      </c>
      <c r="D152" t="inlineStr">
        <is>
          <t>VÄSTRA GÖTALANDS LÄN</t>
        </is>
      </c>
      <c r="E152" t="inlineStr">
        <is>
          <t>ALE</t>
        </is>
      </c>
      <c r="G152" t="n">
        <v>0.6</v>
      </c>
      <c r="H152" t="n">
        <v>0</v>
      </c>
      <c r="I152" t="n">
        <v>0</v>
      </c>
      <c r="J152" t="n">
        <v>0</v>
      </c>
      <c r="K152" t="n">
        <v>0</v>
      </c>
      <c r="L152" t="n">
        <v>0</v>
      </c>
      <c r="M152" t="n">
        <v>0</v>
      </c>
      <c r="N152" t="n">
        <v>0</v>
      </c>
      <c r="O152" t="n">
        <v>0</v>
      </c>
      <c r="P152" t="n">
        <v>0</v>
      </c>
      <c r="Q152" t="n">
        <v>0</v>
      </c>
      <c r="R152" s="2" t="inlineStr"/>
    </row>
    <row r="153" ht="15" customHeight="1">
      <c r="A153" t="inlineStr">
        <is>
          <t>A 12055-2022</t>
        </is>
      </c>
      <c r="B153" s="1" t="n">
        <v>44636</v>
      </c>
      <c r="C153" s="1" t="n">
        <v>46036</v>
      </c>
      <c r="D153" t="inlineStr">
        <is>
          <t>VÄSTRA GÖTALANDS LÄN</t>
        </is>
      </c>
      <c r="E153" t="inlineStr">
        <is>
          <t>ALE</t>
        </is>
      </c>
      <c r="G153" t="n">
        <v>0.2</v>
      </c>
      <c r="H153" t="n">
        <v>0</v>
      </c>
      <c r="I153" t="n">
        <v>0</v>
      </c>
      <c r="J153" t="n">
        <v>0</v>
      </c>
      <c r="K153" t="n">
        <v>0</v>
      </c>
      <c r="L153" t="n">
        <v>0</v>
      </c>
      <c r="M153" t="n">
        <v>0</v>
      </c>
      <c r="N153" t="n">
        <v>0</v>
      </c>
      <c r="O153" t="n">
        <v>0</v>
      </c>
      <c r="P153" t="n">
        <v>0</v>
      </c>
      <c r="Q153" t="n">
        <v>0</v>
      </c>
      <c r="R153" s="2" t="inlineStr"/>
    </row>
    <row r="154" ht="15" customHeight="1">
      <c r="A154" t="inlineStr">
        <is>
          <t>A 36763-2022</t>
        </is>
      </c>
      <c r="B154" s="1" t="n">
        <v>44805</v>
      </c>
      <c r="C154" s="1" t="n">
        <v>46036</v>
      </c>
      <c r="D154" t="inlineStr">
        <is>
          <t>VÄSTRA GÖTALANDS LÄN</t>
        </is>
      </c>
      <c r="E154" t="inlineStr">
        <is>
          <t>ALE</t>
        </is>
      </c>
      <c r="G154" t="n">
        <v>6.1</v>
      </c>
      <c r="H154" t="n">
        <v>0</v>
      </c>
      <c r="I154" t="n">
        <v>0</v>
      </c>
      <c r="J154" t="n">
        <v>0</v>
      </c>
      <c r="K154" t="n">
        <v>0</v>
      </c>
      <c r="L154" t="n">
        <v>0</v>
      </c>
      <c r="M154" t="n">
        <v>0</v>
      </c>
      <c r="N154" t="n">
        <v>0</v>
      </c>
      <c r="O154" t="n">
        <v>0</v>
      </c>
      <c r="P154" t="n">
        <v>0</v>
      </c>
      <c r="Q154" t="n">
        <v>0</v>
      </c>
      <c r="R154" s="2" t="inlineStr"/>
    </row>
    <row r="155" ht="15" customHeight="1">
      <c r="A155" t="inlineStr">
        <is>
          <t>A 3407-2023</t>
        </is>
      </c>
      <c r="B155" s="1" t="n">
        <v>44949.54909722223</v>
      </c>
      <c r="C155" s="1" t="n">
        <v>46036</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15241-2025</t>
        </is>
      </c>
      <c r="B156" s="1" t="n">
        <v>45744.61255787037</v>
      </c>
      <c r="C156" s="1" t="n">
        <v>46036</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49680-2024</t>
        </is>
      </c>
      <c r="B157" s="1" t="n">
        <v>45596.66880787037</v>
      </c>
      <c r="C157" s="1" t="n">
        <v>46036</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34153-2024</t>
        </is>
      </c>
      <c r="B158" s="1" t="n">
        <v>45524.38400462963</v>
      </c>
      <c r="C158" s="1" t="n">
        <v>46036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14731-2022</t>
        </is>
      </c>
      <c r="B159" s="1" t="n">
        <v>44656</v>
      </c>
      <c r="C159" s="1" t="n">
        <v>46036</v>
      </c>
      <c r="D159" t="inlineStr">
        <is>
          <t>VÄSTRA GÖTALANDS LÄN</t>
        </is>
      </c>
      <c r="E159" t="inlineStr">
        <is>
          <t>ALE</t>
        </is>
      </c>
      <c r="G159" t="n">
        <v>1.8</v>
      </c>
      <c r="H159" t="n">
        <v>0</v>
      </c>
      <c r="I159" t="n">
        <v>0</v>
      </c>
      <c r="J159" t="n">
        <v>0</v>
      </c>
      <c r="K159" t="n">
        <v>0</v>
      </c>
      <c r="L159" t="n">
        <v>0</v>
      </c>
      <c r="M159" t="n">
        <v>0</v>
      </c>
      <c r="N159" t="n">
        <v>0</v>
      </c>
      <c r="O159" t="n">
        <v>0</v>
      </c>
      <c r="P159" t="n">
        <v>0</v>
      </c>
      <c r="Q159" t="n">
        <v>0</v>
      </c>
      <c r="R159" s="2" t="inlineStr"/>
    </row>
    <row r="160" ht="15" customHeight="1">
      <c r="A160" t="inlineStr">
        <is>
          <t>A 41598-2022</t>
        </is>
      </c>
      <c r="B160" s="1" t="n">
        <v>44827.4609837963</v>
      </c>
      <c r="C160" s="1" t="n">
        <v>46036</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4642-2024</t>
        </is>
      </c>
      <c r="B161" s="1" t="n">
        <v>45328.43502314815</v>
      </c>
      <c r="C161" s="1" t="n">
        <v>46036</v>
      </c>
      <c r="D161" t="inlineStr">
        <is>
          <t>VÄSTRA GÖTALANDS LÄN</t>
        </is>
      </c>
      <c r="E161" t="inlineStr">
        <is>
          <t>ALE</t>
        </is>
      </c>
      <c r="G161" t="n">
        <v>7.1</v>
      </c>
      <c r="H161" t="n">
        <v>0</v>
      </c>
      <c r="I161" t="n">
        <v>0</v>
      </c>
      <c r="J161" t="n">
        <v>0</v>
      </c>
      <c r="K161" t="n">
        <v>0</v>
      </c>
      <c r="L161" t="n">
        <v>0</v>
      </c>
      <c r="M161" t="n">
        <v>0</v>
      </c>
      <c r="N161" t="n">
        <v>0</v>
      </c>
      <c r="O161" t="n">
        <v>0</v>
      </c>
      <c r="P161" t="n">
        <v>0</v>
      </c>
      <c r="Q161" t="n">
        <v>0</v>
      </c>
      <c r="R161" s="2" t="inlineStr"/>
    </row>
    <row r="162" ht="15" customHeight="1">
      <c r="A162" t="inlineStr">
        <is>
          <t>A 5916-2023</t>
        </is>
      </c>
      <c r="B162" s="1" t="n">
        <v>44963</v>
      </c>
      <c r="C162" s="1" t="n">
        <v>46036</v>
      </c>
      <c r="D162" t="inlineStr">
        <is>
          <t>VÄSTRA GÖTALANDS LÄN</t>
        </is>
      </c>
      <c r="E162" t="inlineStr">
        <is>
          <t>ALE</t>
        </is>
      </c>
      <c r="G162" t="n">
        <v>4.2</v>
      </c>
      <c r="H162" t="n">
        <v>0</v>
      </c>
      <c r="I162" t="n">
        <v>0</v>
      </c>
      <c r="J162" t="n">
        <v>0</v>
      </c>
      <c r="K162" t="n">
        <v>0</v>
      </c>
      <c r="L162" t="n">
        <v>0</v>
      </c>
      <c r="M162" t="n">
        <v>0</v>
      </c>
      <c r="N162" t="n">
        <v>0</v>
      </c>
      <c r="O162" t="n">
        <v>0</v>
      </c>
      <c r="P162" t="n">
        <v>0</v>
      </c>
      <c r="Q162" t="n">
        <v>0</v>
      </c>
      <c r="R162" s="2" t="inlineStr"/>
    </row>
    <row r="163" ht="15" customHeight="1">
      <c r="A163" t="inlineStr">
        <is>
          <t>A 3457-2022</t>
        </is>
      </c>
      <c r="B163" s="1" t="n">
        <v>44585</v>
      </c>
      <c r="C163" s="1" t="n">
        <v>46036</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8956-2025</t>
        </is>
      </c>
      <c r="B164" s="1" t="n">
        <v>45713.46825231481</v>
      </c>
      <c r="C164" s="1" t="n">
        <v>46036</v>
      </c>
      <c r="D164" t="inlineStr">
        <is>
          <t>VÄSTRA GÖTALANDS LÄN</t>
        </is>
      </c>
      <c r="E164" t="inlineStr">
        <is>
          <t>ALE</t>
        </is>
      </c>
      <c r="G164" t="n">
        <v>1</v>
      </c>
      <c r="H164" t="n">
        <v>0</v>
      </c>
      <c r="I164" t="n">
        <v>0</v>
      </c>
      <c r="J164" t="n">
        <v>0</v>
      </c>
      <c r="K164" t="n">
        <v>0</v>
      </c>
      <c r="L164" t="n">
        <v>0</v>
      </c>
      <c r="M164" t="n">
        <v>0</v>
      </c>
      <c r="N164" t="n">
        <v>0</v>
      </c>
      <c r="O164" t="n">
        <v>0</v>
      </c>
      <c r="P164" t="n">
        <v>0</v>
      </c>
      <c r="Q164" t="n">
        <v>0</v>
      </c>
      <c r="R164" s="2" t="inlineStr"/>
    </row>
    <row r="165" ht="15" customHeight="1">
      <c r="A165" t="inlineStr">
        <is>
          <t>A 50451-2024</t>
        </is>
      </c>
      <c r="B165" s="1" t="n">
        <v>45601.44248842593</v>
      </c>
      <c r="C165" s="1" t="n">
        <v>46036</v>
      </c>
      <c r="D165" t="inlineStr">
        <is>
          <t>VÄSTRA GÖTALANDS LÄN</t>
        </is>
      </c>
      <c r="E165" t="inlineStr">
        <is>
          <t>ALE</t>
        </is>
      </c>
      <c r="G165" t="n">
        <v>2.9</v>
      </c>
      <c r="H165" t="n">
        <v>0</v>
      </c>
      <c r="I165" t="n">
        <v>0</v>
      </c>
      <c r="J165" t="n">
        <v>0</v>
      </c>
      <c r="K165" t="n">
        <v>0</v>
      </c>
      <c r="L165" t="n">
        <v>0</v>
      </c>
      <c r="M165" t="n">
        <v>0</v>
      </c>
      <c r="N165" t="n">
        <v>0</v>
      </c>
      <c r="O165" t="n">
        <v>0</v>
      </c>
      <c r="P165" t="n">
        <v>0</v>
      </c>
      <c r="Q165" t="n">
        <v>0</v>
      </c>
      <c r="R165" s="2" t="inlineStr"/>
    </row>
    <row r="166" ht="15" customHeight="1">
      <c r="A166" t="inlineStr">
        <is>
          <t>A 4971-2024</t>
        </is>
      </c>
      <c r="B166" s="1" t="n">
        <v>45329</v>
      </c>
      <c r="C166" s="1" t="n">
        <v>46036</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22946-2025</t>
        </is>
      </c>
      <c r="B167" s="1" t="n">
        <v>45790.48229166667</v>
      </c>
      <c r="C167" s="1" t="n">
        <v>46036</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37461-2024</t>
        </is>
      </c>
      <c r="B168" s="1" t="n">
        <v>45540.72516203704</v>
      </c>
      <c r="C168" s="1" t="n">
        <v>46036</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25849-2025</t>
        </is>
      </c>
      <c r="B169" s="1" t="n">
        <v>45804</v>
      </c>
      <c r="C169" s="1" t="n">
        <v>46036</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25848-2025</t>
        </is>
      </c>
      <c r="B170" s="1" t="n">
        <v>45804</v>
      </c>
      <c r="C170" s="1" t="n">
        <v>46036</v>
      </c>
      <c r="D170" t="inlineStr">
        <is>
          <t>VÄSTRA GÖTALANDS LÄN</t>
        </is>
      </c>
      <c r="E170" t="inlineStr">
        <is>
          <t>ALE</t>
        </is>
      </c>
      <c r="G170" t="n">
        <v>1.1</v>
      </c>
      <c r="H170" t="n">
        <v>0</v>
      </c>
      <c r="I170" t="n">
        <v>0</v>
      </c>
      <c r="J170" t="n">
        <v>0</v>
      </c>
      <c r="K170" t="n">
        <v>0</v>
      </c>
      <c r="L170" t="n">
        <v>0</v>
      </c>
      <c r="M170" t="n">
        <v>0</v>
      </c>
      <c r="N170" t="n">
        <v>0</v>
      </c>
      <c r="O170" t="n">
        <v>0</v>
      </c>
      <c r="P170" t="n">
        <v>0</v>
      </c>
      <c r="Q170" t="n">
        <v>0</v>
      </c>
      <c r="R170" s="2" t="inlineStr"/>
    </row>
    <row r="171">
      <c r="A171" t="inlineStr">
        <is>
          <t>A 25840-2025</t>
        </is>
      </c>
      <c r="B171" s="1" t="n">
        <v>45804</v>
      </c>
      <c r="C171" s="1" t="n">
        <v>46036</v>
      </c>
      <c r="D171" t="inlineStr">
        <is>
          <t>VÄSTRA GÖTALANDS LÄN</t>
        </is>
      </c>
      <c r="E171" t="inlineStr">
        <is>
          <t>ALE</t>
        </is>
      </c>
      <c r="G171" t="n">
        <v>3.8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2026-01-14T10:56:14Z</dcterms:created>
  <dcterms:modified xmlns:dcterms="http://purl.org/dc/terms/" xmlns:xsi="http://www.w3.org/2001/XMLSchema-instance" xsi:type="dcterms:W3CDTF">2026-01-14T10:56:14Z</dcterms:modified>
</cp:coreProperties>
</file>