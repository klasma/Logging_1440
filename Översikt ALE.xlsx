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45965</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45965</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45965</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45965</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45965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45965</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43732-2025</t>
        </is>
      </c>
      <c r="B12" s="1" t="n">
        <v>45912.43576388889</v>
      </c>
      <c r="C12" s="1" t="n">
        <v>45965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32849-2023</t>
        </is>
      </c>
      <c r="B13" s="1" t="n">
        <v>45124</v>
      </c>
      <c r="C13" s="1" t="n">
        <v>45965</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45965</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45965</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45965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24162-2025</t>
        </is>
      </c>
      <c r="B17" s="1" t="n">
        <v>45796.66684027778</v>
      </c>
      <c r="C17" s="1" t="n">
        <v>45965</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45965</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51991-2025</t>
        </is>
      </c>
      <c r="B19" s="1" t="n">
        <v>45952.58069444444</v>
      </c>
      <c r="C19" s="1" t="n">
        <v>45965</v>
      </c>
      <c r="D19" t="inlineStr">
        <is>
          <t>VÄSTRA GÖTALANDS LÄN</t>
        </is>
      </c>
      <c r="E19" t="inlineStr">
        <is>
          <t>ALE</t>
        </is>
      </c>
      <c r="G19" t="n">
        <v>4.8</v>
      </c>
      <c r="H19" t="n">
        <v>2</v>
      </c>
      <c r="I19" t="n">
        <v>1</v>
      </c>
      <c r="J19" t="n">
        <v>3</v>
      </c>
      <c r="K19" t="n">
        <v>1</v>
      </c>
      <c r="L19" t="n">
        <v>0</v>
      </c>
      <c r="M19" t="n">
        <v>0</v>
      </c>
      <c r="N19" t="n">
        <v>0</v>
      </c>
      <c r="O19" t="n">
        <v>4</v>
      </c>
      <c r="P19" t="n">
        <v>1</v>
      </c>
      <c r="Q19" t="n">
        <v>5</v>
      </c>
      <c r="R19" s="2" t="inlineStr">
        <is>
          <t>Långskägg
Orange taggsvamp
Spillkråka
Stubbtrådmossa
Västlig hakmossa</t>
        </is>
      </c>
      <c r="S19">
        <f>HYPERLINK("https://klasma.github.io/Logging_1440/artfynd/A 51991-2025 artfynd.xlsx", "A 51991-2025")</f>
        <v/>
      </c>
      <c r="T19">
        <f>HYPERLINK("https://klasma.github.io/Logging_1440/kartor/A 51991-2025 karta.png", "A 51991-2025")</f>
        <v/>
      </c>
      <c r="V19">
        <f>HYPERLINK("https://klasma.github.io/Logging_1440/klagomål/A 51991-2025 FSC-klagomål.docx", "A 51991-2025")</f>
        <v/>
      </c>
      <c r="W19">
        <f>HYPERLINK("https://klasma.github.io/Logging_1440/klagomålsmail/A 51991-2025 FSC-klagomål mail.docx", "A 51991-2025")</f>
        <v/>
      </c>
      <c r="X19">
        <f>HYPERLINK("https://klasma.github.io/Logging_1440/tillsyn/A 51991-2025 tillsynsbegäran.docx", "A 51991-2025")</f>
        <v/>
      </c>
      <c r="Y19">
        <f>HYPERLINK("https://klasma.github.io/Logging_1440/tillsynsmail/A 51991-2025 tillsynsbegäran mail.docx", "A 51991-2025")</f>
        <v/>
      </c>
      <c r="Z19">
        <f>HYPERLINK("https://klasma.github.io/Logging_1440/fåglar/A 51991-2025 prioriterade fågelarter.docx", "A 51991-2025")</f>
        <v/>
      </c>
    </row>
    <row r="20" ht="15" customHeight="1">
      <c r="A20" t="inlineStr">
        <is>
          <t>A 26491-2024</t>
        </is>
      </c>
      <c r="B20" s="1" t="n">
        <v>45469</v>
      </c>
      <c r="C20" s="1" t="n">
        <v>45965</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19934-2025</t>
        </is>
      </c>
      <c r="B21" s="1" t="n">
        <v>45771</v>
      </c>
      <c r="C21" s="1" t="n">
        <v>45965</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46084-2025</t>
        </is>
      </c>
      <c r="B22" s="1" t="n">
        <v>45924.51282407407</v>
      </c>
      <c r="C22" s="1" t="n">
        <v>45965</v>
      </c>
      <c r="D22" t="inlineStr">
        <is>
          <t>VÄSTRA GÖTALANDS LÄN</t>
        </is>
      </c>
      <c r="E22" t="inlineStr">
        <is>
          <t>ALE</t>
        </is>
      </c>
      <c r="G22" t="n">
        <v>4.2</v>
      </c>
      <c r="H22" t="n">
        <v>2</v>
      </c>
      <c r="I22" t="n">
        <v>2</v>
      </c>
      <c r="J22" t="n">
        <v>1</v>
      </c>
      <c r="K22" t="n">
        <v>0</v>
      </c>
      <c r="L22" t="n">
        <v>0</v>
      </c>
      <c r="M22" t="n">
        <v>0</v>
      </c>
      <c r="N22" t="n">
        <v>0</v>
      </c>
      <c r="O22" t="n">
        <v>1</v>
      </c>
      <c r="P22" t="n">
        <v>0</v>
      </c>
      <c r="Q22" t="n">
        <v>4</v>
      </c>
      <c r="R22" s="2" t="inlineStr">
        <is>
          <t>Talltita
Havstulpanlav
Stor revmossa
Kungsfågel</t>
        </is>
      </c>
      <c r="S22">
        <f>HYPERLINK("https://klasma.github.io/Logging_1440/artfynd/A 46084-2025 artfynd.xlsx", "A 46084-2025")</f>
        <v/>
      </c>
      <c r="T22">
        <f>HYPERLINK("https://klasma.github.io/Logging_1440/kartor/A 46084-2025 karta.png", "A 46084-2025")</f>
        <v/>
      </c>
      <c r="V22">
        <f>HYPERLINK("https://klasma.github.io/Logging_1440/klagomål/A 46084-2025 FSC-klagomål.docx", "A 46084-2025")</f>
        <v/>
      </c>
      <c r="W22">
        <f>HYPERLINK("https://klasma.github.io/Logging_1440/klagomålsmail/A 46084-2025 FSC-klagomål mail.docx", "A 46084-2025")</f>
        <v/>
      </c>
      <c r="X22">
        <f>HYPERLINK("https://klasma.github.io/Logging_1440/tillsyn/A 46084-2025 tillsynsbegäran.docx", "A 46084-2025")</f>
        <v/>
      </c>
      <c r="Y22">
        <f>HYPERLINK("https://klasma.github.io/Logging_1440/tillsynsmail/A 46084-2025 tillsynsbegäran mail.docx", "A 46084-2025")</f>
        <v/>
      </c>
      <c r="Z22">
        <f>HYPERLINK("https://klasma.github.io/Logging_1440/fåglar/A 46084-2025 prioriterade fågelarter.docx", "A 46084-2025")</f>
        <v/>
      </c>
    </row>
    <row r="23" ht="15" customHeight="1">
      <c r="A23" t="inlineStr">
        <is>
          <t>A 7903-2024</t>
        </is>
      </c>
      <c r="B23" s="1" t="n">
        <v>45350</v>
      </c>
      <c r="C23" s="1" t="n">
        <v>45965</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45965</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45965</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45965</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45965</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45965</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2270-2025</t>
        </is>
      </c>
      <c r="B29" s="1" t="n">
        <v>45673.54403935185</v>
      </c>
      <c r="C29" s="1" t="n">
        <v>45965</v>
      </c>
      <c r="D29" t="inlineStr">
        <is>
          <t>VÄSTRA GÖTALANDS LÄN</t>
        </is>
      </c>
      <c r="E29" t="inlineStr">
        <is>
          <t>ALE</t>
        </is>
      </c>
      <c r="G29" t="n">
        <v>4.1</v>
      </c>
      <c r="H29" t="n">
        <v>2</v>
      </c>
      <c r="I29" t="n">
        <v>0</v>
      </c>
      <c r="J29" t="n">
        <v>1</v>
      </c>
      <c r="K29" t="n">
        <v>0</v>
      </c>
      <c r="L29" t="n">
        <v>0</v>
      </c>
      <c r="M29" t="n">
        <v>0</v>
      </c>
      <c r="N29" t="n">
        <v>0</v>
      </c>
      <c r="O29" t="n">
        <v>1</v>
      </c>
      <c r="P29" t="n">
        <v>0</v>
      </c>
      <c r="Q29" t="n">
        <v>2</v>
      </c>
      <c r="R29" s="2" t="inlineStr">
        <is>
          <t>Spillkråka
Revlummer</t>
        </is>
      </c>
      <c r="S29">
        <f>HYPERLINK("https://klasma.github.io/Logging_1440/artfynd/A 2270-2025 artfynd.xlsx", "A 2270-2025")</f>
        <v/>
      </c>
      <c r="T29">
        <f>HYPERLINK("https://klasma.github.io/Logging_1440/kartor/A 2270-2025 karta.png", "A 2270-2025")</f>
        <v/>
      </c>
      <c r="V29">
        <f>HYPERLINK("https://klasma.github.io/Logging_1440/klagomål/A 2270-2025 FSC-klagomål.docx", "A 2270-2025")</f>
        <v/>
      </c>
      <c r="W29">
        <f>HYPERLINK("https://klasma.github.io/Logging_1440/klagomålsmail/A 2270-2025 FSC-klagomål mail.docx", "A 2270-2025")</f>
        <v/>
      </c>
      <c r="X29">
        <f>HYPERLINK("https://klasma.github.io/Logging_1440/tillsyn/A 2270-2025 tillsynsbegäran.docx", "A 2270-2025")</f>
        <v/>
      </c>
      <c r="Y29">
        <f>HYPERLINK("https://klasma.github.io/Logging_1440/tillsynsmail/A 2270-2025 tillsynsbegäran mail.docx", "A 2270-2025")</f>
        <v/>
      </c>
      <c r="Z29">
        <f>HYPERLINK("https://klasma.github.io/Logging_1440/fåglar/A 2270-2025 prioriterade fågelarter.docx", "A 2270-2025")</f>
        <v/>
      </c>
    </row>
    <row r="30" ht="15" customHeight="1">
      <c r="A30" t="inlineStr">
        <is>
          <t>A 1503-2024</t>
        </is>
      </c>
      <c r="B30" s="1" t="n">
        <v>45306.35041666667</v>
      </c>
      <c r="C30" s="1" t="n">
        <v>45965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13380-2025</t>
        </is>
      </c>
      <c r="B31" s="1" t="n">
        <v>45735.6765162037</v>
      </c>
      <c r="C31" s="1" t="n">
        <v>45965</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40931-2025</t>
        </is>
      </c>
      <c r="B32" s="1" t="n">
        <v>45897.64783564815</v>
      </c>
      <c r="C32" s="1" t="n">
        <v>45965</v>
      </c>
      <c r="D32" t="inlineStr">
        <is>
          <t>VÄSTRA GÖTALANDS LÄN</t>
        </is>
      </c>
      <c r="E32" t="inlineStr">
        <is>
          <t>ALE</t>
        </is>
      </c>
      <c r="G32" t="n">
        <v>4.3</v>
      </c>
      <c r="H32" t="n">
        <v>1</v>
      </c>
      <c r="I32" t="n">
        <v>1</v>
      </c>
      <c r="J32" t="n">
        <v>1</v>
      </c>
      <c r="K32" t="n">
        <v>0</v>
      </c>
      <c r="L32" t="n">
        <v>0</v>
      </c>
      <c r="M32" t="n">
        <v>0</v>
      </c>
      <c r="N32" t="n">
        <v>0</v>
      </c>
      <c r="O32" t="n">
        <v>1</v>
      </c>
      <c r="P32" t="n">
        <v>0</v>
      </c>
      <c r="Q32" t="n">
        <v>2</v>
      </c>
      <c r="R32" s="2" t="inlineStr">
        <is>
          <t>Spillkråka
Blåmossa</t>
        </is>
      </c>
      <c r="S32">
        <f>HYPERLINK("https://klasma.github.io/Logging_1440/artfynd/A 40931-2025 artfynd.xlsx", "A 40931-2025")</f>
        <v/>
      </c>
      <c r="T32">
        <f>HYPERLINK("https://klasma.github.io/Logging_1440/kartor/A 40931-2025 karta.png", "A 40931-2025")</f>
        <v/>
      </c>
      <c r="V32">
        <f>HYPERLINK("https://klasma.github.io/Logging_1440/klagomål/A 40931-2025 FSC-klagomål.docx", "A 40931-2025")</f>
        <v/>
      </c>
      <c r="W32">
        <f>HYPERLINK("https://klasma.github.io/Logging_1440/klagomålsmail/A 40931-2025 FSC-klagomål mail.docx", "A 40931-2025")</f>
        <v/>
      </c>
      <c r="X32">
        <f>HYPERLINK("https://klasma.github.io/Logging_1440/tillsyn/A 40931-2025 tillsynsbegäran.docx", "A 40931-2025")</f>
        <v/>
      </c>
      <c r="Y32">
        <f>HYPERLINK("https://klasma.github.io/Logging_1440/tillsynsmail/A 40931-2025 tillsynsbegäran mail.docx", "A 40931-2025")</f>
        <v/>
      </c>
      <c r="Z32">
        <f>HYPERLINK("https://klasma.github.io/Logging_1440/fåglar/A 40931-2025 prioriterade fågelarter.docx", "A 40931-2025")</f>
        <v/>
      </c>
    </row>
    <row r="33" ht="15" customHeight="1">
      <c r="A33" t="inlineStr">
        <is>
          <t>A 16534-2025</t>
        </is>
      </c>
      <c r="B33" s="1" t="n">
        <v>45751.65315972222</v>
      </c>
      <c r="C33" s="1" t="n">
        <v>45965</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45965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45965</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45965</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45965</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26677-2025</t>
        </is>
      </c>
      <c r="B38" s="1" t="n">
        <v>45810.42446759259</v>
      </c>
      <c r="C38" s="1" t="n">
        <v>45965</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13902-2025</t>
        </is>
      </c>
      <c r="B39" s="1" t="n">
        <v>45737.63446759259</v>
      </c>
      <c r="C39" s="1" t="n">
        <v>45965</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45965</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45965</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45965</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45965</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45965</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45965</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45965</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45965</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45965</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45965</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45965</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45965</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45965</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45965</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45965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45965</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45965</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45965</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65222-2021</t>
        </is>
      </c>
      <c r="B59" s="1" t="n">
        <v>44515</v>
      </c>
      <c r="C59" s="1" t="n">
        <v>45965</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22138-2021</t>
        </is>
      </c>
      <c r="B60" s="1" t="n">
        <v>44324.67472222223</v>
      </c>
      <c r="C60" s="1" t="n">
        <v>45965</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46391-2021</t>
        </is>
      </c>
      <c r="B61" s="1" t="n">
        <v>44443</v>
      </c>
      <c r="C61" s="1" t="n">
        <v>45965</v>
      </c>
      <c r="D61" t="inlineStr">
        <is>
          <t>VÄSTRA GÖTALANDS LÄN</t>
        </is>
      </c>
      <c r="E61" t="inlineStr">
        <is>
          <t>ALE</t>
        </is>
      </c>
      <c r="G61" t="n">
        <v>1.3</v>
      </c>
      <c r="H61" t="n">
        <v>0</v>
      </c>
      <c r="I61" t="n">
        <v>0</v>
      </c>
      <c r="J61" t="n">
        <v>0</v>
      </c>
      <c r="K61" t="n">
        <v>0</v>
      </c>
      <c r="L61" t="n">
        <v>0</v>
      </c>
      <c r="M61" t="n">
        <v>0</v>
      </c>
      <c r="N61" t="n">
        <v>0</v>
      </c>
      <c r="O61" t="n">
        <v>0</v>
      </c>
      <c r="P61" t="n">
        <v>0</v>
      </c>
      <c r="Q61" t="n">
        <v>0</v>
      </c>
      <c r="R61" s="2" t="inlineStr"/>
    </row>
    <row r="62" ht="15" customHeight="1">
      <c r="A62" t="inlineStr">
        <is>
          <t>A 45986-2021</t>
        </is>
      </c>
      <c r="B62" s="1" t="n">
        <v>44441</v>
      </c>
      <c r="C62" s="1" t="n">
        <v>45965</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35148-2021</t>
        </is>
      </c>
      <c r="B63" s="1" t="n">
        <v>44384</v>
      </c>
      <c r="C63" s="1" t="n">
        <v>45965</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45965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66893-2021</t>
        </is>
      </c>
      <c r="B65" s="1" t="n">
        <v>44522.49439814815</v>
      </c>
      <c r="C65" s="1" t="n">
        <v>45965</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20285-2022</t>
        </is>
      </c>
      <c r="B66" s="1" t="n">
        <v>44698.76347222222</v>
      </c>
      <c r="C66" s="1" t="n">
        <v>45965</v>
      </c>
      <c r="D66" t="inlineStr">
        <is>
          <t>VÄSTRA GÖTALANDS LÄN</t>
        </is>
      </c>
      <c r="E66" t="inlineStr">
        <is>
          <t>ALE</t>
        </is>
      </c>
      <c r="G66" t="n">
        <v>1.8</v>
      </c>
      <c r="H66" t="n">
        <v>0</v>
      </c>
      <c r="I66" t="n">
        <v>0</v>
      </c>
      <c r="J66" t="n">
        <v>0</v>
      </c>
      <c r="K66" t="n">
        <v>0</v>
      </c>
      <c r="L66" t="n">
        <v>0</v>
      </c>
      <c r="M66" t="n">
        <v>0</v>
      </c>
      <c r="N66" t="n">
        <v>0</v>
      </c>
      <c r="O66" t="n">
        <v>0</v>
      </c>
      <c r="P66" t="n">
        <v>0</v>
      </c>
      <c r="Q66" t="n">
        <v>0</v>
      </c>
      <c r="R66" s="2" t="inlineStr"/>
    </row>
    <row r="67" ht="15" customHeight="1">
      <c r="A67" t="inlineStr">
        <is>
          <t>A 53476-2023</t>
        </is>
      </c>
      <c r="B67" s="1" t="n">
        <v>45230.33737268519</v>
      </c>
      <c r="C67" s="1" t="n">
        <v>45965</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3457-2022</t>
        </is>
      </c>
      <c r="B68" s="1" t="n">
        <v>44585</v>
      </c>
      <c r="C68" s="1" t="n">
        <v>45965</v>
      </c>
      <c r="D68" t="inlineStr">
        <is>
          <t>VÄSTRA GÖTALANDS LÄN</t>
        </is>
      </c>
      <c r="E68" t="inlineStr">
        <is>
          <t>ALE</t>
        </is>
      </c>
      <c r="G68" t="n">
        <v>5.1</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45965</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41607-2022</t>
        </is>
      </c>
      <c r="B70" s="1" t="n">
        <v>44827.46658564815</v>
      </c>
      <c r="C70" s="1" t="n">
        <v>45965</v>
      </c>
      <c r="D70" t="inlineStr">
        <is>
          <t>VÄSTRA GÖTALANDS LÄN</t>
        </is>
      </c>
      <c r="E70" t="inlineStr">
        <is>
          <t>ALE</t>
        </is>
      </c>
      <c r="G70" t="n">
        <v>3.6</v>
      </c>
      <c r="H70" t="n">
        <v>0</v>
      </c>
      <c r="I70" t="n">
        <v>0</v>
      </c>
      <c r="J70" t="n">
        <v>0</v>
      </c>
      <c r="K70" t="n">
        <v>0</v>
      </c>
      <c r="L70" t="n">
        <v>0</v>
      </c>
      <c r="M70" t="n">
        <v>0</v>
      </c>
      <c r="N70" t="n">
        <v>0</v>
      </c>
      <c r="O70" t="n">
        <v>0</v>
      </c>
      <c r="P70" t="n">
        <v>0</v>
      </c>
      <c r="Q70" t="n">
        <v>0</v>
      </c>
      <c r="R70" s="2" t="inlineStr"/>
    </row>
    <row r="71" ht="15" customHeight="1">
      <c r="A71" t="inlineStr">
        <is>
          <t>A 5916-2023</t>
        </is>
      </c>
      <c r="B71" s="1" t="n">
        <v>44963</v>
      </c>
      <c r="C71" s="1" t="n">
        <v>45965</v>
      </c>
      <c r="D71" t="inlineStr">
        <is>
          <t>VÄSTRA GÖTALANDS LÄN</t>
        </is>
      </c>
      <c r="E71" t="inlineStr">
        <is>
          <t>ALE</t>
        </is>
      </c>
      <c r="G71" t="n">
        <v>4.2</v>
      </c>
      <c r="H71" t="n">
        <v>0</v>
      </c>
      <c r="I71" t="n">
        <v>0</v>
      </c>
      <c r="J71" t="n">
        <v>0</v>
      </c>
      <c r="K71" t="n">
        <v>0</v>
      </c>
      <c r="L71" t="n">
        <v>0</v>
      </c>
      <c r="M71" t="n">
        <v>0</v>
      </c>
      <c r="N71" t="n">
        <v>0</v>
      </c>
      <c r="O71" t="n">
        <v>0</v>
      </c>
      <c r="P71" t="n">
        <v>0</v>
      </c>
      <c r="Q71" t="n">
        <v>0</v>
      </c>
      <c r="R71" s="2" t="inlineStr"/>
    </row>
    <row r="72" ht="15" customHeight="1">
      <c r="A72" t="inlineStr">
        <is>
          <t>A 26157-2023</t>
        </is>
      </c>
      <c r="B72" s="1" t="n">
        <v>45091.50479166667</v>
      </c>
      <c r="C72" s="1" t="n">
        <v>45965</v>
      </c>
      <c r="D72" t="inlineStr">
        <is>
          <t>VÄSTRA GÖTALANDS LÄN</t>
        </is>
      </c>
      <c r="E72" t="inlineStr">
        <is>
          <t>ALE</t>
        </is>
      </c>
      <c r="G72" t="n">
        <v>2.6</v>
      </c>
      <c r="H72" t="n">
        <v>0</v>
      </c>
      <c r="I72" t="n">
        <v>0</v>
      </c>
      <c r="J72" t="n">
        <v>0</v>
      </c>
      <c r="K72" t="n">
        <v>0</v>
      </c>
      <c r="L72" t="n">
        <v>0</v>
      </c>
      <c r="M72" t="n">
        <v>0</v>
      </c>
      <c r="N72" t="n">
        <v>0</v>
      </c>
      <c r="O72" t="n">
        <v>0</v>
      </c>
      <c r="P72" t="n">
        <v>0</v>
      </c>
      <c r="Q72" t="n">
        <v>0</v>
      </c>
      <c r="R72" s="2" t="inlineStr"/>
    </row>
    <row r="73" ht="15" customHeight="1">
      <c r="A73" t="inlineStr">
        <is>
          <t>A 34104-2024</t>
        </is>
      </c>
      <c r="B73" s="1" t="n">
        <v>45523.79202546296</v>
      </c>
      <c r="C73" s="1" t="n">
        <v>45965</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48257-2022</t>
        </is>
      </c>
      <c r="B74" s="1" t="n">
        <v>44858.47591435185</v>
      </c>
      <c r="C74" s="1" t="n">
        <v>45965</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14493-2024</t>
        </is>
      </c>
      <c r="B75" s="1" t="n">
        <v>45394.58491898148</v>
      </c>
      <c r="C75" s="1" t="n">
        <v>45965</v>
      </c>
      <c r="D75" t="inlineStr">
        <is>
          <t>VÄSTRA GÖTALANDS LÄN</t>
        </is>
      </c>
      <c r="E75" t="inlineStr">
        <is>
          <t>ALE</t>
        </is>
      </c>
      <c r="G75" t="n">
        <v>2.3</v>
      </c>
      <c r="H75" t="n">
        <v>0</v>
      </c>
      <c r="I75" t="n">
        <v>0</v>
      </c>
      <c r="J75" t="n">
        <v>0</v>
      </c>
      <c r="K75" t="n">
        <v>0</v>
      </c>
      <c r="L75" t="n">
        <v>0</v>
      </c>
      <c r="M75" t="n">
        <v>0</v>
      </c>
      <c r="N75" t="n">
        <v>0</v>
      </c>
      <c r="O75" t="n">
        <v>0</v>
      </c>
      <c r="P75" t="n">
        <v>0</v>
      </c>
      <c r="Q75" t="n">
        <v>0</v>
      </c>
      <c r="R75" s="2" t="inlineStr"/>
    </row>
    <row r="76" ht="15" customHeight="1">
      <c r="A76" t="inlineStr">
        <is>
          <t>A 18999-2021</t>
        </is>
      </c>
      <c r="B76" s="1" t="n">
        <v>44308</v>
      </c>
      <c r="C76" s="1" t="n">
        <v>45965</v>
      </c>
      <c r="D76" t="inlineStr">
        <is>
          <t>VÄSTRA GÖTALANDS LÄN</t>
        </is>
      </c>
      <c r="E76" t="inlineStr">
        <is>
          <t>ALE</t>
        </is>
      </c>
      <c r="G76" t="n">
        <v>3.7</v>
      </c>
      <c r="H76" t="n">
        <v>0</v>
      </c>
      <c r="I76" t="n">
        <v>0</v>
      </c>
      <c r="J76" t="n">
        <v>0</v>
      </c>
      <c r="K76" t="n">
        <v>0</v>
      </c>
      <c r="L76" t="n">
        <v>0</v>
      </c>
      <c r="M76" t="n">
        <v>0</v>
      </c>
      <c r="N76" t="n">
        <v>0</v>
      </c>
      <c r="O76" t="n">
        <v>0</v>
      </c>
      <c r="P76" t="n">
        <v>0</v>
      </c>
      <c r="Q76" t="n">
        <v>0</v>
      </c>
      <c r="R76" s="2" t="inlineStr"/>
    </row>
    <row r="77" ht="15" customHeight="1">
      <c r="A77" t="inlineStr">
        <is>
          <t>A 36763-2022</t>
        </is>
      </c>
      <c r="B77" s="1" t="n">
        <v>44805</v>
      </c>
      <c r="C77" s="1" t="n">
        <v>45965</v>
      </c>
      <c r="D77" t="inlineStr">
        <is>
          <t>VÄSTRA GÖTALANDS LÄN</t>
        </is>
      </c>
      <c r="E77" t="inlineStr">
        <is>
          <t>ALE</t>
        </is>
      </c>
      <c r="G77" t="n">
        <v>6.1</v>
      </c>
      <c r="H77" t="n">
        <v>0</v>
      </c>
      <c r="I77" t="n">
        <v>0</v>
      </c>
      <c r="J77" t="n">
        <v>0</v>
      </c>
      <c r="K77" t="n">
        <v>0</v>
      </c>
      <c r="L77" t="n">
        <v>0</v>
      </c>
      <c r="M77" t="n">
        <v>0</v>
      </c>
      <c r="N77" t="n">
        <v>0</v>
      </c>
      <c r="O77" t="n">
        <v>0</v>
      </c>
      <c r="P77" t="n">
        <v>0</v>
      </c>
      <c r="Q77" t="n">
        <v>0</v>
      </c>
      <c r="R77" s="2" t="inlineStr"/>
    </row>
    <row r="78" ht="15" customHeight="1">
      <c r="A78" t="inlineStr">
        <is>
          <t>A 1687-2024</t>
        </is>
      </c>
      <c r="B78" s="1" t="n">
        <v>45306</v>
      </c>
      <c r="C78" s="1" t="n">
        <v>45965</v>
      </c>
      <c r="D78" t="inlineStr">
        <is>
          <t>VÄSTRA GÖTALANDS LÄN</t>
        </is>
      </c>
      <c r="E78" t="inlineStr">
        <is>
          <t>ALE</t>
        </is>
      </c>
      <c r="G78" t="n">
        <v>3.4</v>
      </c>
      <c r="H78" t="n">
        <v>0</v>
      </c>
      <c r="I78" t="n">
        <v>0</v>
      </c>
      <c r="J78" t="n">
        <v>0</v>
      </c>
      <c r="K78" t="n">
        <v>0</v>
      </c>
      <c r="L78" t="n">
        <v>0</v>
      </c>
      <c r="M78" t="n">
        <v>0</v>
      </c>
      <c r="N78" t="n">
        <v>0</v>
      </c>
      <c r="O78" t="n">
        <v>0</v>
      </c>
      <c r="P78" t="n">
        <v>0</v>
      </c>
      <c r="Q78" t="n">
        <v>0</v>
      </c>
      <c r="R78" s="2" t="inlineStr"/>
    </row>
    <row r="79" ht="15" customHeight="1">
      <c r="A79" t="inlineStr">
        <is>
          <t>A 50451-2024</t>
        </is>
      </c>
      <c r="B79" s="1" t="n">
        <v>45601.44248842593</v>
      </c>
      <c r="C79" s="1" t="n">
        <v>45965</v>
      </c>
      <c r="D79" t="inlineStr">
        <is>
          <t>VÄSTRA GÖTALANDS LÄN</t>
        </is>
      </c>
      <c r="E79" t="inlineStr">
        <is>
          <t>ALE</t>
        </is>
      </c>
      <c r="G79" t="n">
        <v>2.9</v>
      </c>
      <c r="H79" t="n">
        <v>0</v>
      </c>
      <c r="I79" t="n">
        <v>0</v>
      </c>
      <c r="J79" t="n">
        <v>0</v>
      </c>
      <c r="K79" t="n">
        <v>0</v>
      </c>
      <c r="L79" t="n">
        <v>0</v>
      </c>
      <c r="M79" t="n">
        <v>0</v>
      </c>
      <c r="N79" t="n">
        <v>0</v>
      </c>
      <c r="O79" t="n">
        <v>0</v>
      </c>
      <c r="P79" t="n">
        <v>0</v>
      </c>
      <c r="Q79" t="n">
        <v>0</v>
      </c>
      <c r="R79" s="2" t="inlineStr"/>
    </row>
    <row r="80" ht="15" customHeight="1">
      <c r="A80" t="inlineStr">
        <is>
          <t>A 49680-2024</t>
        </is>
      </c>
      <c r="B80" s="1" t="n">
        <v>45596.66880787037</v>
      </c>
      <c r="C80" s="1" t="n">
        <v>45965</v>
      </c>
      <c r="D80" t="inlineStr">
        <is>
          <t>VÄSTRA GÖTALANDS LÄN</t>
        </is>
      </c>
      <c r="E80" t="inlineStr">
        <is>
          <t>ALE</t>
        </is>
      </c>
      <c r="G80" t="n">
        <v>3.7</v>
      </c>
      <c r="H80" t="n">
        <v>0</v>
      </c>
      <c r="I80" t="n">
        <v>0</v>
      </c>
      <c r="J80" t="n">
        <v>0</v>
      </c>
      <c r="K80" t="n">
        <v>0</v>
      </c>
      <c r="L80" t="n">
        <v>0</v>
      </c>
      <c r="M80" t="n">
        <v>0</v>
      </c>
      <c r="N80" t="n">
        <v>0</v>
      </c>
      <c r="O80" t="n">
        <v>0</v>
      </c>
      <c r="P80" t="n">
        <v>0</v>
      </c>
      <c r="Q80" t="n">
        <v>0</v>
      </c>
      <c r="R80" s="2" t="inlineStr"/>
    </row>
    <row r="81" ht="15" customHeight="1">
      <c r="A81" t="inlineStr">
        <is>
          <t>A 56493-2021</t>
        </is>
      </c>
      <c r="B81" s="1" t="n">
        <v>44480.57173611111</v>
      </c>
      <c r="C81" s="1" t="n">
        <v>45965</v>
      </c>
      <c r="D81" t="inlineStr">
        <is>
          <t>VÄSTRA GÖTALANDS LÄN</t>
        </is>
      </c>
      <c r="E81" t="inlineStr">
        <is>
          <t>ALE</t>
        </is>
      </c>
      <c r="G81" t="n">
        <v>1.7</v>
      </c>
      <c r="H81" t="n">
        <v>0</v>
      </c>
      <c r="I81" t="n">
        <v>0</v>
      </c>
      <c r="J81" t="n">
        <v>0</v>
      </c>
      <c r="K81" t="n">
        <v>0</v>
      </c>
      <c r="L81" t="n">
        <v>0</v>
      </c>
      <c r="M81" t="n">
        <v>0</v>
      </c>
      <c r="N81" t="n">
        <v>0</v>
      </c>
      <c r="O81" t="n">
        <v>0</v>
      </c>
      <c r="P81" t="n">
        <v>0</v>
      </c>
      <c r="Q81" t="n">
        <v>0</v>
      </c>
      <c r="R81" s="2" t="inlineStr"/>
    </row>
    <row r="82" ht="15" customHeight="1">
      <c r="A82" t="inlineStr">
        <is>
          <t>A 45988-2021</t>
        </is>
      </c>
      <c r="B82" s="1" t="n">
        <v>44441</v>
      </c>
      <c r="C82" s="1" t="n">
        <v>45965</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12445-2022</t>
        </is>
      </c>
      <c r="B83" s="1" t="n">
        <v>44638</v>
      </c>
      <c r="C83" s="1" t="n">
        <v>45965</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4363-2024</t>
        </is>
      </c>
      <c r="B84" s="1" t="n">
        <v>45325</v>
      </c>
      <c r="C84" s="1" t="n">
        <v>45965</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45965</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5875-2023</t>
        </is>
      </c>
      <c r="B86" s="1" t="n">
        <v>44963</v>
      </c>
      <c r="C86" s="1" t="n">
        <v>45965</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3407-2023</t>
        </is>
      </c>
      <c r="B87" s="1" t="n">
        <v>44949.54909722223</v>
      </c>
      <c r="C87" s="1" t="n">
        <v>45965</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16601-2025</t>
        </is>
      </c>
      <c r="B88" s="1" t="n">
        <v>45753.53189814815</v>
      </c>
      <c r="C88" s="1" t="n">
        <v>45965</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20067-2023</t>
        </is>
      </c>
      <c r="B89" s="1" t="n">
        <v>45054</v>
      </c>
      <c r="C89" s="1" t="n">
        <v>45965</v>
      </c>
      <c r="D89" t="inlineStr">
        <is>
          <t>VÄSTRA GÖTALANDS LÄN</t>
        </is>
      </c>
      <c r="E89" t="inlineStr">
        <is>
          <t>ALE</t>
        </is>
      </c>
      <c r="G89" t="n">
        <v>0.4</v>
      </c>
      <c r="H89" t="n">
        <v>0</v>
      </c>
      <c r="I89" t="n">
        <v>0</v>
      </c>
      <c r="J89" t="n">
        <v>0</v>
      </c>
      <c r="K89" t="n">
        <v>0</v>
      </c>
      <c r="L89" t="n">
        <v>0</v>
      </c>
      <c r="M89" t="n">
        <v>0</v>
      </c>
      <c r="N89" t="n">
        <v>0</v>
      </c>
      <c r="O89" t="n">
        <v>0</v>
      </c>
      <c r="P89" t="n">
        <v>0</v>
      </c>
      <c r="Q89" t="n">
        <v>0</v>
      </c>
      <c r="R89" s="2" t="inlineStr"/>
    </row>
    <row r="90" ht="15" customHeight="1">
      <c r="A90" t="inlineStr">
        <is>
          <t>A 51564-2023</t>
        </is>
      </c>
      <c r="B90" s="1" t="n">
        <v>45222</v>
      </c>
      <c r="C90" s="1" t="n">
        <v>45965</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57473-2022</t>
        </is>
      </c>
      <c r="B91" s="1" t="n">
        <v>44896</v>
      </c>
      <c r="C91" s="1" t="n">
        <v>45965</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1500-2024</t>
        </is>
      </c>
      <c r="B92" s="1" t="n">
        <v>45306</v>
      </c>
      <c r="C92" s="1" t="n">
        <v>45965</v>
      </c>
      <c r="D92" t="inlineStr">
        <is>
          <t>VÄSTRA GÖTALANDS LÄN</t>
        </is>
      </c>
      <c r="E92" t="inlineStr">
        <is>
          <t>ALE</t>
        </is>
      </c>
      <c r="G92" t="n">
        <v>1.3</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45965</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7807-2023</t>
        </is>
      </c>
      <c r="B94" s="1" t="n">
        <v>44973</v>
      </c>
      <c r="C94" s="1" t="n">
        <v>45965</v>
      </c>
      <c r="D94" t="inlineStr">
        <is>
          <t>VÄSTRA GÖTALANDS LÄN</t>
        </is>
      </c>
      <c r="E94" t="inlineStr">
        <is>
          <t>ALE</t>
        </is>
      </c>
      <c r="G94" t="n">
        <v>10.5</v>
      </c>
      <c r="H94" t="n">
        <v>0</v>
      </c>
      <c r="I94" t="n">
        <v>0</v>
      </c>
      <c r="J94" t="n">
        <v>0</v>
      </c>
      <c r="K94" t="n">
        <v>0</v>
      </c>
      <c r="L94" t="n">
        <v>0</v>
      </c>
      <c r="M94" t="n">
        <v>0</v>
      </c>
      <c r="N94" t="n">
        <v>0</v>
      </c>
      <c r="O94" t="n">
        <v>0</v>
      </c>
      <c r="P94" t="n">
        <v>0</v>
      </c>
      <c r="Q94" t="n">
        <v>0</v>
      </c>
      <c r="R94" s="2" t="inlineStr"/>
    </row>
    <row r="95" ht="15" customHeight="1">
      <c r="A95" t="inlineStr">
        <is>
          <t>A 55488-2022</t>
        </is>
      </c>
      <c r="B95" s="1" t="n">
        <v>44887</v>
      </c>
      <c r="C95" s="1" t="n">
        <v>45965</v>
      </c>
      <c r="D95" t="inlineStr">
        <is>
          <t>VÄSTRA GÖTALANDS LÄN</t>
        </is>
      </c>
      <c r="E95" t="inlineStr">
        <is>
          <t>ALE</t>
        </is>
      </c>
      <c r="G95" t="n">
        <v>2.5</v>
      </c>
      <c r="H95" t="n">
        <v>0</v>
      </c>
      <c r="I95" t="n">
        <v>0</v>
      </c>
      <c r="J95" t="n">
        <v>0</v>
      </c>
      <c r="K95" t="n">
        <v>0</v>
      </c>
      <c r="L95" t="n">
        <v>0</v>
      </c>
      <c r="M95" t="n">
        <v>0</v>
      </c>
      <c r="N95" t="n">
        <v>0</v>
      </c>
      <c r="O95" t="n">
        <v>0</v>
      </c>
      <c r="P95" t="n">
        <v>0</v>
      </c>
      <c r="Q95" t="n">
        <v>0</v>
      </c>
      <c r="R95" s="2" t="inlineStr"/>
    </row>
    <row r="96" ht="15" customHeight="1">
      <c r="A96" t="inlineStr">
        <is>
          <t>A 36403-2024</t>
        </is>
      </c>
      <c r="B96" s="1" t="n">
        <v>45535.69445601852</v>
      </c>
      <c r="C96" s="1" t="n">
        <v>45965</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42446-2023</t>
        </is>
      </c>
      <c r="B97" s="1" t="n">
        <v>45180</v>
      </c>
      <c r="C97" s="1" t="n">
        <v>45965</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55405-2021</t>
        </is>
      </c>
      <c r="B98" s="1" t="n">
        <v>44475.53733796296</v>
      </c>
      <c r="C98" s="1" t="n">
        <v>45965</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6916-2023</t>
        </is>
      </c>
      <c r="B99" s="1" t="n">
        <v>44967.53349537037</v>
      </c>
      <c r="C99" s="1" t="n">
        <v>45965</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45965</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67160-2021</t>
        </is>
      </c>
      <c r="B101" s="1" t="n">
        <v>44523</v>
      </c>
      <c r="C101" s="1" t="n">
        <v>45965</v>
      </c>
      <c r="D101" t="inlineStr">
        <is>
          <t>VÄSTRA GÖTALANDS LÄN</t>
        </is>
      </c>
      <c r="E101" t="inlineStr">
        <is>
          <t>ALE</t>
        </is>
      </c>
      <c r="G101" t="n">
        <v>2.2</v>
      </c>
      <c r="H101" t="n">
        <v>0</v>
      </c>
      <c r="I101" t="n">
        <v>0</v>
      </c>
      <c r="J101" t="n">
        <v>0</v>
      </c>
      <c r="K101" t="n">
        <v>0</v>
      </c>
      <c r="L101" t="n">
        <v>0</v>
      </c>
      <c r="M101" t="n">
        <v>0</v>
      </c>
      <c r="N101" t="n">
        <v>0</v>
      </c>
      <c r="O101" t="n">
        <v>0</v>
      </c>
      <c r="P101" t="n">
        <v>0</v>
      </c>
      <c r="Q101" t="n">
        <v>0</v>
      </c>
      <c r="R101" s="2" t="inlineStr"/>
    </row>
    <row r="102" ht="15" customHeight="1">
      <c r="A102" t="inlineStr">
        <is>
          <t>A 16344-2023</t>
        </is>
      </c>
      <c r="B102" s="1" t="n">
        <v>45028</v>
      </c>
      <c r="C102" s="1" t="n">
        <v>45965</v>
      </c>
      <c r="D102" t="inlineStr">
        <is>
          <t>VÄSTRA GÖTALANDS LÄN</t>
        </is>
      </c>
      <c r="E102" t="inlineStr">
        <is>
          <t>ALE</t>
        </is>
      </c>
      <c r="G102" t="n">
        <v>6.6</v>
      </c>
      <c r="H102" t="n">
        <v>0</v>
      </c>
      <c r="I102" t="n">
        <v>0</v>
      </c>
      <c r="J102" t="n">
        <v>0</v>
      </c>
      <c r="K102" t="n">
        <v>0</v>
      </c>
      <c r="L102" t="n">
        <v>0</v>
      </c>
      <c r="M102" t="n">
        <v>0</v>
      </c>
      <c r="N102" t="n">
        <v>0</v>
      </c>
      <c r="O102" t="n">
        <v>0</v>
      </c>
      <c r="P102" t="n">
        <v>0</v>
      </c>
      <c r="Q102" t="n">
        <v>0</v>
      </c>
      <c r="R102" s="2" t="inlineStr"/>
    </row>
    <row r="103" ht="15" customHeight="1">
      <c r="A103" t="inlineStr">
        <is>
          <t>A 32762-2023</t>
        </is>
      </c>
      <c r="B103" s="1" t="n">
        <v>45123.46649305556</v>
      </c>
      <c r="C103" s="1" t="n">
        <v>45965</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41598-2022</t>
        </is>
      </c>
      <c r="B104" s="1" t="n">
        <v>44827.4609837963</v>
      </c>
      <c r="C104" s="1" t="n">
        <v>45965</v>
      </c>
      <c r="D104" t="inlineStr">
        <is>
          <t>VÄSTRA GÖTALANDS LÄN</t>
        </is>
      </c>
      <c r="E104" t="inlineStr">
        <is>
          <t>ALE</t>
        </is>
      </c>
      <c r="G104" t="n">
        <v>2</v>
      </c>
      <c r="H104" t="n">
        <v>0</v>
      </c>
      <c r="I104" t="n">
        <v>0</v>
      </c>
      <c r="J104" t="n">
        <v>0</v>
      </c>
      <c r="K104" t="n">
        <v>0</v>
      </c>
      <c r="L104" t="n">
        <v>0</v>
      </c>
      <c r="M104" t="n">
        <v>0</v>
      </c>
      <c r="N104" t="n">
        <v>0</v>
      </c>
      <c r="O104" t="n">
        <v>0</v>
      </c>
      <c r="P104" t="n">
        <v>0</v>
      </c>
      <c r="Q104" t="n">
        <v>0</v>
      </c>
      <c r="R104" s="2" t="inlineStr"/>
    </row>
    <row r="105" ht="15" customHeight="1">
      <c r="A105" t="inlineStr">
        <is>
          <t>A 14458-2024</t>
        </is>
      </c>
      <c r="B105" s="1" t="n">
        <v>45394</v>
      </c>
      <c r="C105" s="1" t="n">
        <v>45965</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47330-2025</t>
        </is>
      </c>
      <c r="B106" s="1" t="n">
        <v>45930.56170138889</v>
      </c>
      <c r="C106" s="1" t="n">
        <v>45965</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15582-2025</t>
        </is>
      </c>
      <c r="B107" s="1" t="n">
        <v>45747.81394675926</v>
      </c>
      <c r="C107" s="1" t="n">
        <v>45965</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24642-2022</t>
        </is>
      </c>
      <c r="B108" s="1" t="n">
        <v>44727.59578703704</v>
      </c>
      <c r="C108" s="1" t="n">
        <v>45965</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47087-2023</t>
        </is>
      </c>
      <c r="B109" s="1" t="n">
        <v>45196</v>
      </c>
      <c r="C109" s="1" t="n">
        <v>45965</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4642-2024</t>
        </is>
      </c>
      <c r="B110" s="1" t="n">
        <v>45328.43502314815</v>
      </c>
      <c r="C110" s="1" t="n">
        <v>45965</v>
      </c>
      <c r="D110" t="inlineStr">
        <is>
          <t>VÄSTRA GÖTALANDS LÄN</t>
        </is>
      </c>
      <c r="E110" t="inlineStr">
        <is>
          <t>ALE</t>
        </is>
      </c>
      <c r="G110" t="n">
        <v>7.1</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45965</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44585.72818287037</v>
      </c>
      <c r="C112" s="1" t="n">
        <v>45965</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22946-2025</t>
        </is>
      </c>
      <c r="B113" s="1" t="n">
        <v>45790.48229166667</v>
      </c>
      <c r="C113" s="1" t="n">
        <v>45965</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47728-2025</t>
        </is>
      </c>
      <c r="B114" s="1" t="n">
        <v>45931.63186342592</v>
      </c>
      <c r="C114" s="1" t="n">
        <v>45965</v>
      </c>
      <c r="D114" t="inlineStr">
        <is>
          <t>VÄSTRA GÖTALANDS LÄN</t>
        </is>
      </c>
      <c r="E114" t="inlineStr">
        <is>
          <t>ALE</t>
        </is>
      </c>
      <c r="G114" t="n">
        <v>1.1</v>
      </c>
      <c r="H114" t="n">
        <v>0</v>
      </c>
      <c r="I114" t="n">
        <v>0</v>
      </c>
      <c r="J114" t="n">
        <v>0</v>
      </c>
      <c r="K114" t="n">
        <v>0</v>
      </c>
      <c r="L114" t="n">
        <v>0</v>
      </c>
      <c r="M114" t="n">
        <v>0</v>
      </c>
      <c r="N114" t="n">
        <v>0</v>
      </c>
      <c r="O114" t="n">
        <v>0</v>
      </c>
      <c r="P114" t="n">
        <v>0</v>
      </c>
      <c r="Q114" t="n">
        <v>0</v>
      </c>
      <c r="R114" s="2" t="inlineStr"/>
    </row>
    <row r="115" ht="15" customHeight="1">
      <c r="A115" t="inlineStr">
        <is>
          <t>A 26083-2023</t>
        </is>
      </c>
      <c r="B115" s="1" t="n">
        <v>45091</v>
      </c>
      <c r="C115" s="1" t="n">
        <v>45965</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66551-2020</t>
        </is>
      </c>
      <c r="B116" s="1" t="n">
        <v>44179</v>
      </c>
      <c r="C116" s="1" t="n">
        <v>45965</v>
      </c>
      <c r="D116" t="inlineStr">
        <is>
          <t>VÄSTRA GÖTALANDS LÄN</t>
        </is>
      </c>
      <c r="E116" t="inlineStr">
        <is>
          <t>ALE</t>
        </is>
      </c>
      <c r="G116" t="n">
        <v>4.5</v>
      </c>
      <c r="H116" t="n">
        <v>0</v>
      </c>
      <c r="I116" t="n">
        <v>0</v>
      </c>
      <c r="J116" t="n">
        <v>0</v>
      </c>
      <c r="K116" t="n">
        <v>0</v>
      </c>
      <c r="L116" t="n">
        <v>0</v>
      </c>
      <c r="M116" t="n">
        <v>0</v>
      </c>
      <c r="N116" t="n">
        <v>0</v>
      </c>
      <c r="O116" t="n">
        <v>0</v>
      </c>
      <c r="P116" t="n">
        <v>0</v>
      </c>
      <c r="Q116" t="n">
        <v>0</v>
      </c>
      <c r="R116" s="2" t="inlineStr"/>
    </row>
    <row r="117" ht="15" customHeight="1">
      <c r="A117" t="inlineStr">
        <is>
          <t>A 4971-2024</t>
        </is>
      </c>
      <c r="B117" s="1" t="n">
        <v>45329</v>
      </c>
      <c r="C117" s="1" t="n">
        <v>45965</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47593-2025</t>
        </is>
      </c>
      <c r="B118" s="1" t="n">
        <v>45931.4480787037</v>
      </c>
      <c r="C118" s="1" t="n">
        <v>45965</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33237-2024</t>
        </is>
      </c>
      <c r="B119" s="1" t="n">
        <v>45518.59173611111</v>
      </c>
      <c r="C119" s="1" t="n">
        <v>45965</v>
      </c>
      <c r="D119" t="inlineStr">
        <is>
          <t>VÄSTRA GÖTALANDS LÄN</t>
        </is>
      </c>
      <c r="E119" t="inlineStr">
        <is>
          <t>ALE</t>
        </is>
      </c>
      <c r="G119" t="n">
        <v>0.6</v>
      </c>
      <c r="H119" t="n">
        <v>0</v>
      </c>
      <c r="I119" t="n">
        <v>0</v>
      </c>
      <c r="J119" t="n">
        <v>0</v>
      </c>
      <c r="K119" t="n">
        <v>0</v>
      </c>
      <c r="L119" t="n">
        <v>0</v>
      </c>
      <c r="M119" t="n">
        <v>0</v>
      </c>
      <c r="N119" t="n">
        <v>0</v>
      </c>
      <c r="O119" t="n">
        <v>0</v>
      </c>
      <c r="P119" t="n">
        <v>0</v>
      </c>
      <c r="Q119" t="n">
        <v>0</v>
      </c>
      <c r="R119" s="2" t="inlineStr"/>
    </row>
    <row r="120" ht="15" customHeight="1">
      <c r="A120" t="inlineStr">
        <is>
          <t>A 37461-2024</t>
        </is>
      </c>
      <c r="B120" s="1" t="n">
        <v>45540.72516203704</v>
      </c>
      <c r="C120" s="1" t="n">
        <v>45965</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44429-2023</t>
        </is>
      </c>
      <c r="B121" s="1" t="n">
        <v>45189.35101851852</v>
      </c>
      <c r="C121" s="1" t="n">
        <v>45965</v>
      </c>
      <c r="D121" t="inlineStr">
        <is>
          <t>VÄSTRA GÖTALANDS LÄN</t>
        </is>
      </c>
      <c r="E121" t="inlineStr">
        <is>
          <t>ALE</t>
        </is>
      </c>
      <c r="G121" t="n">
        <v>0.1</v>
      </c>
      <c r="H121" t="n">
        <v>0</v>
      </c>
      <c r="I121" t="n">
        <v>0</v>
      </c>
      <c r="J121" t="n">
        <v>0</v>
      </c>
      <c r="K121" t="n">
        <v>0</v>
      </c>
      <c r="L121" t="n">
        <v>0</v>
      </c>
      <c r="M121" t="n">
        <v>0</v>
      </c>
      <c r="N121" t="n">
        <v>0</v>
      </c>
      <c r="O121" t="n">
        <v>0</v>
      </c>
      <c r="P121" t="n">
        <v>0</v>
      </c>
      <c r="Q121" t="n">
        <v>0</v>
      </c>
      <c r="R121" s="2" t="inlineStr"/>
    </row>
    <row r="122" ht="15" customHeight="1">
      <c r="A122" t="inlineStr">
        <is>
          <t>A 7892-2024</t>
        </is>
      </c>
      <c r="B122" s="1" t="n">
        <v>45350.40921296296</v>
      </c>
      <c r="C122" s="1" t="n">
        <v>45965</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51164-2024</t>
        </is>
      </c>
      <c r="B123" s="1" t="n">
        <v>45603.5830787037</v>
      </c>
      <c r="C123" s="1" t="n">
        <v>45965</v>
      </c>
      <c r="D123" t="inlineStr">
        <is>
          <t>VÄSTRA GÖTALANDS LÄN</t>
        </is>
      </c>
      <c r="E123" t="inlineStr">
        <is>
          <t>ALE</t>
        </is>
      </c>
      <c r="G123" t="n">
        <v>1.1</v>
      </c>
      <c r="H123" t="n">
        <v>0</v>
      </c>
      <c r="I123" t="n">
        <v>0</v>
      </c>
      <c r="J123" t="n">
        <v>0</v>
      </c>
      <c r="K123" t="n">
        <v>0</v>
      </c>
      <c r="L123" t="n">
        <v>0</v>
      </c>
      <c r="M123" t="n">
        <v>0</v>
      </c>
      <c r="N123" t="n">
        <v>0</v>
      </c>
      <c r="O123" t="n">
        <v>0</v>
      </c>
      <c r="P123" t="n">
        <v>0</v>
      </c>
      <c r="Q123" t="n">
        <v>0</v>
      </c>
      <c r="R123" s="2" t="inlineStr"/>
    </row>
    <row r="124" ht="15" customHeight="1">
      <c r="A124" t="inlineStr">
        <is>
          <t>A 4444-2024</t>
        </is>
      </c>
      <c r="B124" s="1" t="n">
        <v>45327</v>
      </c>
      <c r="C124" s="1" t="n">
        <v>45965</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72801-2021</t>
        </is>
      </c>
      <c r="B125" s="1" t="n">
        <v>44546</v>
      </c>
      <c r="C125" s="1" t="n">
        <v>45965</v>
      </c>
      <c r="D125" t="inlineStr">
        <is>
          <t>VÄSTRA GÖTALANDS LÄN</t>
        </is>
      </c>
      <c r="E125" t="inlineStr">
        <is>
          <t>ALE</t>
        </is>
      </c>
      <c r="F125" t="inlineStr">
        <is>
          <t>Naturvårdsverket</t>
        </is>
      </c>
      <c r="G125" t="n">
        <v>1.4</v>
      </c>
      <c r="H125" t="n">
        <v>0</v>
      </c>
      <c r="I125" t="n">
        <v>0</v>
      </c>
      <c r="J125" t="n">
        <v>0</v>
      </c>
      <c r="K125" t="n">
        <v>0</v>
      </c>
      <c r="L125" t="n">
        <v>0</v>
      </c>
      <c r="M125" t="n">
        <v>0</v>
      </c>
      <c r="N125" t="n">
        <v>0</v>
      </c>
      <c r="O125" t="n">
        <v>0</v>
      </c>
      <c r="P125" t="n">
        <v>0</v>
      </c>
      <c r="Q125" t="n">
        <v>0</v>
      </c>
      <c r="R125" s="2" t="inlineStr"/>
    </row>
    <row r="126" ht="15" customHeight="1">
      <c r="A126" t="inlineStr">
        <is>
          <t>A 47592-2025</t>
        </is>
      </c>
      <c r="B126" s="1" t="n">
        <v>45931.44649305556</v>
      </c>
      <c r="C126" s="1" t="n">
        <v>45965</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25849-2025</t>
        </is>
      </c>
      <c r="B127" s="1" t="n">
        <v>45804</v>
      </c>
      <c r="C127" s="1" t="n">
        <v>45965</v>
      </c>
      <c r="D127" t="inlineStr">
        <is>
          <t>VÄSTRA GÖTALANDS LÄN</t>
        </is>
      </c>
      <c r="E127" t="inlineStr">
        <is>
          <t>ALE</t>
        </is>
      </c>
      <c r="G127" t="n">
        <v>0.8</v>
      </c>
      <c r="H127" t="n">
        <v>0</v>
      </c>
      <c r="I127" t="n">
        <v>0</v>
      </c>
      <c r="J127" t="n">
        <v>0</v>
      </c>
      <c r="K127" t="n">
        <v>0</v>
      </c>
      <c r="L127" t="n">
        <v>0</v>
      </c>
      <c r="M127" t="n">
        <v>0</v>
      </c>
      <c r="N127" t="n">
        <v>0</v>
      </c>
      <c r="O127" t="n">
        <v>0</v>
      </c>
      <c r="P127" t="n">
        <v>0</v>
      </c>
      <c r="Q127" t="n">
        <v>0</v>
      </c>
      <c r="R127" s="2" t="inlineStr"/>
    </row>
    <row r="128" ht="15" customHeight="1">
      <c r="A128" t="inlineStr">
        <is>
          <t>A 25848-2025</t>
        </is>
      </c>
      <c r="B128" s="1" t="n">
        <v>45804</v>
      </c>
      <c r="C128" s="1" t="n">
        <v>45965</v>
      </c>
      <c r="D128" t="inlineStr">
        <is>
          <t>VÄSTRA GÖTALANDS LÄN</t>
        </is>
      </c>
      <c r="E128" t="inlineStr">
        <is>
          <t>ALE</t>
        </is>
      </c>
      <c r="G128" t="n">
        <v>1.1</v>
      </c>
      <c r="H128" t="n">
        <v>0</v>
      </c>
      <c r="I128" t="n">
        <v>0</v>
      </c>
      <c r="J128" t="n">
        <v>0</v>
      </c>
      <c r="K128" t="n">
        <v>0</v>
      </c>
      <c r="L128" t="n">
        <v>0</v>
      </c>
      <c r="M128" t="n">
        <v>0</v>
      </c>
      <c r="N128" t="n">
        <v>0</v>
      </c>
      <c r="O128" t="n">
        <v>0</v>
      </c>
      <c r="P128" t="n">
        <v>0</v>
      </c>
      <c r="Q128" t="n">
        <v>0</v>
      </c>
      <c r="R128" s="2" t="inlineStr"/>
    </row>
    <row r="129" ht="15" customHeight="1">
      <c r="A129" t="inlineStr">
        <is>
          <t>A 25840-2025</t>
        </is>
      </c>
      <c r="B129" s="1" t="n">
        <v>45804</v>
      </c>
      <c r="C129" s="1" t="n">
        <v>45965</v>
      </c>
      <c r="D129" t="inlineStr">
        <is>
          <t>VÄSTRA GÖTALANDS LÄN</t>
        </is>
      </c>
      <c r="E129" t="inlineStr">
        <is>
          <t>ALE</t>
        </is>
      </c>
      <c r="G129" t="n">
        <v>3.8</v>
      </c>
      <c r="H129" t="n">
        <v>0</v>
      </c>
      <c r="I129" t="n">
        <v>0</v>
      </c>
      <c r="J129" t="n">
        <v>0</v>
      </c>
      <c r="K129" t="n">
        <v>0</v>
      </c>
      <c r="L129" t="n">
        <v>0</v>
      </c>
      <c r="M129" t="n">
        <v>0</v>
      </c>
      <c r="N129" t="n">
        <v>0</v>
      </c>
      <c r="O129" t="n">
        <v>0</v>
      </c>
      <c r="P129" t="n">
        <v>0</v>
      </c>
      <c r="Q129" t="n">
        <v>0</v>
      </c>
      <c r="R129" s="2" t="inlineStr"/>
    </row>
    <row r="130" ht="15" customHeight="1">
      <c r="A130" t="inlineStr">
        <is>
          <t>A 8956-2025</t>
        </is>
      </c>
      <c r="B130" s="1" t="n">
        <v>45713.46825231481</v>
      </c>
      <c r="C130" s="1" t="n">
        <v>45965</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44802.57002314815</v>
      </c>
      <c r="C131" s="1" t="n">
        <v>45965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200-2022</t>
        </is>
      </c>
      <c r="B132" s="1" t="n">
        <v>44564</v>
      </c>
      <c r="C132" s="1" t="n">
        <v>45965</v>
      </c>
      <c r="D132" t="inlineStr">
        <is>
          <t>VÄSTRA GÖTALANDS LÄN</t>
        </is>
      </c>
      <c r="E132" t="inlineStr">
        <is>
          <t>ALE</t>
        </is>
      </c>
      <c r="G132" t="n">
        <v>6.8</v>
      </c>
      <c r="H132" t="n">
        <v>0</v>
      </c>
      <c r="I132" t="n">
        <v>0</v>
      </c>
      <c r="J132" t="n">
        <v>0</v>
      </c>
      <c r="K132" t="n">
        <v>0</v>
      </c>
      <c r="L132" t="n">
        <v>0</v>
      </c>
      <c r="M132" t="n">
        <v>0</v>
      </c>
      <c r="N132" t="n">
        <v>0</v>
      </c>
      <c r="O132" t="n">
        <v>0</v>
      </c>
      <c r="P132" t="n">
        <v>0</v>
      </c>
      <c r="Q132" t="n">
        <v>0</v>
      </c>
      <c r="R132" s="2" t="inlineStr"/>
    </row>
    <row r="133" ht="15" customHeight="1">
      <c r="A133" t="inlineStr">
        <is>
          <t>A 40074-2025</t>
        </is>
      </c>
      <c r="B133" s="1" t="n">
        <v>45894.44685185186</v>
      </c>
      <c r="C133" s="1" t="n">
        <v>45965</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8659-2025</t>
        </is>
      </c>
      <c r="B134" s="1" t="n">
        <v>45712</v>
      </c>
      <c r="C134" s="1" t="n">
        <v>45965</v>
      </c>
      <c r="D134" t="inlineStr">
        <is>
          <t>VÄSTRA GÖTALANDS LÄN</t>
        </is>
      </c>
      <c r="E134" t="inlineStr">
        <is>
          <t>ALE</t>
        </is>
      </c>
      <c r="G134" t="n">
        <v>5.7</v>
      </c>
      <c r="H134" t="n">
        <v>0</v>
      </c>
      <c r="I134" t="n">
        <v>0</v>
      </c>
      <c r="J134" t="n">
        <v>0</v>
      </c>
      <c r="K134" t="n">
        <v>0</v>
      </c>
      <c r="L134" t="n">
        <v>0</v>
      </c>
      <c r="M134" t="n">
        <v>0</v>
      </c>
      <c r="N134" t="n">
        <v>0</v>
      </c>
      <c r="O134" t="n">
        <v>0</v>
      </c>
      <c r="P134" t="n">
        <v>0</v>
      </c>
      <c r="Q134" t="n">
        <v>0</v>
      </c>
      <c r="R134" s="2" t="inlineStr"/>
    </row>
    <row r="135" ht="15" customHeight="1">
      <c r="A135" t="inlineStr">
        <is>
          <t>A 5344-2024</t>
        </is>
      </c>
      <c r="B135" s="1" t="n">
        <v>45331</v>
      </c>
      <c r="C135" s="1" t="n">
        <v>45965</v>
      </c>
      <c r="D135" t="inlineStr">
        <is>
          <t>VÄSTRA GÖTALANDS LÄN</t>
        </is>
      </c>
      <c r="E135" t="inlineStr">
        <is>
          <t>ALE</t>
        </is>
      </c>
      <c r="G135" t="n">
        <v>2.5</v>
      </c>
      <c r="H135" t="n">
        <v>0</v>
      </c>
      <c r="I135" t="n">
        <v>0</v>
      </c>
      <c r="J135" t="n">
        <v>0</v>
      </c>
      <c r="K135" t="n">
        <v>0</v>
      </c>
      <c r="L135" t="n">
        <v>0</v>
      </c>
      <c r="M135" t="n">
        <v>0</v>
      </c>
      <c r="N135" t="n">
        <v>0</v>
      </c>
      <c r="O135" t="n">
        <v>0</v>
      </c>
      <c r="P135" t="n">
        <v>0</v>
      </c>
      <c r="Q135" t="n">
        <v>0</v>
      </c>
      <c r="R135" s="2" t="inlineStr"/>
    </row>
    <row r="136" ht="15" customHeight="1">
      <c r="A136" t="inlineStr">
        <is>
          <t>A 18637-2023</t>
        </is>
      </c>
      <c r="B136" s="1" t="n">
        <v>45043</v>
      </c>
      <c r="C136" s="1" t="n">
        <v>45965</v>
      </c>
      <c r="D136" t="inlineStr">
        <is>
          <t>VÄSTRA GÖTALANDS LÄN</t>
        </is>
      </c>
      <c r="E136" t="inlineStr">
        <is>
          <t>ALE</t>
        </is>
      </c>
      <c r="G136" t="n">
        <v>3.6</v>
      </c>
      <c r="H136" t="n">
        <v>0</v>
      </c>
      <c r="I136" t="n">
        <v>0</v>
      </c>
      <c r="J136" t="n">
        <v>0</v>
      </c>
      <c r="K136" t="n">
        <v>0</v>
      </c>
      <c r="L136" t="n">
        <v>0</v>
      </c>
      <c r="M136" t="n">
        <v>0</v>
      </c>
      <c r="N136" t="n">
        <v>0</v>
      </c>
      <c r="O136" t="n">
        <v>0</v>
      </c>
      <c r="P136" t="n">
        <v>0</v>
      </c>
      <c r="Q136" t="n">
        <v>0</v>
      </c>
      <c r="R136" s="2" t="inlineStr"/>
    </row>
    <row r="137" ht="15" customHeight="1">
      <c r="A137" t="inlineStr">
        <is>
          <t>A 59933-2023</t>
        </is>
      </c>
      <c r="B137" s="1" t="n">
        <v>45257</v>
      </c>
      <c r="C137" s="1" t="n">
        <v>45965</v>
      </c>
      <c r="D137" t="inlineStr">
        <is>
          <t>VÄSTRA GÖTALANDS LÄN</t>
        </is>
      </c>
      <c r="E137" t="inlineStr">
        <is>
          <t>ALE</t>
        </is>
      </c>
      <c r="G137" t="n">
        <v>2.7</v>
      </c>
      <c r="H137" t="n">
        <v>0</v>
      </c>
      <c r="I137" t="n">
        <v>0</v>
      </c>
      <c r="J137" t="n">
        <v>0</v>
      </c>
      <c r="K137" t="n">
        <v>0</v>
      </c>
      <c r="L137" t="n">
        <v>0</v>
      </c>
      <c r="M137" t="n">
        <v>0</v>
      </c>
      <c r="N137" t="n">
        <v>0</v>
      </c>
      <c r="O137" t="n">
        <v>0</v>
      </c>
      <c r="P137" t="n">
        <v>0</v>
      </c>
      <c r="Q137" t="n">
        <v>0</v>
      </c>
      <c r="R137" s="2" t="inlineStr"/>
    </row>
    <row r="138" ht="15" customHeight="1">
      <c r="A138" t="inlineStr">
        <is>
          <t>A 17044-2025</t>
        </is>
      </c>
      <c r="B138" s="1" t="n">
        <v>45755.58891203703</v>
      </c>
      <c r="C138" s="1" t="n">
        <v>45965</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1822-2024</t>
        </is>
      </c>
      <c r="B139" s="1" t="n">
        <v>45307.6205787037</v>
      </c>
      <c r="C139" s="1" t="n">
        <v>45965</v>
      </c>
      <c r="D139" t="inlineStr">
        <is>
          <t>VÄSTRA GÖTALANDS LÄN</t>
        </is>
      </c>
      <c r="E139" t="inlineStr">
        <is>
          <t>ALE</t>
        </is>
      </c>
      <c r="G139" t="n">
        <v>2</v>
      </c>
      <c r="H139" t="n">
        <v>0</v>
      </c>
      <c r="I139" t="n">
        <v>0</v>
      </c>
      <c r="J139" t="n">
        <v>0</v>
      </c>
      <c r="K139" t="n">
        <v>0</v>
      </c>
      <c r="L139" t="n">
        <v>0</v>
      </c>
      <c r="M139" t="n">
        <v>0</v>
      </c>
      <c r="N139" t="n">
        <v>0</v>
      </c>
      <c r="O139" t="n">
        <v>0</v>
      </c>
      <c r="P139" t="n">
        <v>0</v>
      </c>
      <c r="Q139" t="n">
        <v>0</v>
      </c>
      <c r="R139" s="2" t="inlineStr"/>
    </row>
    <row r="140" ht="15" customHeight="1">
      <c r="A140" t="inlineStr">
        <is>
          <t>A 29373-2025</t>
        </is>
      </c>
      <c r="B140" s="1" t="n">
        <v>45824.579375</v>
      </c>
      <c r="C140" s="1" t="n">
        <v>45965</v>
      </c>
      <c r="D140" t="inlineStr">
        <is>
          <t>VÄSTRA GÖTALANDS LÄN</t>
        </is>
      </c>
      <c r="E140" t="inlineStr">
        <is>
          <t>ALE</t>
        </is>
      </c>
      <c r="G140" t="n">
        <v>4.6</v>
      </c>
      <c r="H140" t="n">
        <v>0</v>
      </c>
      <c r="I140" t="n">
        <v>0</v>
      </c>
      <c r="J140" t="n">
        <v>0</v>
      </c>
      <c r="K140" t="n">
        <v>0</v>
      </c>
      <c r="L140" t="n">
        <v>0</v>
      </c>
      <c r="M140" t="n">
        <v>0</v>
      </c>
      <c r="N140" t="n">
        <v>0</v>
      </c>
      <c r="O140" t="n">
        <v>0</v>
      </c>
      <c r="P140" t="n">
        <v>0</v>
      </c>
      <c r="Q140" t="n">
        <v>0</v>
      </c>
      <c r="R140" s="2" t="inlineStr"/>
    </row>
    <row r="141" ht="15" customHeight="1">
      <c r="A141" t="inlineStr">
        <is>
          <t>A 15241-2025</t>
        </is>
      </c>
      <c r="B141" s="1" t="n">
        <v>45744.61255787037</v>
      </c>
      <c r="C141" s="1" t="n">
        <v>45965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13382-2025</t>
        </is>
      </c>
      <c r="B142" s="1" t="n">
        <v>45735.67928240741</v>
      </c>
      <c r="C142" s="1" t="n">
        <v>45965</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13903-2025</t>
        </is>
      </c>
      <c r="B143" s="1" t="n">
        <v>45737.63481481482</v>
      </c>
      <c r="C143" s="1" t="n">
        <v>45965</v>
      </c>
      <c r="D143" t="inlineStr">
        <is>
          <t>VÄSTRA GÖTALANDS LÄN</t>
        </is>
      </c>
      <c r="E143" t="inlineStr">
        <is>
          <t>ALE</t>
        </is>
      </c>
      <c r="G143" t="n">
        <v>0.5</v>
      </c>
      <c r="H143" t="n">
        <v>0</v>
      </c>
      <c r="I143" t="n">
        <v>0</v>
      </c>
      <c r="J143" t="n">
        <v>0</v>
      </c>
      <c r="K143" t="n">
        <v>0</v>
      </c>
      <c r="L143" t="n">
        <v>0</v>
      </c>
      <c r="M143" t="n">
        <v>0</v>
      </c>
      <c r="N143" t="n">
        <v>0</v>
      </c>
      <c r="O143" t="n">
        <v>0</v>
      </c>
      <c r="P143" t="n">
        <v>0</v>
      </c>
      <c r="Q143" t="n">
        <v>0</v>
      </c>
      <c r="R143" s="2" t="inlineStr"/>
    </row>
    <row r="144" ht="15" customHeight="1">
      <c r="A144" t="inlineStr">
        <is>
          <t>A 6947-2024</t>
        </is>
      </c>
      <c r="B144" s="1" t="n">
        <v>45343</v>
      </c>
      <c r="C144" s="1" t="n">
        <v>45965</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48213-2025</t>
        </is>
      </c>
      <c r="B145" s="1" t="n">
        <v>45933</v>
      </c>
      <c r="C145" s="1" t="n">
        <v>45965</v>
      </c>
      <c r="D145" t="inlineStr">
        <is>
          <t>VÄSTRA GÖTALANDS LÄN</t>
        </is>
      </c>
      <c r="E145" t="inlineStr">
        <is>
          <t>ALE</t>
        </is>
      </c>
      <c r="G145" t="n">
        <v>3.3</v>
      </c>
      <c r="H145" t="n">
        <v>0</v>
      </c>
      <c r="I145" t="n">
        <v>0</v>
      </c>
      <c r="J145" t="n">
        <v>0</v>
      </c>
      <c r="K145" t="n">
        <v>0</v>
      </c>
      <c r="L145" t="n">
        <v>0</v>
      </c>
      <c r="M145" t="n">
        <v>0</v>
      </c>
      <c r="N145" t="n">
        <v>0</v>
      </c>
      <c r="O145" t="n">
        <v>0</v>
      </c>
      <c r="P145" t="n">
        <v>0</v>
      </c>
      <c r="Q145" t="n">
        <v>0</v>
      </c>
      <c r="R145" s="2" t="inlineStr"/>
    </row>
    <row r="146" ht="15" customHeight="1">
      <c r="A146" t="inlineStr">
        <is>
          <t>A 48218-2025</t>
        </is>
      </c>
      <c r="B146" s="1" t="n">
        <v>45933</v>
      </c>
      <c r="C146" s="1" t="n">
        <v>45965</v>
      </c>
      <c r="D146" t="inlineStr">
        <is>
          <t>VÄSTRA GÖTALANDS LÄN</t>
        </is>
      </c>
      <c r="E146" t="inlineStr">
        <is>
          <t>ALE</t>
        </is>
      </c>
      <c r="G146" t="n">
        <v>1.4</v>
      </c>
      <c r="H146" t="n">
        <v>0</v>
      </c>
      <c r="I146" t="n">
        <v>0</v>
      </c>
      <c r="J146" t="n">
        <v>0</v>
      </c>
      <c r="K146" t="n">
        <v>0</v>
      </c>
      <c r="L146" t="n">
        <v>0</v>
      </c>
      <c r="M146" t="n">
        <v>0</v>
      </c>
      <c r="N146" t="n">
        <v>0</v>
      </c>
      <c r="O146" t="n">
        <v>0</v>
      </c>
      <c r="P146" t="n">
        <v>0</v>
      </c>
      <c r="Q146" t="n">
        <v>0</v>
      </c>
      <c r="R146" s="2" t="inlineStr"/>
    </row>
    <row r="147" ht="15" customHeight="1">
      <c r="A147" t="inlineStr">
        <is>
          <t>A 31407-2025</t>
        </is>
      </c>
      <c r="B147" s="1" t="n">
        <v>45833</v>
      </c>
      <c r="C147" s="1" t="n">
        <v>45965</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31409-2025</t>
        </is>
      </c>
      <c r="B148" s="1" t="n">
        <v>45833</v>
      </c>
      <c r="C148" s="1" t="n">
        <v>45965</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31533-2025</t>
        </is>
      </c>
      <c r="B149" s="1" t="n">
        <v>45833</v>
      </c>
      <c r="C149" s="1" t="n">
        <v>45965</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31488-2025</t>
        </is>
      </c>
      <c r="B150" s="1" t="n">
        <v>45833</v>
      </c>
      <c r="C150" s="1" t="n">
        <v>45965</v>
      </c>
      <c r="D150" t="inlineStr">
        <is>
          <t>VÄSTRA GÖTALANDS LÄN</t>
        </is>
      </c>
      <c r="E150" t="inlineStr">
        <is>
          <t>ALE</t>
        </is>
      </c>
      <c r="G150" t="n">
        <v>1.8</v>
      </c>
      <c r="H150" t="n">
        <v>0</v>
      </c>
      <c r="I150" t="n">
        <v>0</v>
      </c>
      <c r="J150" t="n">
        <v>0</v>
      </c>
      <c r="K150" t="n">
        <v>0</v>
      </c>
      <c r="L150" t="n">
        <v>0</v>
      </c>
      <c r="M150" t="n">
        <v>0</v>
      </c>
      <c r="N150" t="n">
        <v>0</v>
      </c>
      <c r="O150" t="n">
        <v>0</v>
      </c>
      <c r="P150" t="n">
        <v>0</v>
      </c>
      <c r="Q150" t="n">
        <v>0</v>
      </c>
      <c r="R150" s="2" t="inlineStr"/>
    </row>
    <row r="151" ht="15" customHeight="1">
      <c r="A151" t="inlineStr">
        <is>
          <t>A 34153-2024</t>
        </is>
      </c>
      <c r="B151" s="1" t="n">
        <v>45524.38400462963</v>
      </c>
      <c r="C151" s="1" t="n">
        <v>45965</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45965</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45965</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50189-2025</t>
        </is>
      </c>
      <c r="B154" s="1" t="n">
        <v>45943.63476851852</v>
      </c>
      <c r="C154" s="1" t="n">
        <v>45965</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3413-2023</t>
        </is>
      </c>
      <c r="B155" s="1" t="n">
        <v>44949</v>
      </c>
      <c r="C155" s="1" t="n">
        <v>45965</v>
      </c>
      <c r="D155" t="inlineStr">
        <is>
          <t>VÄSTRA GÖTALANDS LÄN</t>
        </is>
      </c>
      <c r="E155" t="inlineStr">
        <is>
          <t>ALE</t>
        </is>
      </c>
      <c r="G155" t="n">
        <v>2.3</v>
      </c>
      <c r="H155" t="n">
        <v>0</v>
      </c>
      <c r="I155" t="n">
        <v>0</v>
      </c>
      <c r="J155" t="n">
        <v>0</v>
      </c>
      <c r="K155" t="n">
        <v>0</v>
      </c>
      <c r="L155" t="n">
        <v>0</v>
      </c>
      <c r="M155" t="n">
        <v>0</v>
      </c>
      <c r="N155" t="n">
        <v>0</v>
      </c>
      <c r="O155" t="n">
        <v>0</v>
      </c>
      <c r="P155" t="n">
        <v>0</v>
      </c>
      <c r="Q155" t="n">
        <v>0</v>
      </c>
      <c r="R155" s="2" t="inlineStr"/>
    </row>
    <row r="156" ht="15" customHeight="1">
      <c r="A156" t="inlineStr">
        <is>
          <t>A 27314-2021</t>
        </is>
      </c>
      <c r="B156" s="1" t="n">
        <v>44351.36537037037</v>
      </c>
      <c r="C156" s="1" t="n">
        <v>45965</v>
      </c>
      <c r="D156" t="inlineStr">
        <is>
          <t>VÄSTRA GÖTALANDS LÄN</t>
        </is>
      </c>
      <c r="E156" t="inlineStr">
        <is>
          <t>ALE</t>
        </is>
      </c>
      <c r="G156" t="n">
        <v>11.3</v>
      </c>
      <c r="H156" t="n">
        <v>0</v>
      </c>
      <c r="I156" t="n">
        <v>0</v>
      </c>
      <c r="J156" t="n">
        <v>0</v>
      </c>
      <c r="K156" t="n">
        <v>0</v>
      </c>
      <c r="L156" t="n">
        <v>0</v>
      </c>
      <c r="M156" t="n">
        <v>0</v>
      </c>
      <c r="N156" t="n">
        <v>0</v>
      </c>
      <c r="O156" t="n">
        <v>0</v>
      </c>
      <c r="P156" t="n">
        <v>0</v>
      </c>
      <c r="Q156" t="n">
        <v>0</v>
      </c>
      <c r="R156" s="2" t="inlineStr"/>
    </row>
    <row r="157" ht="15" customHeight="1">
      <c r="A157" t="inlineStr">
        <is>
          <t>A 1960-2024</t>
        </is>
      </c>
      <c r="B157" s="1" t="n">
        <v>45308.50962962963</v>
      </c>
      <c r="C157" s="1" t="n">
        <v>45965</v>
      </c>
      <c r="D157" t="inlineStr">
        <is>
          <t>VÄSTRA GÖTALANDS LÄN</t>
        </is>
      </c>
      <c r="E157" t="inlineStr">
        <is>
          <t>ALE</t>
        </is>
      </c>
      <c r="G157" t="n">
        <v>1.9</v>
      </c>
      <c r="H157" t="n">
        <v>0</v>
      </c>
      <c r="I157" t="n">
        <v>0</v>
      </c>
      <c r="J157" t="n">
        <v>0</v>
      </c>
      <c r="K157" t="n">
        <v>0</v>
      </c>
      <c r="L157" t="n">
        <v>0</v>
      </c>
      <c r="M157" t="n">
        <v>0</v>
      </c>
      <c r="N157" t="n">
        <v>0</v>
      </c>
      <c r="O157" t="n">
        <v>0</v>
      </c>
      <c r="P157" t="n">
        <v>0</v>
      </c>
      <c r="Q157" t="n">
        <v>0</v>
      </c>
      <c r="R157" s="2" t="inlineStr"/>
    </row>
    <row r="158" ht="15" customHeight="1">
      <c r="A158" t="inlineStr">
        <is>
          <t>A 3418-2023</t>
        </is>
      </c>
      <c r="B158" s="1" t="n">
        <v>44949.56182870371</v>
      </c>
      <c r="C158" s="1" t="n">
        <v>45965</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65226-2021</t>
        </is>
      </c>
      <c r="B159" s="1" t="n">
        <v>44515</v>
      </c>
      <c r="C159" s="1" t="n">
        <v>45965</v>
      </c>
      <c r="D159" t="inlineStr">
        <is>
          <t>VÄSTRA GÖTALANDS LÄN</t>
        </is>
      </c>
      <c r="E159" t="inlineStr">
        <is>
          <t>ALE</t>
        </is>
      </c>
      <c r="G159" t="n">
        <v>0.7</v>
      </c>
      <c r="H159" t="n">
        <v>0</v>
      </c>
      <c r="I159" t="n">
        <v>0</v>
      </c>
      <c r="J159" t="n">
        <v>0</v>
      </c>
      <c r="K159" t="n">
        <v>0</v>
      </c>
      <c r="L159" t="n">
        <v>0</v>
      </c>
      <c r="M159" t="n">
        <v>0</v>
      </c>
      <c r="N159" t="n">
        <v>0</v>
      </c>
      <c r="O159" t="n">
        <v>0</v>
      </c>
      <c r="P159" t="n">
        <v>0</v>
      </c>
      <c r="Q159" t="n">
        <v>0</v>
      </c>
      <c r="R159" s="2" t="inlineStr"/>
    </row>
    <row r="160" ht="15" customHeight="1">
      <c r="A160" t="inlineStr">
        <is>
          <t>A 12055-2022</t>
        </is>
      </c>
      <c r="B160" s="1" t="n">
        <v>44636</v>
      </c>
      <c r="C160" s="1" t="n">
        <v>45965</v>
      </c>
      <c r="D160" t="inlineStr">
        <is>
          <t>VÄSTRA GÖTALANDS LÄN</t>
        </is>
      </c>
      <c r="E160" t="inlineStr">
        <is>
          <t>ALE</t>
        </is>
      </c>
      <c r="G160" t="n">
        <v>0.2</v>
      </c>
      <c r="H160" t="n">
        <v>0</v>
      </c>
      <c r="I160" t="n">
        <v>0</v>
      </c>
      <c r="J160" t="n">
        <v>0</v>
      </c>
      <c r="K160" t="n">
        <v>0</v>
      </c>
      <c r="L160" t="n">
        <v>0</v>
      </c>
      <c r="M160" t="n">
        <v>0</v>
      </c>
      <c r="N160" t="n">
        <v>0</v>
      </c>
      <c r="O160" t="n">
        <v>0</v>
      </c>
      <c r="P160" t="n">
        <v>0</v>
      </c>
      <c r="Q160" t="n">
        <v>0</v>
      </c>
      <c r="R160" s="2" t="inlineStr"/>
    </row>
    <row r="161" ht="15" customHeight="1">
      <c r="A161" t="inlineStr">
        <is>
          <t>A 46227-2025</t>
        </is>
      </c>
      <c r="B161" s="1" t="n">
        <v>45924.90386574074</v>
      </c>
      <c r="C161" s="1" t="n">
        <v>45965</v>
      </c>
      <c r="D161" t="inlineStr">
        <is>
          <t>VÄSTRA GÖTALANDS LÄN</t>
        </is>
      </c>
      <c r="E161" t="inlineStr">
        <is>
          <t>ALE</t>
        </is>
      </c>
      <c r="G161" t="n">
        <v>0.3</v>
      </c>
      <c r="H161" t="n">
        <v>0</v>
      </c>
      <c r="I161" t="n">
        <v>0</v>
      </c>
      <c r="J161" t="n">
        <v>0</v>
      </c>
      <c r="K161" t="n">
        <v>0</v>
      </c>
      <c r="L161" t="n">
        <v>0</v>
      </c>
      <c r="M161" t="n">
        <v>0</v>
      </c>
      <c r="N161" t="n">
        <v>0</v>
      </c>
      <c r="O161" t="n">
        <v>0</v>
      </c>
      <c r="P161" t="n">
        <v>0</v>
      </c>
      <c r="Q161" t="n">
        <v>0</v>
      </c>
      <c r="R161" s="2" t="inlineStr"/>
    </row>
    <row r="162" ht="15" customHeight="1">
      <c r="A162" t="inlineStr">
        <is>
          <t>A 50973-2025</t>
        </is>
      </c>
      <c r="B162" s="1" t="n">
        <v>45947.31263888889</v>
      </c>
      <c r="C162" s="1" t="n">
        <v>45965</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13426-2025</t>
        </is>
      </c>
      <c r="B163" s="1" t="n">
        <v>45736.32780092592</v>
      </c>
      <c r="C163" s="1" t="n">
        <v>45965</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51976-2025</t>
        </is>
      </c>
      <c r="B164" s="1" t="n">
        <v>45952.56412037037</v>
      </c>
      <c r="C164" s="1" t="n">
        <v>45965</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52391-2025</t>
        </is>
      </c>
      <c r="B165" s="1" t="n">
        <v>45954.34305555555</v>
      </c>
      <c r="C165" s="1" t="n">
        <v>45965</v>
      </c>
      <c r="D165" t="inlineStr">
        <is>
          <t>VÄSTRA GÖTALANDS LÄN</t>
        </is>
      </c>
      <c r="E165" t="inlineStr">
        <is>
          <t>ALE</t>
        </is>
      </c>
      <c r="G165" t="n">
        <v>10.6</v>
      </c>
      <c r="H165" t="n">
        <v>0</v>
      </c>
      <c r="I165" t="n">
        <v>0</v>
      </c>
      <c r="J165" t="n">
        <v>0</v>
      </c>
      <c r="K165" t="n">
        <v>0</v>
      </c>
      <c r="L165" t="n">
        <v>0</v>
      </c>
      <c r="M165" t="n">
        <v>0</v>
      </c>
      <c r="N165" t="n">
        <v>0</v>
      </c>
      <c r="O165" t="n">
        <v>0</v>
      </c>
      <c r="P165" t="n">
        <v>0</v>
      </c>
      <c r="Q165" t="n">
        <v>0</v>
      </c>
      <c r="R165" s="2" t="inlineStr"/>
    </row>
    <row r="166">
      <c r="A166" t="inlineStr">
        <is>
          <t>A 52423-2025</t>
        </is>
      </c>
      <c r="B166" s="1" t="n">
        <v>45954.37650462963</v>
      </c>
      <c r="C166" s="1" t="n">
        <v>45965</v>
      </c>
      <c r="D166" t="inlineStr">
        <is>
          <t>VÄSTRA GÖTALANDS LÄN</t>
        </is>
      </c>
      <c r="E166" t="inlineStr">
        <is>
          <t>ALE</t>
        </is>
      </c>
      <c r="G166" t="n">
        <v>4.1</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2025-11-04T10:04:02Z</dcterms:created>
  <dcterms:modified xmlns:dcterms="http://purl.org/dc/terms/" xmlns:xsi="http://www.w3.org/2001/XMLSchema-instance" xsi:type="dcterms:W3CDTF">2025-11-04T10:04:02Z</dcterms:modified>
</cp:coreProperties>
</file>