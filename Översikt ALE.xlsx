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46191</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46191</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32849-2023</t>
        </is>
      </c>
      <c r="B4" s="1" t="n">
        <v>45124</v>
      </c>
      <c r="C4" s="1" t="n">
        <v>46191</v>
      </c>
      <c r="D4" t="inlineStr">
        <is>
          <t>VÄSTRA GÖTALANDS LÄN</t>
        </is>
      </c>
      <c r="E4" t="inlineStr">
        <is>
          <t>ALE</t>
        </is>
      </c>
      <c r="G4" t="n">
        <v>5.6</v>
      </c>
      <c r="H4" t="n">
        <v>4</v>
      </c>
      <c r="I4" t="n">
        <v>6</v>
      </c>
      <c r="J4" t="n">
        <v>2</v>
      </c>
      <c r="K4" t="n">
        <v>0</v>
      </c>
      <c r="L4" t="n">
        <v>0</v>
      </c>
      <c r="M4" t="n">
        <v>0</v>
      </c>
      <c r="N4" t="n">
        <v>0</v>
      </c>
      <c r="O4" t="n">
        <v>2</v>
      </c>
      <c r="P4" t="n">
        <v>0</v>
      </c>
      <c r="Q4" t="n">
        <v>12</v>
      </c>
      <c r="R4" s="2" t="inlineStr">
        <is>
          <t>Dropptaggsvamp
Motaggsvamp
Blåmossa
Kornknutmossa
Sotriska
Stor revmossa
Stubbspretmossa
Västlig hakmossa
Spillkråka
Kungsfågel
Vanlig groda
Revlummer</t>
        </is>
      </c>
      <c r="S4">
        <f>HYPERLINK("https://klasma.github.io/Logging_1440/artfynd/A 32849-2023 artfynd.xlsx", "A 32849-2023")</f>
        <v/>
      </c>
      <c r="T4">
        <f>HYPERLINK("https://klasma.github.io/Logging_1440/kartor/A 32849-2023 karta.png", "A 32849-2023")</f>
        <v/>
      </c>
      <c r="V4">
        <f>HYPERLINK("https://klasma.github.io/Logging_1440/klagomål/A 32849-2023 FSC-klagomål.docx", "A 32849-2023")</f>
        <v/>
      </c>
      <c r="W4">
        <f>HYPERLINK("https://klasma.github.io/Logging_1440/klagomålsmail/A 32849-2023 FSC-klagomål mail.docx", "A 32849-2023")</f>
        <v/>
      </c>
      <c r="X4">
        <f>HYPERLINK("https://klasma.github.io/Logging_1440/tillsyn/A 32849-2023 tillsynsbegäran.docx", "A 32849-2023")</f>
        <v/>
      </c>
      <c r="Y4">
        <f>HYPERLINK("https://klasma.github.io/Logging_1440/tillsynsmail/A 32849-2023 tillsynsbegäran mail.docx", "A 32849-2023")</f>
        <v/>
      </c>
      <c r="Z4">
        <f>HYPERLINK("https://klasma.github.io/Logging_1440/fåglar/A 32849-2023 prioriterade fågelarter.docx", "A 32849-2023")</f>
        <v/>
      </c>
    </row>
    <row r="5" ht="15" customHeight="1">
      <c r="A5" t="inlineStr">
        <is>
          <t>A 41294-2024</t>
        </is>
      </c>
      <c r="B5" s="1" t="n">
        <v>45559</v>
      </c>
      <c r="C5" s="1" t="n">
        <v>46191</v>
      </c>
      <c r="D5" t="inlineStr">
        <is>
          <t>VÄSTRA GÖTALANDS LÄN</t>
        </is>
      </c>
      <c r="E5" t="inlineStr">
        <is>
          <t>ALE</t>
        </is>
      </c>
      <c r="G5" t="n">
        <v>3</v>
      </c>
      <c r="H5" t="n">
        <v>6</v>
      </c>
      <c r="I5" t="n">
        <v>6</v>
      </c>
      <c r="J5" t="n">
        <v>1</v>
      </c>
      <c r="K5" t="n">
        <v>0</v>
      </c>
      <c r="L5" t="n">
        <v>0</v>
      </c>
      <c r="M5" t="n">
        <v>0</v>
      </c>
      <c r="N5" t="n">
        <v>0</v>
      </c>
      <c r="O5" t="n">
        <v>1</v>
      </c>
      <c r="P5" t="n">
        <v>0</v>
      </c>
      <c r="Q5" t="n">
        <v>12</v>
      </c>
      <c r="R5" s="2" t="inlineStr">
        <is>
          <t>Talltita
Björksplintborre
Grönpyrola
Kornknutmossa
Smal svampklubba
Stor revmossa
Västlig hakmossa
Spillkråka
Tjäder
Grönsiska
Kungsfågel
Revlummer</t>
        </is>
      </c>
      <c r="S5">
        <f>HYPERLINK("https://klasma.github.io/Logging_1440/artfynd/A 41294-2024 artfynd.xlsx", "A 41294-2024")</f>
        <v/>
      </c>
      <c r="T5">
        <f>HYPERLINK("https://klasma.github.io/Logging_1440/kartor/A 41294-2024 karta.png", "A 41294-2024")</f>
        <v/>
      </c>
      <c r="V5">
        <f>HYPERLINK("https://klasma.github.io/Logging_1440/klagomål/A 41294-2024 FSC-klagomål.docx", "A 41294-2024")</f>
        <v/>
      </c>
      <c r="W5">
        <f>HYPERLINK("https://klasma.github.io/Logging_1440/klagomålsmail/A 41294-2024 FSC-klagomål mail.docx", "A 41294-2024")</f>
        <v/>
      </c>
      <c r="X5">
        <f>HYPERLINK("https://klasma.github.io/Logging_1440/tillsyn/A 41294-2024 tillsynsbegäran.docx", "A 41294-2024")</f>
        <v/>
      </c>
      <c r="Y5">
        <f>HYPERLINK("https://klasma.github.io/Logging_1440/tillsynsmail/A 41294-2024 tillsynsbegäran mail.docx", "A 41294-2024")</f>
        <v/>
      </c>
      <c r="Z5">
        <f>HYPERLINK("https://klasma.github.io/Logging_1440/fåglar/A 41294-2024 prioriterade fågelarter.docx", "A 41294-2024")</f>
        <v/>
      </c>
    </row>
    <row r="6" ht="15" customHeight="1">
      <c r="A6" t="inlineStr">
        <is>
          <t>A 8113-2026</t>
        </is>
      </c>
      <c r="B6" s="1" t="n">
        <v>46062</v>
      </c>
      <c r="C6" s="1" t="n">
        <v>46191</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15890-2026</t>
        </is>
      </c>
      <c r="B7" s="1" t="n">
        <v>46107</v>
      </c>
      <c r="C7" s="1" t="n">
        <v>46191</v>
      </c>
      <c r="D7" t="inlineStr">
        <is>
          <t>VÄSTRA GÖTALANDS LÄN</t>
        </is>
      </c>
      <c r="E7" t="inlineStr">
        <is>
          <t>ALE</t>
        </is>
      </c>
      <c r="G7" t="n">
        <v>6.1</v>
      </c>
      <c r="H7" t="n">
        <v>6</v>
      </c>
      <c r="I7" t="n">
        <v>1</v>
      </c>
      <c r="J7" t="n">
        <v>2</v>
      </c>
      <c r="K7" t="n">
        <v>0</v>
      </c>
      <c r="L7" t="n">
        <v>0</v>
      </c>
      <c r="M7" t="n">
        <v>0</v>
      </c>
      <c r="N7" t="n">
        <v>0</v>
      </c>
      <c r="O7" t="n">
        <v>2</v>
      </c>
      <c r="P7" t="n">
        <v>0</v>
      </c>
      <c r="Q7" t="n">
        <v>8</v>
      </c>
      <c r="R7" s="2" t="inlineStr">
        <is>
          <t>Gulsparv
Talltita
Björksplintborre
Spillkråka
Späd frullania
Kungsfågel
Lopplummer (aggregat)
Revlummer</t>
        </is>
      </c>
      <c r="S7">
        <f>HYPERLINK("https://klasma.github.io/Logging_1440/artfynd/A 15890-2026 artfynd.xlsx", "A 15890-2026")</f>
        <v/>
      </c>
      <c r="T7">
        <f>HYPERLINK("https://klasma.github.io/Logging_1440/kartor/A 15890-2026 karta.png", "A 15890-2026")</f>
        <v/>
      </c>
      <c r="V7">
        <f>HYPERLINK("https://klasma.github.io/Logging_1440/klagomål/A 15890-2026 FSC-klagomål.docx", "A 15890-2026")</f>
        <v/>
      </c>
      <c r="W7">
        <f>HYPERLINK("https://klasma.github.io/Logging_1440/klagomålsmail/A 15890-2026 FSC-klagomål mail.docx", "A 15890-2026")</f>
        <v/>
      </c>
      <c r="X7">
        <f>HYPERLINK("https://klasma.github.io/Logging_1440/tillsyn/A 15890-2026 tillsynsbegäran.docx", "A 15890-2026")</f>
        <v/>
      </c>
      <c r="Y7">
        <f>HYPERLINK("https://klasma.github.io/Logging_1440/tillsynsmail/A 15890-2026 tillsynsbegäran mail.docx", "A 15890-2026")</f>
        <v/>
      </c>
      <c r="Z7">
        <f>HYPERLINK("https://klasma.github.io/Logging_1440/fåglar/A 15890-2026 prioriterade fågelarter.docx", "A 15890-2026")</f>
        <v/>
      </c>
    </row>
    <row r="8" ht="15" customHeight="1">
      <c r="A8" t="inlineStr">
        <is>
          <t>A 7903-2024</t>
        </is>
      </c>
      <c r="B8" s="1" t="n">
        <v>45350</v>
      </c>
      <c r="C8" s="1" t="n">
        <v>46191</v>
      </c>
      <c r="D8" t="inlineStr">
        <is>
          <t>VÄSTRA GÖTALANDS LÄN</t>
        </is>
      </c>
      <c r="E8" t="inlineStr">
        <is>
          <t>ALE</t>
        </is>
      </c>
      <c r="G8" t="n">
        <v>4.2</v>
      </c>
      <c r="H8" t="n">
        <v>5</v>
      </c>
      <c r="I8" t="n">
        <v>3</v>
      </c>
      <c r="J8" t="n">
        <v>2</v>
      </c>
      <c r="K8" t="n">
        <v>0</v>
      </c>
      <c r="L8" t="n">
        <v>0</v>
      </c>
      <c r="M8" t="n">
        <v>0</v>
      </c>
      <c r="N8" t="n">
        <v>0</v>
      </c>
      <c r="O8" t="n">
        <v>2</v>
      </c>
      <c r="P8" t="n">
        <v>0</v>
      </c>
      <c r="Q8" t="n">
        <v>8</v>
      </c>
      <c r="R8" s="2" t="inlineStr">
        <is>
          <t>Entita
Talltita
Björksplintborre
Guldlockmossa
Platt fjädermossa
Spillkråka
Kungsfågel
Vanlig snok</t>
        </is>
      </c>
      <c r="S8">
        <f>HYPERLINK("https://klasma.github.io/Logging_1440/artfynd/A 7903-2024 artfynd.xlsx", "A 7903-2024")</f>
        <v/>
      </c>
      <c r="T8">
        <f>HYPERLINK("https://klasma.github.io/Logging_1440/kartor/A 7903-2024 karta.png", "A 7903-2024")</f>
        <v/>
      </c>
      <c r="V8">
        <f>HYPERLINK("https://klasma.github.io/Logging_1440/klagomål/A 7903-2024 FSC-klagomål.docx", "A 7903-2024")</f>
        <v/>
      </c>
      <c r="W8">
        <f>HYPERLINK("https://klasma.github.io/Logging_1440/klagomålsmail/A 7903-2024 FSC-klagomål mail.docx", "A 7903-2024")</f>
        <v/>
      </c>
      <c r="X8">
        <f>HYPERLINK("https://klasma.github.io/Logging_1440/tillsyn/A 7903-2024 tillsynsbegäran.docx", "A 7903-2024")</f>
        <v/>
      </c>
      <c r="Y8">
        <f>HYPERLINK("https://klasma.github.io/Logging_1440/tillsynsmail/A 7903-2024 tillsynsbegäran mail.docx", "A 7903-2024")</f>
        <v/>
      </c>
      <c r="Z8">
        <f>HYPERLINK("https://klasma.github.io/Logging_1440/fåglar/A 7903-2024 prioriterade fågelarter.docx", "A 7903-2024")</f>
        <v/>
      </c>
    </row>
    <row r="9" ht="15" customHeight="1">
      <c r="A9" t="inlineStr">
        <is>
          <t>A 40059-2025</t>
        </is>
      </c>
      <c r="B9" s="1" t="n">
        <v>45894</v>
      </c>
      <c r="C9" s="1" t="n">
        <v>46191</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46191</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46191</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46191</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12084-2025</t>
        </is>
      </c>
      <c r="B13" s="1" t="n">
        <v>45728</v>
      </c>
      <c r="C13" s="1" t="n">
        <v>46191</v>
      </c>
      <c r="D13" t="inlineStr">
        <is>
          <t>VÄSTRA GÖTALANDS LÄN</t>
        </is>
      </c>
      <c r="E13" t="inlineStr">
        <is>
          <t>ALE</t>
        </is>
      </c>
      <c r="G13" t="n">
        <v>2.4</v>
      </c>
      <c r="H13" t="n">
        <v>4</v>
      </c>
      <c r="I13" t="n">
        <v>1</v>
      </c>
      <c r="J13" t="n">
        <v>0</v>
      </c>
      <c r="K13" t="n">
        <v>0</v>
      </c>
      <c r="L13" t="n">
        <v>0</v>
      </c>
      <c r="M13" t="n">
        <v>0</v>
      </c>
      <c r="N13" t="n">
        <v>0</v>
      </c>
      <c r="O13" t="n">
        <v>0</v>
      </c>
      <c r="P13" t="n">
        <v>0</v>
      </c>
      <c r="Q13" t="n">
        <v>5</v>
      </c>
      <c r="R13" s="2" t="inlineStr">
        <is>
          <t>Västlig hakmossa
Spillkråka
Kungsfågel
Lopplummer (aggregat)
Äkta lopplummer</t>
        </is>
      </c>
      <c r="S13">
        <f>HYPERLINK("https://klasma.github.io/Logging_1440/artfynd/A 12084-2025 artfynd.xlsx", "A 12084-2025")</f>
        <v/>
      </c>
      <c r="T13">
        <f>HYPERLINK("https://klasma.github.io/Logging_1440/kartor/A 12084-2025 karta.png", "A 12084-2025")</f>
        <v/>
      </c>
      <c r="V13">
        <f>HYPERLINK("https://klasma.github.io/Logging_1440/klagomål/A 12084-2025 FSC-klagomål.docx", "A 12084-2025")</f>
        <v/>
      </c>
      <c r="W13">
        <f>HYPERLINK("https://klasma.github.io/Logging_1440/klagomålsmail/A 12084-2025 FSC-klagomål mail.docx", "A 12084-2025")</f>
        <v/>
      </c>
      <c r="X13">
        <f>HYPERLINK("https://klasma.github.io/Logging_1440/tillsyn/A 12084-2025 tillsynsbegäran.docx", "A 12084-2025")</f>
        <v/>
      </c>
      <c r="Y13">
        <f>HYPERLINK("https://klasma.github.io/Logging_1440/tillsynsmail/A 12084-2025 tillsynsbegäran mail.docx", "A 12084-2025")</f>
        <v/>
      </c>
      <c r="Z13">
        <f>HYPERLINK("https://klasma.github.io/Logging_1440/fåglar/A 12084-2025 prioriterade fågelarter.docx", "A 12084-2025")</f>
        <v/>
      </c>
    </row>
    <row r="14" ht="15" customHeight="1">
      <c r="A14" t="inlineStr">
        <is>
          <t>A 26491-2024</t>
        </is>
      </c>
      <c r="B14" s="1" t="n">
        <v>45469</v>
      </c>
      <c r="C14" s="1" t="n">
        <v>46191</v>
      </c>
      <c r="D14" t="inlineStr">
        <is>
          <t>VÄSTRA GÖTALANDS LÄN</t>
        </is>
      </c>
      <c r="E14" t="inlineStr">
        <is>
          <t>ALE</t>
        </is>
      </c>
      <c r="G14" t="n">
        <v>5.3</v>
      </c>
      <c r="H14" t="n">
        <v>2</v>
      </c>
      <c r="I14" t="n">
        <v>3</v>
      </c>
      <c r="J14" t="n">
        <v>1</v>
      </c>
      <c r="K14" t="n">
        <v>0</v>
      </c>
      <c r="L14" t="n">
        <v>0</v>
      </c>
      <c r="M14" t="n">
        <v>0</v>
      </c>
      <c r="N14" t="n">
        <v>0</v>
      </c>
      <c r="O14" t="n">
        <v>1</v>
      </c>
      <c r="P14" t="n">
        <v>0</v>
      </c>
      <c r="Q14" t="n">
        <v>5</v>
      </c>
      <c r="R14" s="2" t="inlineStr">
        <is>
          <t>Duvhök
Gulpudrad spiklav
Rostfläck
Sotlav
Spillkråka</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63575-2023</t>
        </is>
      </c>
      <c r="B15" s="1" t="n">
        <v>45275</v>
      </c>
      <c r="C15" s="1" t="n">
        <v>46191</v>
      </c>
      <c r="D15" t="inlineStr">
        <is>
          <t>VÄSTRA GÖTALANDS LÄN</t>
        </is>
      </c>
      <c r="E15" t="inlineStr">
        <is>
          <t>ALE</t>
        </is>
      </c>
      <c r="G15" t="n">
        <v>1.2</v>
      </c>
      <c r="H15" t="n">
        <v>3</v>
      </c>
      <c r="I15" t="n">
        <v>2</v>
      </c>
      <c r="J15" t="n">
        <v>2</v>
      </c>
      <c r="K15" t="n">
        <v>0</v>
      </c>
      <c r="L15" t="n">
        <v>0</v>
      </c>
      <c r="M15" t="n">
        <v>0</v>
      </c>
      <c r="N15" t="n">
        <v>0</v>
      </c>
      <c r="O15" t="n">
        <v>2</v>
      </c>
      <c r="P15" t="n">
        <v>0</v>
      </c>
      <c r="Q15" t="n">
        <v>5</v>
      </c>
      <c r="R15" s="2" t="inlineStr">
        <is>
          <t>Gulsparv
Talltita
Stor revmossa
Vågbandad barkbock
Spillkråka</t>
        </is>
      </c>
      <c r="S15">
        <f>HYPERLINK("https://klasma.github.io/Logging_1440/artfynd/A 63575-2023 artfynd.xlsx", "A 63575-2023")</f>
        <v/>
      </c>
      <c r="T15">
        <f>HYPERLINK("https://klasma.github.io/Logging_1440/kartor/A 63575-2023 karta.png", "A 63575-2023")</f>
        <v/>
      </c>
      <c r="V15">
        <f>HYPERLINK("https://klasma.github.io/Logging_1440/klagomål/A 63575-2023 FSC-klagomål.docx", "A 63575-2023")</f>
        <v/>
      </c>
      <c r="W15">
        <f>HYPERLINK("https://klasma.github.io/Logging_1440/klagomålsmail/A 63575-2023 FSC-klagomål mail.docx", "A 63575-2023")</f>
        <v/>
      </c>
      <c r="X15">
        <f>HYPERLINK("https://klasma.github.io/Logging_1440/tillsyn/A 63575-2023 tillsynsbegäran.docx", "A 63575-2023")</f>
        <v/>
      </c>
      <c r="Y15">
        <f>HYPERLINK("https://klasma.github.io/Logging_1440/tillsynsmail/A 63575-2023 tillsynsbegäran mail.docx", "A 63575-2023")</f>
        <v/>
      </c>
      <c r="Z15">
        <f>HYPERLINK("https://klasma.github.io/Logging_1440/fåglar/A 63575-2023 prioriterade fågelarter.docx", "A 63575-2023")</f>
        <v/>
      </c>
    </row>
    <row r="16" ht="15" customHeight="1">
      <c r="A16" t="inlineStr">
        <is>
          <t>A 11516-2026</t>
        </is>
      </c>
      <c r="B16" s="1" t="n">
        <v>46083</v>
      </c>
      <c r="C16" s="1" t="n">
        <v>46191</v>
      </c>
      <c r="D16" t="inlineStr">
        <is>
          <t>VÄSTRA GÖTALANDS LÄN</t>
        </is>
      </c>
      <c r="E16" t="inlineStr">
        <is>
          <t>ALE</t>
        </is>
      </c>
      <c r="G16" t="n">
        <v>1.2</v>
      </c>
      <c r="H16" t="n">
        <v>3</v>
      </c>
      <c r="I16" t="n">
        <v>0</v>
      </c>
      <c r="J16" t="n">
        <v>0</v>
      </c>
      <c r="K16" t="n">
        <v>0</v>
      </c>
      <c r="L16" t="n">
        <v>0</v>
      </c>
      <c r="M16" t="n">
        <v>0</v>
      </c>
      <c r="N16" t="n">
        <v>0</v>
      </c>
      <c r="O16" t="n">
        <v>0</v>
      </c>
      <c r="P16" t="n">
        <v>0</v>
      </c>
      <c r="Q16" t="n">
        <v>4</v>
      </c>
      <c r="R16" s="2" t="inlineStr">
        <is>
          <t>Spillkråka
Tofsmes
Vildkaprifol
Revlummer</t>
        </is>
      </c>
      <c r="S16">
        <f>HYPERLINK("https://klasma.github.io/Logging_1440/artfynd/A 11516-2026 artfynd.xlsx", "A 11516-2026")</f>
        <v/>
      </c>
      <c r="T16">
        <f>HYPERLINK("https://klasma.github.io/Logging_1440/kartor/A 11516-2026 karta.png", "A 11516-2026")</f>
        <v/>
      </c>
      <c r="V16">
        <f>HYPERLINK("https://klasma.github.io/Logging_1440/klagomål/A 11516-2026 FSC-klagomål.docx", "A 11516-2026")</f>
        <v/>
      </c>
      <c r="W16">
        <f>HYPERLINK("https://klasma.github.io/Logging_1440/klagomålsmail/A 11516-2026 FSC-klagomål mail.docx", "A 11516-2026")</f>
        <v/>
      </c>
      <c r="X16">
        <f>HYPERLINK("https://klasma.github.io/Logging_1440/tillsyn/A 11516-2026 tillsynsbegäran.docx", "A 11516-2026")</f>
        <v/>
      </c>
      <c r="Y16">
        <f>HYPERLINK("https://klasma.github.io/Logging_1440/tillsynsmail/A 11516-2026 tillsynsbegäran mail.docx", "A 11516-2026")</f>
        <v/>
      </c>
      <c r="Z16">
        <f>HYPERLINK("https://klasma.github.io/Logging_1440/fåglar/A 11516-2026 prioriterade fågelarter.docx", "A 11516-2026")</f>
        <v/>
      </c>
    </row>
    <row r="17" ht="15" customHeight="1">
      <c r="A17" t="inlineStr">
        <is>
          <t>A 58954-2022</t>
        </is>
      </c>
      <c r="B17" s="1" t="n">
        <v>44903</v>
      </c>
      <c r="C17" s="1" t="n">
        <v>46191</v>
      </c>
      <c r="D17" t="inlineStr">
        <is>
          <t>VÄSTRA GÖTALANDS LÄN</t>
        </is>
      </c>
      <c r="E17" t="inlineStr">
        <is>
          <t>ALE</t>
        </is>
      </c>
      <c r="G17" t="n">
        <v>2.3</v>
      </c>
      <c r="H17" t="n">
        <v>1</v>
      </c>
      <c r="I17" t="n">
        <v>2</v>
      </c>
      <c r="J17" t="n">
        <v>1</v>
      </c>
      <c r="K17" t="n">
        <v>0</v>
      </c>
      <c r="L17" t="n">
        <v>0</v>
      </c>
      <c r="M17" t="n">
        <v>0</v>
      </c>
      <c r="N17" t="n">
        <v>0</v>
      </c>
      <c r="O17" t="n">
        <v>1</v>
      </c>
      <c r="P17" t="n">
        <v>0</v>
      </c>
      <c r="Q17" t="n">
        <v>4</v>
      </c>
      <c r="R17" s="2" t="inlineStr">
        <is>
          <t>Dropptaggsvamp
Blåmossa
Västlig hakmossa
Spillkråka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40931-2025</t>
        </is>
      </c>
      <c r="B18" s="1" t="n">
        <v>45897</v>
      </c>
      <c r="C18" s="1" t="n">
        <v>46191</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47330-2025</t>
        </is>
      </c>
      <c r="B19" s="1" t="n">
        <v>45930</v>
      </c>
      <c r="C19" s="1" t="n">
        <v>46191</v>
      </c>
      <c r="D19" t="inlineStr">
        <is>
          <t>VÄSTRA GÖTALANDS LÄN</t>
        </is>
      </c>
      <c r="E19" t="inlineStr">
        <is>
          <t>ALE</t>
        </is>
      </c>
      <c r="G19" t="n">
        <v>3.7</v>
      </c>
      <c r="H19" t="n">
        <v>2</v>
      </c>
      <c r="I19" t="n">
        <v>0</v>
      </c>
      <c r="J19" t="n">
        <v>1</v>
      </c>
      <c r="K19" t="n">
        <v>0</v>
      </c>
      <c r="L19" t="n">
        <v>0</v>
      </c>
      <c r="M19" t="n">
        <v>0</v>
      </c>
      <c r="N19" t="n">
        <v>0</v>
      </c>
      <c r="O19" t="n">
        <v>1</v>
      </c>
      <c r="P19" t="n">
        <v>0</v>
      </c>
      <c r="Q19" t="n">
        <v>3</v>
      </c>
      <c r="R19" s="2" t="inlineStr">
        <is>
          <t>Älg
Spillkråka
Revlummer</t>
        </is>
      </c>
      <c r="S19">
        <f>HYPERLINK("https://klasma.github.io/Logging_1440/artfynd/A 47330-2025 artfynd.xlsx", "A 47330-2025")</f>
        <v/>
      </c>
      <c r="T19">
        <f>HYPERLINK("https://klasma.github.io/Logging_1440/kartor/A 47330-2025 karta.png", "A 47330-2025")</f>
        <v/>
      </c>
      <c r="V19">
        <f>HYPERLINK("https://klasma.github.io/Logging_1440/klagomål/A 47330-2025 FSC-klagomål.docx", "A 47330-2025")</f>
        <v/>
      </c>
      <c r="W19">
        <f>HYPERLINK("https://klasma.github.io/Logging_1440/klagomålsmail/A 47330-2025 FSC-klagomål mail.docx", "A 47330-2025")</f>
        <v/>
      </c>
      <c r="X19">
        <f>HYPERLINK("https://klasma.github.io/Logging_1440/tillsyn/A 47330-2025 tillsynsbegäran.docx", "A 47330-2025")</f>
        <v/>
      </c>
      <c r="Y19">
        <f>HYPERLINK("https://klasma.github.io/Logging_1440/tillsynsmail/A 47330-2025 tillsynsbegäran mail.docx", "A 47330-2025")</f>
        <v/>
      </c>
      <c r="Z19">
        <f>HYPERLINK("https://klasma.github.io/Logging_1440/fåglar/A 47330-2025 prioriterade fågelarter.docx", "A 47330-2025")</f>
        <v/>
      </c>
    </row>
    <row r="20" ht="15" customHeight="1">
      <c r="A20" t="inlineStr">
        <is>
          <t>A 14048-2026</t>
        </is>
      </c>
      <c r="B20" s="1" t="n">
        <v>46099</v>
      </c>
      <c r="C20" s="1" t="n">
        <v>46191</v>
      </c>
      <c r="D20" t="inlineStr">
        <is>
          <t>VÄSTRA GÖTALANDS LÄN</t>
        </is>
      </c>
      <c r="E20" t="inlineStr">
        <is>
          <t>ALE</t>
        </is>
      </c>
      <c r="G20" t="n">
        <v>1.5</v>
      </c>
      <c r="H20" t="n">
        <v>1</v>
      </c>
      <c r="I20" t="n">
        <v>2</v>
      </c>
      <c r="J20" t="n">
        <v>0</v>
      </c>
      <c r="K20" t="n">
        <v>0</v>
      </c>
      <c r="L20" t="n">
        <v>0</v>
      </c>
      <c r="M20" t="n">
        <v>0</v>
      </c>
      <c r="N20" t="n">
        <v>0</v>
      </c>
      <c r="O20" t="n">
        <v>0</v>
      </c>
      <c r="P20" t="n">
        <v>0</v>
      </c>
      <c r="Q20" t="n">
        <v>3</v>
      </c>
      <c r="R20" s="2" t="inlineStr">
        <is>
          <t>Klippfrullania
Västlig hakmossa
Spillkråka</t>
        </is>
      </c>
      <c r="S20">
        <f>HYPERLINK("https://klasma.github.io/Logging_1440/artfynd/A 14048-2026 artfynd.xlsx", "A 14048-2026")</f>
        <v/>
      </c>
      <c r="T20">
        <f>HYPERLINK("https://klasma.github.io/Logging_1440/kartor/A 14048-2026 karta.png", "A 14048-2026")</f>
        <v/>
      </c>
      <c r="V20">
        <f>HYPERLINK("https://klasma.github.io/Logging_1440/klagomål/A 14048-2026 FSC-klagomål.docx", "A 14048-2026")</f>
        <v/>
      </c>
      <c r="W20">
        <f>HYPERLINK("https://klasma.github.io/Logging_1440/klagomålsmail/A 14048-2026 FSC-klagomål mail.docx", "A 14048-2026")</f>
        <v/>
      </c>
      <c r="X20">
        <f>HYPERLINK("https://klasma.github.io/Logging_1440/tillsyn/A 14048-2026 tillsynsbegäran.docx", "A 14048-2026")</f>
        <v/>
      </c>
      <c r="Y20">
        <f>HYPERLINK("https://klasma.github.io/Logging_1440/tillsynsmail/A 14048-2026 tillsynsbegäran mail.docx", "A 14048-2026")</f>
        <v/>
      </c>
      <c r="Z20">
        <f>HYPERLINK("https://klasma.github.io/Logging_1440/fåglar/A 14048-2026 prioriterade fågelarter.docx", "A 14048-2026")</f>
        <v/>
      </c>
    </row>
    <row r="21" ht="15" customHeight="1">
      <c r="A21" t="inlineStr">
        <is>
          <t>A 37461-2024</t>
        </is>
      </c>
      <c r="B21" s="1" t="n">
        <v>45540</v>
      </c>
      <c r="C21" s="1" t="n">
        <v>46191</v>
      </c>
      <c r="D21" t="inlineStr">
        <is>
          <t>VÄSTRA GÖTALANDS LÄN</t>
        </is>
      </c>
      <c r="E21" t="inlineStr">
        <is>
          <t>ALE</t>
        </is>
      </c>
      <c r="G21" t="n">
        <v>1.6</v>
      </c>
      <c r="H21" t="n">
        <v>1</v>
      </c>
      <c r="I21" t="n">
        <v>2</v>
      </c>
      <c r="J21" t="n">
        <v>0</v>
      </c>
      <c r="K21" t="n">
        <v>0</v>
      </c>
      <c r="L21" t="n">
        <v>0</v>
      </c>
      <c r="M21" t="n">
        <v>0</v>
      </c>
      <c r="N21" t="n">
        <v>0</v>
      </c>
      <c r="O21" t="n">
        <v>0</v>
      </c>
      <c r="P21" t="n">
        <v>0</v>
      </c>
      <c r="Q21" t="n">
        <v>3</v>
      </c>
      <c r="R21" s="2" t="inlineStr">
        <is>
          <t>Björksplintborre
Gulnål
Spillkråka</t>
        </is>
      </c>
      <c r="S21">
        <f>HYPERLINK("https://klasma.github.io/Logging_1440/artfynd/A 37461-2024 artfynd.xlsx", "A 37461-2024")</f>
        <v/>
      </c>
      <c r="T21">
        <f>HYPERLINK("https://klasma.github.io/Logging_1440/kartor/A 37461-2024 karta.png", "A 37461-2024")</f>
        <v/>
      </c>
      <c r="V21">
        <f>HYPERLINK("https://klasma.github.io/Logging_1440/klagomål/A 37461-2024 FSC-klagomål.docx", "A 37461-2024")</f>
        <v/>
      </c>
      <c r="W21">
        <f>HYPERLINK("https://klasma.github.io/Logging_1440/klagomålsmail/A 37461-2024 FSC-klagomål mail.docx", "A 37461-2024")</f>
        <v/>
      </c>
      <c r="X21">
        <f>HYPERLINK("https://klasma.github.io/Logging_1440/tillsyn/A 37461-2024 tillsynsbegäran.docx", "A 37461-2024")</f>
        <v/>
      </c>
      <c r="Y21">
        <f>HYPERLINK("https://klasma.github.io/Logging_1440/tillsynsmail/A 37461-2024 tillsynsbegäran mail.docx", "A 37461-2024")</f>
        <v/>
      </c>
      <c r="Z21">
        <f>HYPERLINK("https://klasma.github.io/Logging_1440/fåglar/A 37461-2024 prioriterade fågelarter.docx", "A 37461-2024")</f>
        <v/>
      </c>
    </row>
    <row r="22" ht="15" customHeight="1">
      <c r="A22" t="inlineStr">
        <is>
          <t>A 45986-2021</t>
        </is>
      </c>
      <c r="B22" s="1" t="n">
        <v>44441</v>
      </c>
      <c r="C22" s="1" t="n">
        <v>46191</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13306-2026</t>
        </is>
      </c>
      <c r="B23" s="1" t="n">
        <v>46094</v>
      </c>
      <c r="C23" s="1" t="n">
        <v>46191</v>
      </c>
      <c r="D23" t="inlineStr">
        <is>
          <t>VÄSTRA GÖTALANDS LÄN</t>
        </is>
      </c>
      <c r="E23" t="inlineStr">
        <is>
          <t>ALE</t>
        </is>
      </c>
      <c r="G23" t="n">
        <v>9.699999999999999</v>
      </c>
      <c r="H23" t="n">
        <v>2</v>
      </c>
      <c r="I23" t="n">
        <v>0</v>
      </c>
      <c r="J23" t="n">
        <v>0</v>
      </c>
      <c r="K23" t="n">
        <v>0</v>
      </c>
      <c r="L23" t="n">
        <v>0</v>
      </c>
      <c r="M23" t="n">
        <v>0</v>
      </c>
      <c r="N23" t="n">
        <v>0</v>
      </c>
      <c r="O23" t="n">
        <v>0</v>
      </c>
      <c r="P23" t="n">
        <v>0</v>
      </c>
      <c r="Q23" t="n">
        <v>2</v>
      </c>
      <c r="R23" s="2" t="inlineStr">
        <is>
          <t>Större vattensalamander
Åkergroda</t>
        </is>
      </c>
      <c r="S23">
        <f>HYPERLINK("https://klasma.github.io/Logging_1440/artfynd/A 13306-2026 artfynd.xlsx", "A 13306-2026")</f>
        <v/>
      </c>
      <c r="T23">
        <f>HYPERLINK("https://klasma.github.io/Logging_1440/kartor/A 13306-2026 karta.png", "A 13306-2026")</f>
        <v/>
      </c>
      <c r="V23">
        <f>HYPERLINK("https://klasma.github.io/Logging_1440/klagomål/A 13306-2026 FSC-klagomål.docx", "A 13306-2026")</f>
        <v/>
      </c>
      <c r="W23">
        <f>HYPERLINK("https://klasma.github.io/Logging_1440/klagomålsmail/A 13306-2026 FSC-klagomål mail.docx", "A 13306-2026")</f>
        <v/>
      </c>
      <c r="X23">
        <f>HYPERLINK("https://klasma.github.io/Logging_1440/tillsyn/A 13306-2026 tillsynsbegäran.docx", "A 13306-2026")</f>
        <v/>
      </c>
      <c r="Y23">
        <f>HYPERLINK("https://klasma.github.io/Logging_1440/tillsynsmail/A 13306-2026 tillsynsbegäran mail.docx", "A 13306-2026")</f>
        <v/>
      </c>
    </row>
    <row r="24" ht="15" customHeight="1">
      <c r="A24" t="inlineStr">
        <is>
          <t>A 3413-2023</t>
        </is>
      </c>
      <c r="B24" s="1" t="n">
        <v>44949</v>
      </c>
      <c r="C24" s="1" t="n">
        <v>46191</v>
      </c>
      <c r="D24" t="inlineStr">
        <is>
          <t>VÄSTRA GÖTALANDS LÄN</t>
        </is>
      </c>
      <c r="E24" t="inlineStr">
        <is>
          <t>ALE</t>
        </is>
      </c>
      <c r="G24" t="n">
        <v>2.3</v>
      </c>
      <c r="H24" t="n">
        <v>2</v>
      </c>
      <c r="I24" t="n">
        <v>0</v>
      </c>
      <c r="J24" t="n">
        <v>0</v>
      </c>
      <c r="K24" t="n">
        <v>0</v>
      </c>
      <c r="L24" t="n">
        <v>0</v>
      </c>
      <c r="M24" t="n">
        <v>0</v>
      </c>
      <c r="N24" t="n">
        <v>0</v>
      </c>
      <c r="O24" t="n">
        <v>0</v>
      </c>
      <c r="P24" t="n">
        <v>0</v>
      </c>
      <c r="Q24" t="n">
        <v>2</v>
      </c>
      <c r="R24" s="2" t="inlineStr">
        <is>
          <t>Vanlig padda
Revlummer</t>
        </is>
      </c>
      <c r="S24">
        <f>HYPERLINK("https://klasma.github.io/Logging_1440/artfynd/A 3413-2023 artfynd.xlsx", "A 3413-2023")</f>
        <v/>
      </c>
      <c r="T24">
        <f>HYPERLINK("https://klasma.github.io/Logging_1440/kartor/A 3413-2023 karta.png", "A 3413-2023")</f>
        <v/>
      </c>
      <c r="V24">
        <f>HYPERLINK("https://klasma.github.io/Logging_1440/klagomål/A 3413-2023 FSC-klagomål.docx", "A 3413-2023")</f>
        <v/>
      </c>
      <c r="W24">
        <f>HYPERLINK("https://klasma.github.io/Logging_1440/klagomålsmail/A 3413-2023 FSC-klagomål mail.docx", "A 3413-2023")</f>
        <v/>
      </c>
      <c r="X24">
        <f>HYPERLINK("https://klasma.github.io/Logging_1440/tillsyn/A 3413-2023 tillsynsbegäran.docx", "A 3413-2023")</f>
        <v/>
      </c>
      <c r="Y24">
        <f>HYPERLINK("https://klasma.github.io/Logging_1440/tillsynsmail/A 3413-2023 tillsynsbegäran mail.docx", "A 3413-2023")</f>
        <v/>
      </c>
    </row>
    <row r="25" ht="15" customHeight="1">
      <c r="A25" t="inlineStr">
        <is>
          <t>A 12982-2024</t>
        </is>
      </c>
      <c r="B25" s="1" t="n">
        <v>45385</v>
      </c>
      <c r="C25" s="1" t="n">
        <v>46191</v>
      </c>
      <c r="D25" t="inlineStr">
        <is>
          <t>VÄSTRA GÖTALANDS LÄN</t>
        </is>
      </c>
      <c r="E25" t="inlineStr">
        <is>
          <t>ALE</t>
        </is>
      </c>
      <c r="G25" t="n">
        <v>3.3</v>
      </c>
      <c r="H25" t="n">
        <v>2</v>
      </c>
      <c r="I25" t="n">
        <v>0</v>
      </c>
      <c r="J25" t="n">
        <v>0</v>
      </c>
      <c r="K25" t="n">
        <v>0</v>
      </c>
      <c r="L25" t="n">
        <v>0</v>
      </c>
      <c r="M25" t="n">
        <v>0</v>
      </c>
      <c r="N25" t="n">
        <v>0</v>
      </c>
      <c r="O25" t="n">
        <v>0</v>
      </c>
      <c r="P25" t="n">
        <v>0</v>
      </c>
      <c r="Q25" t="n">
        <v>2</v>
      </c>
      <c r="R25" s="2" t="inlineStr">
        <is>
          <t>Orre
Revlummer</t>
        </is>
      </c>
      <c r="S25">
        <f>HYPERLINK("https://klasma.github.io/Logging_1440/artfynd/A 12982-2024 artfynd.xlsx", "A 12982-2024")</f>
        <v/>
      </c>
      <c r="T25">
        <f>HYPERLINK("https://klasma.github.io/Logging_1440/kartor/A 12982-2024 karta.png", "A 12982-2024")</f>
        <v/>
      </c>
      <c r="V25">
        <f>HYPERLINK("https://klasma.github.io/Logging_1440/klagomål/A 12982-2024 FSC-klagomål.docx", "A 12982-2024")</f>
        <v/>
      </c>
      <c r="W25">
        <f>HYPERLINK("https://klasma.github.io/Logging_1440/klagomålsmail/A 12982-2024 FSC-klagomål mail.docx", "A 12982-2024")</f>
        <v/>
      </c>
      <c r="X25">
        <f>HYPERLINK("https://klasma.github.io/Logging_1440/tillsyn/A 12982-2024 tillsynsbegäran.docx", "A 12982-2024")</f>
        <v/>
      </c>
      <c r="Y25">
        <f>HYPERLINK("https://klasma.github.io/Logging_1440/tillsynsmail/A 12982-2024 tillsynsbegäran mail.docx", "A 12982-2024")</f>
        <v/>
      </c>
      <c r="Z25">
        <f>HYPERLINK("https://klasma.github.io/Logging_1440/fåglar/A 12982-2024 prioriterade fågelarter.docx", "A 12982-2024")</f>
        <v/>
      </c>
    </row>
    <row r="26" ht="15" customHeight="1">
      <c r="A26" t="inlineStr">
        <is>
          <t>A 63569-2023</t>
        </is>
      </c>
      <c r="B26" s="1" t="n">
        <v>45275</v>
      </c>
      <c r="C26" s="1" t="n">
        <v>46191</v>
      </c>
      <c r="D26" t="inlineStr">
        <is>
          <t>VÄSTRA GÖTALANDS LÄN</t>
        </is>
      </c>
      <c r="E26" t="inlineStr">
        <is>
          <t>ALE</t>
        </is>
      </c>
      <c r="G26" t="n">
        <v>2.4</v>
      </c>
      <c r="H26" t="n">
        <v>2</v>
      </c>
      <c r="I26" t="n">
        <v>0</v>
      </c>
      <c r="J26" t="n">
        <v>1</v>
      </c>
      <c r="K26" t="n">
        <v>0</v>
      </c>
      <c r="L26" t="n">
        <v>0</v>
      </c>
      <c r="M26" t="n">
        <v>0</v>
      </c>
      <c r="N26" t="n">
        <v>0</v>
      </c>
      <c r="O26" t="n">
        <v>1</v>
      </c>
      <c r="P26" t="n">
        <v>0</v>
      </c>
      <c r="Q26" t="n">
        <v>2</v>
      </c>
      <c r="R26" s="2" t="inlineStr">
        <is>
          <t>Talltita
Spillkråka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2270-2025</t>
        </is>
      </c>
      <c r="B27" s="1" t="n">
        <v>45673</v>
      </c>
      <c r="C27" s="1" t="n">
        <v>46191</v>
      </c>
      <c r="D27" t="inlineStr">
        <is>
          <t>VÄSTRA GÖTALANDS LÄN</t>
        </is>
      </c>
      <c r="E27" t="inlineStr">
        <is>
          <t>ALE</t>
        </is>
      </c>
      <c r="G27" t="n">
        <v>4.1</v>
      </c>
      <c r="H27" t="n">
        <v>2</v>
      </c>
      <c r="I27" t="n">
        <v>0</v>
      </c>
      <c r="J27" t="n">
        <v>0</v>
      </c>
      <c r="K27" t="n">
        <v>0</v>
      </c>
      <c r="L27" t="n">
        <v>0</v>
      </c>
      <c r="M27" t="n">
        <v>0</v>
      </c>
      <c r="N27" t="n">
        <v>0</v>
      </c>
      <c r="O27" t="n">
        <v>0</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1503-2024</t>
        </is>
      </c>
      <c r="B28" s="1" t="n">
        <v>45306</v>
      </c>
      <c r="C28" s="1" t="n">
        <v>46191</v>
      </c>
      <c r="D28" t="inlineStr">
        <is>
          <t>VÄSTRA GÖTALANDS LÄN</t>
        </is>
      </c>
      <c r="E28" t="inlineStr">
        <is>
          <t>ALE</t>
        </is>
      </c>
      <c r="G28" t="n">
        <v>6.6</v>
      </c>
      <c r="H28" t="n">
        <v>2</v>
      </c>
      <c r="I28" t="n">
        <v>0</v>
      </c>
      <c r="J28" t="n">
        <v>0</v>
      </c>
      <c r="K28" t="n">
        <v>0</v>
      </c>
      <c r="L28" t="n">
        <v>0</v>
      </c>
      <c r="M28" t="n">
        <v>0</v>
      </c>
      <c r="N28" t="n">
        <v>0</v>
      </c>
      <c r="O28" t="n">
        <v>0</v>
      </c>
      <c r="P28" t="n">
        <v>0</v>
      </c>
      <c r="Q28" t="n">
        <v>2</v>
      </c>
      <c r="R28" s="2" t="inlineStr">
        <is>
          <t>Spillkråka
Revlummer</t>
        </is>
      </c>
      <c r="S28">
        <f>HYPERLINK("https://klasma.github.io/Logging_1440/artfynd/A 1503-2024 artfynd.xlsx", "A 1503-2024")</f>
        <v/>
      </c>
      <c r="T28">
        <f>HYPERLINK("https://klasma.github.io/Logging_1440/kartor/A 1503-2024 karta.png", "A 1503-2024")</f>
        <v/>
      </c>
      <c r="V28">
        <f>HYPERLINK("https://klasma.github.io/Logging_1440/klagomål/A 1503-2024 FSC-klagomål.docx", "A 1503-2024")</f>
        <v/>
      </c>
      <c r="W28">
        <f>HYPERLINK("https://klasma.github.io/Logging_1440/klagomålsmail/A 1503-2024 FSC-klagomål mail.docx", "A 1503-2024")</f>
        <v/>
      </c>
      <c r="X28">
        <f>HYPERLINK("https://klasma.github.io/Logging_1440/tillsyn/A 1503-2024 tillsynsbegäran.docx", "A 1503-2024")</f>
        <v/>
      </c>
      <c r="Y28">
        <f>HYPERLINK("https://klasma.github.io/Logging_1440/tillsynsmail/A 1503-2024 tillsynsbegäran mail.docx", "A 1503-2024")</f>
        <v/>
      </c>
      <c r="Z28">
        <f>HYPERLINK("https://klasma.github.io/Logging_1440/fåglar/A 1503-2024 prioriterade fågelarter.docx", "A 1503-2024")</f>
        <v/>
      </c>
    </row>
    <row r="29" ht="15" customHeight="1">
      <c r="A29" t="inlineStr">
        <is>
          <t>A 13380-2025</t>
        </is>
      </c>
      <c r="B29" s="1" t="n">
        <v>45735</v>
      </c>
      <c r="C29" s="1" t="n">
        <v>46191</v>
      </c>
      <c r="D29" t="inlineStr">
        <is>
          <t>VÄSTRA GÖTALANDS LÄN</t>
        </is>
      </c>
      <c r="E29" t="inlineStr">
        <is>
          <t>ALE</t>
        </is>
      </c>
      <c r="G29" t="n">
        <v>1.8</v>
      </c>
      <c r="H29" t="n">
        <v>2</v>
      </c>
      <c r="I29" t="n">
        <v>0</v>
      </c>
      <c r="J29" t="n">
        <v>1</v>
      </c>
      <c r="K29" t="n">
        <v>0</v>
      </c>
      <c r="L29" t="n">
        <v>0</v>
      </c>
      <c r="M29" t="n">
        <v>0</v>
      </c>
      <c r="N29" t="n">
        <v>0</v>
      </c>
      <c r="O29" t="n">
        <v>1</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v>
      </c>
      <c r="C30" s="1" t="n">
        <v>46191</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46191</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v>
      </c>
      <c r="C32" s="1" t="n">
        <v>46191</v>
      </c>
      <c r="D32" t="inlineStr">
        <is>
          <t>VÄSTRA GÖTALANDS LÄN</t>
        </is>
      </c>
      <c r="E32" t="inlineStr">
        <is>
          <t>ALE</t>
        </is>
      </c>
      <c r="G32" t="n">
        <v>8.6</v>
      </c>
      <c r="H32" t="n">
        <v>1</v>
      </c>
      <c r="I32" t="n">
        <v>1</v>
      </c>
      <c r="J32" t="n">
        <v>0</v>
      </c>
      <c r="K32" t="n">
        <v>0</v>
      </c>
      <c r="L32" t="n">
        <v>0</v>
      </c>
      <c r="M32" t="n">
        <v>0</v>
      </c>
      <c r="N32" t="n">
        <v>0</v>
      </c>
      <c r="O32" t="n">
        <v>0</v>
      </c>
      <c r="P32" t="n">
        <v>0</v>
      </c>
      <c r="Q32" t="n">
        <v>2</v>
      </c>
      <c r="R32" s="2" t="inlineStr">
        <is>
          <t>Blåmossa
Spillkråka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41598-2022</t>
        </is>
      </c>
      <c r="B33" s="1" t="n">
        <v>44827</v>
      </c>
      <c r="C33" s="1" t="n">
        <v>46191</v>
      </c>
      <c r="D33" t="inlineStr">
        <is>
          <t>VÄSTRA GÖTALANDS LÄN</t>
        </is>
      </c>
      <c r="E33" t="inlineStr">
        <is>
          <t>ALE</t>
        </is>
      </c>
      <c r="G33" t="n">
        <v>2</v>
      </c>
      <c r="H33" t="n">
        <v>1</v>
      </c>
      <c r="I33" t="n">
        <v>0</v>
      </c>
      <c r="J33" t="n">
        <v>0</v>
      </c>
      <c r="K33" t="n">
        <v>0</v>
      </c>
      <c r="L33" t="n">
        <v>0</v>
      </c>
      <c r="M33" t="n">
        <v>0</v>
      </c>
      <c r="N33" t="n">
        <v>0</v>
      </c>
      <c r="O33" t="n">
        <v>0</v>
      </c>
      <c r="P33" t="n">
        <v>0</v>
      </c>
      <c r="Q33" t="n">
        <v>1</v>
      </c>
      <c r="R33" s="2" t="inlineStr">
        <is>
          <t>Grönvit nattviol</t>
        </is>
      </c>
      <c r="S33">
        <f>HYPERLINK("https://klasma.github.io/Logging_1440/artfynd/A 41598-2022 artfynd.xlsx", "A 41598-2022")</f>
        <v/>
      </c>
      <c r="T33">
        <f>HYPERLINK("https://klasma.github.io/Logging_1440/kartor/A 41598-2022 karta.png", "A 41598-2022")</f>
        <v/>
      </c>
      <c r="V33">
        <f>HYPERLINK("https://klasma.github.io/Logging_1440/klagomål/A 41598-2022 FSC-klagomål.docx", "A 41598-2022")</f>
        <v/>
      </c>
      <c r="W33">
        <f>HYPERLINK("https://klasma.github.io/Logging_1440/klagomålsmail/A 41598-2022 FSC-klagomål mail.docx", "A 41598-2022")</f>
        <v/>
      </c>
      <c r="X33">
        <f>HYPERLINK("https://klasma.github.io/Logging_1440/tillsyn/A 41598-2022 tillsynsbegäran.docx", "A 41598-2022")</f>
        <v/>
      </c>
      <c r="Y33">
        <f>HYPERLINK("https://klasma.github.io/Logging_1440/tillsynsmail/A 41598-2022 tillsynsbegäran mail.docx", "A 41598-2022")</f>
        <v/>
      </c>
    </row>
    <row r="34" ht="15" customHeight="1">
      <c r="A34" t="inlineStr">
        <is>
          <t>A 26493-2024</t>
        </is>
      </c>
      <c r="B34" s="1" t="n">
        <v>45469</v>
      </c>
      <c r="C34" s="1" t="n">
        <v>46191</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41607-2022</t>
        </is>
      </c>
      <c r="B35" s="1" t="n">
        <v>44827</v>
      </c>
      <c r="C35" s="1" t="n">
        <v>46191</v>
      </c>
      <c r="D35" t="inlineStr">
        <is>
          <t>VÄSTRA GÖTALANDS LÄN</t>
        </is>
      </c>
      <c r="E35" t="inlineStr">
        <is>
          <t>ALE</t>
        </is>
      </c>
      <c r="G35" t="n">
        <v>3.6</v>
      </c>
      <c r="H35" t="n">
        <v>1</v>
      </c>
      <c r="I35" t="n">
        <v>0</v>
      </c>
      <c r="J35" t="n">
        <v>0</v>
      </c>
      <c r="K35" t="n">
        <v>0</v>
      </c>
      <c r="L35" t="n">
        <v>0</v>
      </c>
      <c r="M35" t="n">
        <v>0</v>
      </c>
      <c r="N35" t="n">
        <v>0</v>
      </c>
      <c r="O35" t="n">
        <v>0</v>
      </c>
      <c r="P35" t="n">
        <v>0</v>
      </c>
      <c r="Q35" t="n">
        <v>1</v>
      </c>
      <c r="R35" s="2" t="inlineStr">
        <is>
          <t>Spillkråka</t>
        </is>
      </c>
      <c r="S35">
        <f>HYPERLINK("https://klasma.github.io/Logging_1440/artfynd/A 41607-2022 artfynd.xlsx", "A 41607-2022")</f>
        <v/>
      </c>
      <c r="T35">
        <f>HYPERLINK("https://klasma.github.io/Logging_1440/kartor/A 41607-2022 karta.png", "A 41607-2022")</f>
        <v/>
      </c>
      <c r="V35">
        <f>HYPERLINK("https://klasma.github.io/Logging_1440/klagomål/A 41607-2022 FSC-klagomål.docx", "A 41607-2022")</f>
        <v/>
      </c>
      <c r="W35">
        <f>HYPERLINK("https://klasma.github.io/Logging_1440/klagomålsmail/A 41607-2022 FSC-klagomål mail.docx", "A 41607-2022")</f>
        <v/>
      </c>
      <c r="X35">
        <f>HYPERLINK("https://klasma.github.io/Logging_1440/tillsyn/A 41607-2022 tillsynsbegäran.docx", "A 41607-2022")</f>
        <v/>
      </c>
      <c r="Y35">
        <f>HYPERLINK("https://klasma.github.io/Logging_1440/tillsynsmail/A 41607-2022 tillsynsbegäran mail.docx", "A 41607-2022")</f>
        <v/>
      </c>
      <c r="Z35">
        <f>HYPERLINK("https://klasma.github.io/Logging_1440/fåglar/A 41607-2022 prioriterade fågelarter.docx", "A 41607-2022")</f>
        <v/>
      </c>
    </row>
    <row r="36" ht="15" customHeight="1">
      <c r="A36" t="inlineStr">
        <is>
          <t>A 33237-2024</t>
        </is>
      </c>
      <c r="B36" s="1" t="n">
        <v>45518</v>
      </c>
      <c r="C36" s="1" t="n">
        <v>46191</v>
      </c>
      <c r="D36" t="inlineStr">
        <is>
          <t>VÄSTRA GÖTALANDS LÄN</t>
        </is>
      </c>
      <c r="E36" t="inlineStr">
        <is>
          <t>ALE</t>
        </is>
      </c>
      <c r="G36" t="n">
        <v>0.6</v>
      </c>
      <c r="H36" t="n">
        <v>0</v>
      </c>
      <c r="I36" t="n">
        <v>0</v>
      </c>
      <c r="J36" t="n">
        <v>0</v>
      </c>
      <c r="K36" t="n">
        <v>1</v>
      </c>
      <c r="L36" t="n">
        <v>0</v>
      </c>
      <c r="M36" t="n">
        <v>0</v>
      </c>
      <c r="N36" t="n">
        <v>0</v>
      </c>
      <c r="O36" t="n">
        <v>1</v>
      </c>
      <c r="P36" t="n">
        <v>1</v>
      </c>
      <c r="Q36" t="n">
        <v>1</v>
      </c>
      <c r="R36" s="2" t="inlineStr">
        <is>
          <t>Igelkott</t>
        </is>
      </c>
      <c r="S36">
        <f>HYPERLINK("https://klasma.github.io/Logging_1440/artfynd/A 33237-2024 artfynd.xlsx", "A 33237-2024")</f>
        <v/>
      </c>
      <c r="T36">
        <f>HYPERLINK("https://klasma.github.io/Logging_1440/kartor/A 33237-2024 karta.png", "A 33237-2024")</f>
        <v/>
      </c>
      <c r="V36">
        <f>HYPERLINK("https://klasma.github.io/Logging_1440/klagomål/A 33237-2024 FSC-klagomål.docx", "A 33237-2024")</f>
        <v/>
      </c>
      <c r="W36">
        <f>HYPERLINK("https://klasma.github.io/Logging_1440/klagomålsmail/A 33237-2024 FSC-klagomål mail.docx", "A 33237-2024")</f>
        <v/>
      </c>
      <c r="X36">
        <f>HYPERLINK("https://klasma.github.io/Logging_1440/tillsyn/A 33237-2024 tillsynsbegäran.docx", "A 33237-2024")</f>
        <v/>
      </c>
      <c r="Y36">
        <f>HYPERLINK("https://klasma.github.io/Logging_1440/tillsynsmail/A 33237-2024 tillsynsbegäran mail.docx", "A 33237-2024")</f>
        <v/>
      </c>
    </row>
    <row r="37" ht="15" customHeight="1">
      <c r="A37" t="inlineStr">
        <is>
          <t>A 14493-2024</t>
        </is>
      </c>
      <c r="B37" s="1" t="n">
        <v>45394</v>
      </c>
      <c r="C37" s="1" t="n">
        <v>46191</v>
      </c>
      <c r="D37" t="inlineStr">
        <is>
          <t>VÄSTRA GÖTALANDS LÄN</t>
        </is>
      </c>
      <c r="E37" t="inlineStr">
        <is>
          <t>ALE</t>
        </is>
      </c>
      <c r="G37" t="n">
        <v>2.3</v>
      </c>
      <c r="H37" t="n">
        <v>1</v>
      </c>
      <c r="I37" t="n">
        <v>0</v>
      </c>
      <c r="J37" t="n">
        <v>0</v>
      </c>
      <c r="K37" t="n">
        <v>0</v>
      </c>
      <c r="L37" t="n">
        <v>0</v>
      </c>
      <c r="M37" t="n">
        <v>0</v>
      </c>
      <c r="N37" t="n">
        <v>0</v>
      </c>
      <c r="O37" t="n">
        <v>0</v>
      </c>
      <c r="P37" t="n">
        <v>0</v>
      </c>
      <c r="Q37" t="n">
        <v>1</v>
      </c>
      <c r="R37" s="2" t="inlineStr">
        <is>
          <t>Orre</t>
        </is>
      </c>
      <c r="S37">
        <f>HYPERLINK("https://klasma.github.io/Logging_1440/artfynd/A 14493-2024 artfynd.xlsx", "A 14493-2024")</f>
        <v/>
      </c>
      <c r="T37">
        <f>HYPERLINK("https://klasma.github.io/Logging_1440/kartor/A 14493-2024 karta.png", "A 14493-2024")</f>
        <v/>
      </c>
      <c r="V37">
        <f>HYPERLINK("https://klasma.github.io/Logging_1440/klagomål/A 14493-2024 FSC-klagomål.docx", "A 14493-2024")</f>
        <v/>
      </c>
      <c r="W37">
        <f>HYPERLINK("https://klasma.github.io/Logging_1440/klagomålsmail/A 14493-2024 FSC-klagomål mail.docx", "A 14493-2024")</f>
        <v/>
      </c>
      <c r="X37">
        <f>HYPERLINK("https://klasma.github.io/Logging_1440/tillsyn/A 14493-2024 tillsynsbegäran.docx", "A 14493-2024")</f>
        <v/>
      </c>
      <c r="Y37">
        <f>HYPERLINK("https://klasma.github.io/Logging_1440/tillsynsmail/A 14493-2024 tillsynsbegäran mail.docx", "A 14493-2024")</f>
        <v/>
      </c>
      <c r="Z37">
        <f>HYPERLINK("https://klasma.github.io/Logging_1440/fåglar/A 14493-2024 prioriterade fågelarter.docx", "A 14493-2024")</f>
        <v/>
      </c>
    </row>
    <row r="38" ht="15" customHeight="1">
      <c r="A38" t="inlineStr">
        <is>
          <t>A 9783-2026</t>
        </is>
      </c>
      <c r="B38" s="1" t="n">
        <v>46072</v>
      </c>
      <c r="C38" s="1" t="n">
        <v>46191</v>
      </c>
      <c r="D38" t="inlineStr">
        <is>
          <t>VÄSTRA GÖTALANDS LÄN</t>
        </is>
      </c>
      <c r="E38" t="inlineStr">
        <is>
          <t>ALE</t>
        </is>
      </c>
      <c r="G38" t="n">
        <v>4.9</v>
      </c>
      <c r="H38" t="n">
        <v>1</v>
      </c>
      <c r="I38" t="n">
        <v>0</v>
      </c>
      <c r="J38" t="n">
        <v>0</v>
      </c>
      <c r="K38" t="n">
        <v>0</v>
      </c>
      <c r="L38" t="n">
        <v>0</v>
      </c>
      <c r="M38" t="n">
        <v>0</v>
      </c>
      <c r="N38" t="n">
        <v>0</v>
      </c>
      <c r="O38" t="n">
        <v>0</v>
      </c>
      <c r="P38" t="n">
        <v>0</v>
      </c>
      <c r="Q38" t="n">
        <v>1</v>
      </c>
      <c r="R38" s="2" t="inlineStr">
        <is>
          <t>Lopplummer (aggregat)</t>
        </is>
      </c>
      <c r="S38">
        <f>HYPERLINK("https://klasma.github.io/Logging_1440/artfynd/A 9783-2026 artfynd.xlsx", "A 9783-2026")</f>
        <v/>
      </c>
      <c r="T38">
        <f>HYPERLINK("https://klasma.github.io/Logging_1440/kartor/A 9783-2026 karta.png", "A 9783-2026")</f>
        <v/>
      </c>
      <c r="V38">
        <f>HYPERLINK("https://klasma.github.io/Logging_1440/klagomål/A 9783-2026 FSC-klagomål.docx", "A 9783-2026")</f>
        <v/>
      </c>
      <c r="W38">
        <f>HYPERLINK("https://klasma.github.io/Logging_1440/klagomålsmail/A 9783-2026 FSC-klagomål mail.docx", "A 9783-2026")</f>
        <v/>
      </c>
      <c r="X38">
        <f>HYPERLINK("https://klasma.github.io/Logging_1440/tillsyn/A 9783-2026 tillsynsbegäran.docx", "A 9783-2026")</f>
        <v/>
      </c>
      <c r="Y38">
        <f>HYPERLINK("https://klasma.github.io/Logging_1440/tillsynsmail/A 9783-2026 tillsynsbegäran mail.docx", "A 9783-2026")</f>
        <v/>
      </c>
    </row>
    <row r="39" ht="15" customHeight="1">
      <c r="A39" t="inlineStr">
        <is>
          <t>A 52423-2025</t>
        </is>
      </c>
      <c r="B39" s="1" t="n">
        <v>45954</v>
      </c>
      <c r="C39" s="1" t="n">
        <v>46191</v>
      </c>
      <c r="D39" t="inlineStr">
        <is>
          <t>VÄSTRA GÖTALANDS LÄN</t>
        </is>
      </c>
      <c r="E39" t="inlineStr">
        <is>
          <t>ALE</t>
        </is>
      </c>
      <c r="G39" t="n">
        <v>4.1</v>
      </c>
      <c r="H39" t="n">
        <v>1</v>
      </c>
      <c r="I39" t="n">
        <v>0</v>
      </c>
      <c r="J39" t="n">
        <v>0</v>
      </c>
      <c r="K39" t="n">
        <v>0</v>
      </c>
      <c r="L39" t="n">
        <v>0</v>
      </c>
      <c r="M39" t="n">
        <v>0</v>
      </c>
      <c r="N39" t="n">
        <v>0</v>
      </c>
      <c r="O39" t="n">
        <v>0</v>
      </c>
      <c r="P39" t="n">
        <v>0</v>
      </c>
      <c r="Q39" t="n">
        <v>1</v>
      </c>
      <c r="R39" s="2" t="inlineStr">
        <is>
          <t>Trana</t>
        </is>
      </c>
      <c r="S39">
        <f>HYPERLINK("https://klasma.github.io/Logging_1440/artfynd/A 52423-2025 artfynd.xlsx", "A 52423-2025")</f>
        <v/>
      </c>
      <c r="T39">
        <f>HYPERLINK("https://klasma.github.io/Logging_1440/kartor/A 52423-2025 karta.png", "A 52423-2025")</f>
        <v/>
      </c>
      <c r="V39">
        <f>HYPERLINK("https://klasma.github.io/Logging_1440/klagomål/A 52423-2025 FSC-klagomål.docx", "A 52423-2025")</f>
        <v/>
      </c>
      <c r="W39">
        <f>HYPERLINK("https://klasma.github.io/Logging_1440/klagomålsmail/A 52423-2025 FSC-klagomål mail.docx", "A 52423-2025")</f>
        <v/>
      </c>
      <c r="X39">
        <f>HYPERLINK("https://klasma.github.io/Logging_1440/tillsyn/A 52423-2025 tillsynsbegäran.docx", "A 52423-2025")</f>
        <v/>
      </c>
      <c r="Y39">
        <f>HYPERLINK("https://klasma.github.io/Logging_1440/tillsynsmail/A 52423-2025 tillsynsbegäran mail.docx", "A 52423-2025")</f>
        <v/>
      </c>
      <c r="Z39">
        <f>HYPERLINK("https://klasma.github.io/Logging_1440/fåglar/A 52423-2025 prioriterade fågelarter.docx", "A 52423-2025")</f>
        <v/>
      </c>
    </row>
    <row r="40" ht="15" customHeight="1">
      <c r="A40" t="inlineStr">
        <is>
          <t>A 17355-2026</t>
        </is>
      </c>
      <c r="B40" s="1" t="n">
        <v>46119</v>
      </c>
      <c r="C40" s="1" t="n">
        <v>46191</v>
      </c>
      <c r="D40" t="inlineStr">
        <is>
          <t>VÄSTRA GÖTALANDS LÄN</t>
        </is>
      </c>
      <c r="E40" t="inlineStr">
        <is>
          <t>ALE</t>
        </is>
      </c>
      <c r="G40" t="n">
        <v>1.1</v>
      </c>
      <c r="H40" t="n">
        <v>1</v>
      </c>
      <c r="I40" t="n">
        <v>0</v>
      </c>
      <c r="J40" t="n">
        <v>0</v>
      </c>
      <c r="K40" t="n">
        <v>0</v>
      </c>
      <c r="L40" t="n">
        <v>0</v>
      </c>
      <c r="M40" t="n">
        <v>0</v>
      </c>
      <c r="N40" t="n">
        <v>0</v>
      </c>
      <c r="O40" t="n">
        <v>0</v>
      </c>
      <c r="P40" t="n">
        <v>0</v>
      </c>
      <c r="Q40" t="n">
        <v>1</v>
      </c>
      <c r="R40" s="2" t="inlineStr">
        <is>
          <t>Skogsödla</t>
        </is>
      </c>
      <c r="S40">
        <f>HYPERLINK("https://klasma.github.io/Logging_1440/artfynd/A 17355-2026 artfynd.xlsx", "A 17355-2026")</f>
        <v/>
      </c>
      <c r="T40">
        <f>HYPERLINK("https://klasma.github.io/Logging_1440/kartor/A 17355-2026 karta.png", "A 17355-2026")</f>
        <v/>
      </c>
      <c r="V40">
        <f>HYPERLINK("https://klasma.github.io/Logging_1440/klagomål/A 17355-2026 FSC-klagomål.docx", "A 17355-2026")</f>
        <v/>
      </c>
      <c r="W40">
        <f>HYPERLINK("https://klasma.github.io/Logging_1440/klagomålsmail/A 17355-2026 FSC-klagomål mail.docx", "A 17355-2026")</f>
        <v/>
      </c>
      <c r="X40">
        <f>HYPERLINK("https://klasma.github.io/Logging_1440/tillsyn/A 17355-2026 tillsynsbegäran.docx", "A 17355-2026")</f>
        <v/>
      </c>
      <c r="Y40">
        <f>HYPERLINK("https://klasma.github.io/Logging_1440/tillsynsmail/A 17355-2026 tillsynsbegäran mail.docx", "A 17355-2026")</f>
        <v/>
      </c>
    </row>
    <row r="41" ht="15" customHeight="1">
      <c r="A41" t="inlineStr">
        <is>
          <t>A 62524-2025</t>
        </is>
      </c>
      <c r="B41" s="1" t="n">
        <v>46007</v>
      </c>
      <c r="C41" s="1" t="n">
        <v>46191</v>
      </c>
      <c r="D41" t="inlineStr">
        <is>
          <t>VÄSTRA GÖTALANDS LÄN</t>
        </is>
      </c>
      <c r="E41" t="inlineStr">
        <is>
          <t>ALE</t>
        </is>
      </c>
      <c r="G41" t="n">
        <v>8</v>
      </c>
      <c r="H41" t="n">
        <v>1</v>
      </c>
      <c r="I41" t="n">
        <v>0</v>
      </c>
      <c r="J41" t="n">
        <v>0</v>
      </c>
      <c r="K41" t="n">
        <v>0</v>
      </c>
      <c r="L41" t="n">
        <v>0</v>
      </c>
      <c r="M41" t="n">
        <v>0</v>
      </c>
      <c r="N41" t="n">
        <v>0</v>
      </c>
      <c r="O41" t="n">
        <v>0</v>
      </c>
      <c r="P41" t="n">
        <v>0</v>
      </c>
      <c r="Q41" t="n">
        <v>1</v>
      </c>
      <c r="R41" s="2" t="inlineStr">
        <is>
          <t>Revlummer</t>
        </is>
      </c>
      <c r="S41">
        <f>HYPERLINK("https://klasma.github.io/Logging_1440/artfynd/A 62524-2025 artfynd.xlsx", "A 62524-2025")</f>
        <v/>
      </c>
      <c r="T41">
        <f>HYPERLINK("https://klasma.github.io/Logging_1440/kartor/A 62524-2025 karta.png", "A 62524-2025")</f>
        <v/>
      </c>
      <c r="V41">
        <f>HYPERLINK("https://klasma.github.io/Logging_1440/klagomål/A 62524-2025 FSC-klagomål.docx", "A 62524-2025")</f>
        <v/>
      </c>
      <c r="W41">
        <f>HYPERLINK("https://klasma.github.io/Logging_1440/klagomålsmail/A 62524-2025 FSC-klagomål mail.docx", "A 62524-2025")</f>
        <v/>
      </c>
      <c r="X41">
        <f>HYPERLINK("https://klasma.github.io/Logging_1440/tillsyn/A 62524-2025 tillsynsbegäran.docx", "A 62524-2025")</f>
        <v/>
      </c>
      <c r="Y41">
        <f>HYPERLINK("https://klasma.github.io/Logging_1440/tillsynsmail/A 62524-2025 tillsynsbegäran mail.docx", "A 62524-2025")</f>
        <v/>
      </c>
    </row>
    <row r="42" ht="15" customHeight="1">
      <c r="A42" t="inlineStr">
        <is>
          <t>A 8659-2025</t>
        </is>
      </c>
      <c r="B42" s="1" t="n">
        <v>45712</v>
      </c>
      <c r="C42" s="1" t="n">
        <v>46191</v>
      </c>
      <c r="D42" t="inlineStr">
        <is>
          <t>VÄSTRA GÖTALANDS LÄN</t>
        </is>
      </c>
      <c r="E42" t="inlineStr">
        <is>
          <t>ALE</t>
        </is>
      </c>
      <c r="G42" t="n">
        <v>5.7</v>
      </c>
      <c r="H42" t="n">
        <v>1</v>
      </c>
      <c r="I42" t="n">
        <v>0</v>
      </c>
      <c r="J42" t="n">
        <v>0</v>
      </c>
      <c r="K42" t="n">
        <v>0</v>
      </c>
      <c r="L42" t="n">
        <v>0</v>
      </c>
      <c r="M42" t="n">
        <v>0</v>
      </c>
      <c r="N42" t="n">
        <v>0</v>
      </c>
      <c r="O42" t="n">
        <v>0</v>
      </c>
      <c r="P42" t="n">
        <v>0</v>
      </c>
      <c r="Q42" t="n">
        <v>1</v>
      </c>
      <c r="R42" s="2" t="inlineStr">
        <is>
          <t>Kungsfågel</t>
        </is>
      </c>
      <c r="S42">
        <f>HYPERLINK("https://klasma.github.io/Logging_1440/artfynd/A 8659-2025 artfynd.xlsx", "A 8659-2025")</f>
        <v/>
      </c>
      <c r="T42">
        <f>HYPERLINK("https://klasma.github.io/Logging_1440/kartor/A 8659-2025 karta.png", "A 8659-2025")</f>
        <v/>
      </c>
      <c r="V42">
        <f>HYPERLINK("https://klasma.github.io/Logging_1440/klagomål/A 8659-2025 FSC-klagomål.docx", "A 8659-2025")</f>
        <v/>
      </c>
      <c r="W42">
        <f>HYPERLINK("https://klasma.github.io/Logging_1440/klagomålsmail/A 8659-2025 FSC-klagomål mail.docx", "A 8659-2025")</f>
        <v/>
      </c>
      <c r="X42">
        <f>HYPERLINK("https://klasma.github.io/Logging_1440/tillsyn/A 8659-2025 tillsynsbegäran.docx", "A 8659-2025")</f>
        <v/>
      </c>
      <c r="Y42">
        <f>HYPERLINK("https://klasma.github.io/Logging_1440/tillsynsmail/A 8659-2025 tillsynsbegäran mail.docx", "A 8659-2025")</f>
        <v/>
      </c>
      <c r="Z42">
        <f>HYPERLINK("https://klasma.github.io/Logging_1440/fåglar/A 8659-2025 prioriterade fågelarter.docx", "A 8659-2025")</f>
        <v/>
      </c>
    </row>
    <row r="43" ht="15" customHeight="1">
      <c r="A43" t="inlineStr">
        <is>
          <t>A 4363-2024</t>
        </is>
      </c>
      <c r="B43" s="1" t="n">
        <v>45325</v>
      </c>
      <c r="C43" s="1" t="n">
        <v>46191</v>
      </c>
      <c r="D43" t="inlineStr">
        <is>
          <t>VÄSTRA GÖTALANDS LÄN</t>
        </is>
      </c>
      <c r="E43" t="inlineStr">
        <is>
          <t>ALE</t>
        </is>
      </c>
      <c r="G43" t="n">
        <v>0.6</v>
      </c>
      <c r="H43" t="n">
        <v>1</v>
      </c>
      <c r="I43" t="n">
        <v>0</v>
      </c>
      <c r="J43" t="n">
        <v>0</v>
      </c>
      <c r="K43" t="n">
        <v>0</v>
      </c>
      <c r="L43" t="n">
        <v>0</v>
      </c>
      <c r="M43" t="n">
        <v>0</v>
      </c>
      <c r="N43" t="n">
        <v>0</v>
      </c>
      <c r="O43" t="n">
        <v>0</v>
      </c>
      <c r="P43" t="n">
        <v>0</v>
      </c>
      <c r="Q43" t="n">
        <v>1</v>
      </c>
      <c r="R43" s="2" t="inlineStr">
        <is>
          <t>Spillkråka</t>
        </is>
      </c>
      <c r="S43">
        <f>HYPERLINK("https://klasma.github.io/Logging_1440/artfynd/A 4363-2024 artfynd.xlsx", "A 4363-2024")</f>
        <v/>
      </c>
      <c r="T43">
        <f>HYPERLINK("https://klasma.github.io/Logging_1440/kartor/A 4363-2024 karta.png", "A 4363-2024")</f>
        <v/>
      </c>
      <c r="V43">
        <f>HYPERLINK("https://klasma.github.io/Logging_1440/klagomål/A 4363-2024 FSC-klagomål.docx", "A 4363-2024")</f>
        <v/>
      </c>
      <c r="W43">
        <f>HYPERLINK("https://klasma.github.io/Logging_1440/klagomålsmail/A 4363-2024 FSC-klagomål mail.docx", "A 4363-2024")</f>
        <v/>
      </c>
      <c r="X43">
        <f>HYPERLINK("https://klasma.github.io/Logging_1440/tillsyn/A 4363-2024 tillsynsbegäran.docx", "A 4363-2024")</f>
        <v/>
      </c>
      <c r="Y43">
        <f>HYPERLINK("https://klasma.github.io/Logging_1440/tillsynsmail/A 4363-2024 tillsynsbegäran mail.docx", "A 4363-2024")</f>
        <v/>
      </c>
      <c r="Z43">
        <f>HYPERLINK("https://klasma.github.io/Logging_1440/fåglar/A 4363-2024 prioriterade fågelarter.docx", "A 4363-2024")</f>
        <v/>
      </c>
    </row>
    <row r="44" ht="15" customHeight="1">
      <c r="A44" t="inlineStr">
        <is>
          <t>A 200-2022</t>
        </is>
      </c>
      <c r="B44" s="1" t="n">
        <v>44564</v>
      </c>
      <c r="C44" s="1" t="n">
        <v>46191</v>
      </c>
      <c r="D44" t="inlineStr">
        <is>
          <t>VÄSTRA GÖTALANDS LÄN</t>
        </is>
      </c>
      <c r="E44" t="inlineStr">
        <is>
          <t>ALE</t>
        </is>
      </c>
      <c r="G44" t="n">
        <v>6.8</v>
      </c>
      <c r="H44" t="n">
        <v>1</v>
      </c>
      <c r="I44" t="n">
        <v>0</v>
      </c>
      <c r="J44" t="n">
        <v>0</v>
      </c>
      <c r="K44" t="n">
        <v>0</v>
      </c>
      <c r="L44" t="n">
        <v>0</v>
      </c>
      <c r="M44" t="n">
        <v>0</v>
      </c>
      <c r="N44" t="n">
        <v>0</v>
      </c>
      <c r="O44" t="n">
        <v>0</v>
      </c>
      <c r="P44" t="n">
        <v>0</v>
      </c>
      <c r="Q44" t="n">
        <v>1</v>
      </c>
      <c r="R44" s="2" t="inlineStr">
        <is>
          <t>Spillkråka</t>
        </is>
      </c>
      <c r="S44">
        <f>HYPERLINK("https://klasma.github.io/Logging_1440/artfynd/A 200-2022 artfynd.xlsx", "A 200-2022")</f>
        <v/>
      </c>
      <c r="T44">
        <f>HYPERLINK("https://klasma.github.io/Logging_1440/kartor/A 200-2022 karta.png", "A 200-2022")</f>
        <v/>
      </c>
      <c r="V44">
        <f>HYPERLINK("https://klasma.github.io/Logging_1440/klagomål/A 200-2022 FSC-klagomål.docx", "A 200-2022")</f>
        <v/>
      </c>
      <c r="W44">
        <f>HYPERLINK("https://klasma.github.io/Logging_1440/klagomålsmail/A 200-2022 FSC-klagomål mail.docx", "A 200-2022")</f>
        <v/>
      </c>
      <c r="X44">
        <f>HYPERLINK("https://klasma.github.io/Logging_1440/tillsyn/A 200-2022 tillsynsbegäran.docx", "A 200-2022")</f>
        <v/>
      </c>
      <c r="Y44">
        <f>HYPERLINK("https://klasma.github.io/Logging_1440/tillsynsmail/A 200-2022 tillsynsbegäran mail.docx", "A 200-2022")</f>
        <v/>
      </c>
      <c r="Z44">
        <f>HYPERLINK("https://klasma.github.io/Logging_1440/fåglar/A 200-2022 prioriterade fågelarter.docx", "A 200-2022")</f>
        <v/>
      </c>
    </row>
    <row r="45" ht="15" customHeight="1">
      <c r="A45" t="inlineStr">
        <is>
          <t>A 26677-2025</t>
        </is>
      </c>
      <c r="B45" s="1" t="n">
        <v>45810</v>
      </c>
      <c r="C45" s="1" t="n">
        <v>46191</v>
      </c>
      <c r="D45" t="inlineStr">
        <is>
          <t>VÄSTRA GÖTALANDS LÄN</t>
        </is>
      </c>
      <c r="E45" t="inlineStr">
        <is>
          <t>ALE</t>
        </is>
      </c>
      <c r="G45" t="n">
        <v>1.2</v>
      </c>
      <c r="H45" t="n">
        <v>0</v>
      </c>
      <c r="I45" t="n">
        <v>1</v>
      </c>
      <c r="J45" t="n">
        <v>0</v>
      </c>
      <c r="K45" t="n">
        <v>0</v>
      </c>
      <c r="L45" t="n">
        <v>0</v>
      </c>
      <c r="M45" t="n">
        <v>0</v>
      </c>
      <c r="N45" t="n">
        <v>0</v>
      </c>
      <c r="O45" t="n">
        <v>0</v>
      </c>
      <c r="P45" t="n">
        <v>0</v>
      </c>
      <c r="Q45" t="n">
        <v>1</v>
      </c>
      <c r="R45" s="2" t="inlineStr">
        <is>
          <t>Västlig hakmossa</t>
        </is>
      </c>
      <c r="S45">
        <f>HYPERLINK("https://klasma.github.io/Logging_1440/artfynd/A 26677-2025 artfynd.xlsx", "A 26677-2025")</f>
        <v/>
      </c>
      <c r="T45">
        <f>HYPERLINK("https://klasma.github.io/Logging_1440/kartor/A 26677-2025 karta.png", "A 26677-2025")</f>
        <v/>
      </c>
      <c r="V45">
        <f>HYPERLINK("https://klasma.github.io/Logging_1440/klagomål/A 26677-2025 FSC-klagomål.docx", "A 26677-2025")</f>
        <v/>
      </c>
      <c r="W45">
        <f>HYPERLINK("https://klasma.github.io/Logging_1440/klagomålsmail/A 26677-2025 FSC-klagomål mail.docx", "A 26677-2025")</f>
        <v/>
      </c>
      <c r="X45">
        <f>HYPERLINK("https://klasma.github.io/Logging_1440/tillsyn/A 26677-2025 tillsynsbegäran.docx", "A 26677-2025")</f>
        <v/>
      </c>
      <c r="Y45">
        <f>HYPERLINK("https://klasma.github.io/Logging_1440/tillsynsmail/A 26677-2025 tillsynsbegäran mail.docx", "A 26677-2025")</f>
        <v/>
      </c>
    </row>
    <row r="46" ht="15" customHeight="1">
      <c r="A46" t="inlineStr">
        <is>
          <t>A 5344-2024</t>
        </is>
      </c>
      <c r="B46" s="1" t="n">
        <v>45331</v>
      </c>
      <c r="C46" s="1" t="n">
        <v>46191</v>
      </c>
      <c r="D46" t="inlineStr">
        <is>
          <t>VÄSTRA GÖTALANDS LÄN</t>
        </is>
      </c>
      <c r="E46" t="inlineStr">
        <is>
          <t>ALE</t>
        </is>
      </c>
      <c r="G46" t="n">
        <v>2.5</v>
      </c>
      <c r="H46" t="n">
        <v>0</v>
      </c>
      <c r="I46" t="n">
        <v>1</v>
      </c>
      <c r="J46" t="n">
        <v>0</v>
      </c>
      <c r="K46" t="n">
        <v>0</v>
      </c>
      <c r="L46" t="n">
        <v>0</v>
      </c>
      <c r="M46" t="n">
        <v>0</v>
      </c>
      <c r="N46" t="n">
        <v>0</v>
      </c>
      <c r="O46" t="n">
        <v>0</v>
      </c>
      <c r="P46" t="n">
        <v>0</v>
      </c>
      <c r="Q46" t="n">
        <v>1</v>
      </c>
      <c r="R46" s="2" t="inlineStr">
        <is>
          <t>Blåmossa</t>
        </is>
      </c>
      <c r="S46">
        <f>HYPERLINK("https://klasma.github.io/Logging_1440/artfynd/A 5344-2024 artfynd.xlsx", "A 5344-2024")</f>
        <v/>
      </c>
      <c r="T46">
        <f>HYPERLINK("https://klasma.github.io/Logging_1440/kartor/A 5344-2024 karta.png", "A 5344-2024")</f>
        <v/>
      </c>
      <c r="V46">
        <f>HYPERLINK("https://klasma.github.io/Logging_1440/klagomål/A 5344-2024 FSC-klagomål.docx", "A 5344-2024")</f>
        <v/>
      </c>
      <c r="W46">
        <f>HYPERLINK("https://klasma.github.io/Logging_1440/klagomålsmail/A 5344-2024 FSC-klagomål mail.docx", "A 5344-2024")</f>
        <v/>
      </c>
      <c r="X46">
        <f>HYPERLINK("https://klasma.github.io/Logging_1440/tillsyn/A 5344-2024 tillsynsbegäran.docx", "A 5344-2024")</f>
        <v/>
      </c>
      <c r="Y46">
        <f>HYPERLINK("https://klasma.github.io/Logging_1440/tillsynsmail/A 5344-2024 tillsynsbegäran mail.docx", "A 5344-2024")</f>
        <v/>
      </c>
    </row>
    <row r="47" ht="15" customHeight="1">
      <c r="A47" t="inlineStr">
        <is>
          <t>A 13902-2025</t>
        </is>
      </c>
      <c r="B47" s="1" t="n">
        <v>45737</v>
      </c>
      <c r="C47" s="1" t="n">
        <v>46191</v>
      </c>
      <c r="D47" t="inlineStr">
        <is>
          <t>VÄSTRA GÖTALANDS LÄN</t>
        </is>
      </c>
      <c r="E47" t="inlineStr">
        <is>
          <t>ALE</t>
        </is>
      </c>
      <c r="G47" t="n">
        <v>1.4</v>
      </c>
      <c r="H47" t="n">
        <v>1</v>
      </c>
      <c r="I47" t="n">
        <v>0</v>
      </c>
      <c r="J47" t="n">
        <v>0</v>
      </c>
      <c r="K47" t="n">
        <v>0</v>
      </c>
      <c r="L47" t="n">
        <v>0</v>
      </c>
      <c r="M47" t="n">
        <v>0</v>
      </c>
      <c r="N47" t="n">
        <v>0</v>
      </c>
      <c r="O47" t="n">
        <v>0</v>
      </c>
      <c r="P47" t="n">
        <v>0</v>
      </c>
      <c r="Q47" t="n">
        <v>1</v>
      </c>
      <c r="R47" s="2" t="inlineStr">
        <is>
          <t>Svartvit flugsnappare</t>
        </is>
      </c>
      <c r="S47">
        <f>HYPERLINK("https://klasma.github.io/Logging_1440/artfynd/A 13902-2025 artfynd.xlsx", "A 13902-2025")</f>
        <v/>
      </c>
      <c r="T47">
        <f>HYPERLINK("https://klasma.github.io/Logging_1440/kartor/A 13902-2025 karta.png", "A 13902-2025")</f>
        <v/>
      </c>
      <c r="V47">
        <f>HYPERLINK("https://klasma.github.io/Logging_1440/klagomål/A 13902-2025 FSC-klagomål.docx", "A 13902-2025")</f>
        <v/>
      </c>
      <c r="W47">
        <f>HYPERLINK("https://klasma.github.io/Logging_1440/klagomålsmail/A 13902-2025 FSC-klagomål mail.docx", "A 13902-2025")</f>
        <v/>
      </c>
      <c r="X47">
        <f>HYPERLINK("https://klasma.github.io/Logging_1440/tillsyn/A 13902-2025 tillsynsbegäran.docx", "A 13902-2025")</f>
        <v/>
      </c>
      <c r="Y47">
        <f>HYPERLINK("https://klasma.github.io/Logging_1440/tillsynsmail/A 13902-2025 tillsynsbegäran mail.docx", "A 13902-2025")</f>
        <v/>
      </c>
      <c r="Z47">
        <f>HYPERLINK("https://klasma.github.io/Logging_1440/fåglar/A 13902-2025 prioriterade fågelarter.docx", "A 13902-2025")</f>
        <v/>
      </c>
    </row>
    <row r="48" ht="15" customHeight="1">
      <c r="A48" t="inlineStr">
        <is>
          <t>A 62855-2021</t>
        </is>
      </c>
      <c r="B48" s="1" t="n">
        <v>44504</v>
      </c>
      <c r="C48" s="1" t="n">
        <v>46191</v>
      </c>
      <c r="D48" t="inlineStr">
        <is>
          <t>VÄSTRA GÖTALANDS LÄN</t>
        </is>
      </c>
      <c r="E48" t="inlineStr">
        <is>
          <t>ALE</t>
        </is>
      </c>
      <c r="G48" t="n">
        <v>5.6</v>
      </c>
      <c r="H48" t="n">
        <v>0</v>
      </c>
      <c r="I48" t="n">
        <v>0</v>
      </c>
      <c r="J48" t="n">
        <v>0</v>
      </c>
      <c r="K48" t="n">
        <v>0</v>
      </c>
      <c r="L48" t="n">
        <v>0</v>
      </c>
      <c r="M48" t="n">
        <v>0</v>
      </c>
      <c r="N48" t="n">
        <v>0</v>
      </c>
      <c r="O48" t="n">
        <v>0</v>
      </c>
      <c r="P48" t="n">
        <v>0</v>
      </c>
      <c r="Q48" t="n">
        <v>0</v>
      </c>
      <c r="R48" s="2" t="inlineStr"/>
    </row>
    <row r="49" ht="15" customHeight="1">
      <c r="A49" t="inlineStr">
        <is>
          <t>A 67165-2021</t>
        </is>
      </c>
      <c r="B49" s="1" t="n">
        <v>44523</v>
      </c>
      <c r="C49" s="1" t="n">
        <v>46191</v>
      </c>
      <c r="D49" t="inlineStr">
        <is>
          <t>VÄSTRA GÖTALANDS LÄN</t>
        </is>
      </c>
      <c r="E49" t="inlineStr">
        <is>
          <t>ALE</t>
        </is>
      </c>
      <c r="G49" t="n">
        <v>0.5</v>
      </c>
      <c r="H49" t="n">
        <v>0</v>
      </c>
      <c r="I49" t="n">
        <v>0</v>
      </c>
      <c r="J49" t="n">
        <v>0</v>
      </c>
      <c r="K49" t="n">
        <v>0</v>
      </c>
      <c r="L49" t="n">
        <v>0</v>
      </c>
      <c r="M49" t="n">
        <v>0</v>
      </c>
      <c r="N49" t="n">
        <v>0</v>
      </c>
      <c r="O49" t="n">
        <v>0</v>
      </c>
      <c r="P49" t="n">
        <v>0</v>
      </c>
      <c r="Q49" t="n">
        <v>0</v>
      </c>
      <c r="R49" s="2" t="inlineStr"/>
    </row>
    <row r="50" ht="15" customHeight="1">
      <c r="A50" t="inlineStr">
        <is>
          <t>A 49955-2021</t>
        </is>
      </c>
      <c r="B50" s="1" t="n">
        <v>44456</v>
      </c>
      <c r="C50" s="1" t="n">
        <v>46191</v>
      </c>
      <c r="D50" t="inlineStr">
        <is>
          <t>VÄSTRA GÖTALANDS LÄN</t>
        </is>
      </c>
      <c r="E50" t="inlineStr">
        <is>
          <t>ALE</t>
        </is>
      </c>
      <c r="G50" t="n">
        <v>2.2</v>
      </c>
      <c r="H50" t="n">
        <v>0</v>
      </c>
      <c r="I50" t="n">
        <v>0</v>
      </c>
      <c r="J50" t="n">
        <v>0</v>
      </c>
      <c r="K50" t="n">
        <v>0</v>
      </c>
      <c r="L50" t="n">
        <v>0</v>
      </c>
      <c r="M50" t="n">
        <v>0</v>
      </c>
      <c r="N50" t="n">
        <v>0</v>
      </c>
      <c r="O50" t="n">
        <v>0</v>
      </c>
      <c r="P50" t="n">
        <v>0</v>
      </c>
      <c r="Q50" t="n">
        <v>0</v>
      </c>
      <c r="R50" s="2" t="inlineStr"/>
    </row>
    <row r="51" ht="15" customHeight="1">
      <c r="A51" t="inlineStr">
        <is>
          <t>A 36394-2021</t>
        </is>
      </c>
      <c r="B51" s="1" t="n">
        <v>44389</v>
      </c>
      <c r="C51" s="1" t="n">
        <v>46191</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3179-2022</t>
        </is>
      </c>
      <c r="B52" s="1" t="n">
        <v>44582</v>
      </c>
      <c r="C52" s="1" t="n">
        <v>46191</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46191</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46191</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46191</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v>
      </c>
      <c r="C56" s="1" t="n">
        <v>46191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v>
      </c>
      <c r="C57" s="1" t="n">
        <v>46191</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46191</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46191</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46191</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20285-2022</t>
        </is>
      </c>
      <c r="B61" s="1" t="n">
        <v>44698</v>
      </c>
      <c r="C61" s="1" t="n">
        <v>46191</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49955-2021</t>
        </is>
      </c>
      <c r="B62" s="1" t="n">
        <v>44456</v>
      </c>
      <c r="C62" s="1" t="n">
        <v>46191</v>
      </c>
      <c r="D62" t="inlineStr">
        <is>
          <t>VÄSTRA GÖTALANDS LÄN</t>
        </is>
      </c>
      <c r="E62" t="inlineStr">
        <is>
          <t>ALE</t>
        </is>
      </c>
      <c r="G62" t="n">
        <v>2.2</v>
      </c>
      <c r="H62" t="n">
        <v>0</v>
      </c>
      <c r="I62" t="n">
        <v>0</v>
      </c>
      <c r="J62" t="n">
        <v>0</v>
      </c>
      <c r="K62" t="n">
        <v>0</v>
      </c>
      <c r="L62" t="n">
        <v>0</v>
      </c>
      <c r="M62" t="n">
        <v>0</v>
      </c>
      <c r="N62" t="n">
        <v>0</v>
      </c>
      <c r="O62" t="n">
        <v>0</v>
      </c>
      <c r="P62" t="n">
        <v>0</v>
      </c>
      <c r="Q62" t="n">
        <v>0</v>
      </c>
      <c r="R62" s="2" t="inlineStr"/>
    </row>
    <row r="63" ht="15" customHeight="1">
      <c r="A63" t="inlineStr">
        <is>
          <t>A 14458-2024</t>
        </is>
      </c>
      <c r="B63" s="1" t="n">
        <v>45394</v>
      </c>
      <c r="C63" s="1" t="n">
        <v>46191</v>
      </c>
      <c r="D63" t="inlineStr">
        <is>
          <t>VÄSTRA GÖTALANDS LÄN</t>
        </is>
      </c>
      <c r="E63" t="inlineStr">
        <is>
          <t>ALE</t>
        </is>
      </c>
      <c r="G63" t="n">
        <v>0.5</v>
      </c>
      <c r="H63" t="n">
        <v>0</v>
      </c>
      <c r="I63" t="n">
        <v>0</v>
      </c>
      <c r="J63" t="n">
        <v>0</v>
      </c>
      <c r="K63" t="n">
        <v>0</v>
      </c>
      <c r="L63" t="n">
        <v>0</v>
      </c>
      <c r="M63" t="n">
        <v>0</v>
      </c>
      <c r="N63" t="n">
        <v>0</v>
      </c>
      <c r="O63" t="n">
        <v>0</v>
      </c>
      <c r="P63" t="n">
        <v>0</v>
      </c>
      <c r="Q63" t="n">
        <v>0</v>
      </c>
      <c r="R63" s="2" t="inlineStr"/>
    </row>
    <row r="64" ht="15" customHeight="1">
      <c r="A64" t="inlineStr">
        <is>
          <t>A 53476-2023</t>
        </is>
      </c>
      <c r="B64" s="1" t="n">
        <v>45230</v>
      </c>
      <c r="C64" s="1" t="n">
        <v>46191</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47087-2023</t>
        </is>
      </c>
      <c r="B65" s="1" t="n">
        <v>45196</v>
      </c>
      <c r="C65" s="1" t="n">
        <v>46191</v>
      </c>
      <c r="D65" t="inlineStr">
        <is>
          <t>VÄSTRA GÖTALANDS LÄN</t>
        </is>
      </c>
      <c r="E65" t="inlineStr">
        <is>
          <t>ALE</t>
        </is>
      </c>
      <c r="G65" t="n">
        <v>1.6</v>
      </c>
      <c r="H65" t="n">
        <v>0</v>
      </c>
      <c r="I65" t="n">
        <v>0</v>
      </c>
      <c r="J65" t="n">
        <v>0</v>
      </c>
      <c r="K65" t="n">
        <v>0</v>
      </c>
      <c r="L65" t="n">
        <v>0</v>
      </c>
      <c r="M65" t="n">
        <v>0</v>
      </c>
      <c r="N65" t="n">
        <v>0</v>
      </c>
      <c r="O65" t="n">
        <v>0</v>
      </c>
      <c r="P65" t="n">
        <v>0</v>
      </c>
      <c r="Q65" t="n">
        <v>0</v>
      </c>
      <c r="R65" s="2" t="inlineStr"/>
    </row>
    <row r="66" ht="15" customHeight="1">
      <c r="A66" t="inlineStr">
        <is>
          <t>A 4642-2024</t>
        </is>
      </c>
      <c r="B66" s="1" t="n">
        <v>45328</v>
      </c>
      <c r="C66" s="1" t="n">
        <v>46191</v>
      </c>
      <c r="D66" t="inlineStr">
        <is>
          <t>VÄSTRA GÖTALANDS LÄN</t>
        </is>
      </c>
      <c r="E66" t="inlineStr">
        <is>
          <t>ALE</t>
        </is>
      </c>
      <c r="G66" t="n">
        <v>7.1</v>
      </c>
      <c r="H66" t="n">
        <v>0</v>
      </c>
      <c r="I66" t="n">
        <v>0</v>
      </c>
      <c r="J66" t="n">
        <v>0</v>
      </c>
      <c r="K66" t="n">
        <v>0</v>
      </c>
      <c r="L66" t="n">
        <v>0</v>
      </c>
      <c r="M66" t="n">
        <v>0</v>
      </c>
      <c r="N66" t="n">
        <v>0</v>
      </c>
      <c r="O66" t="n">
        <v>0</v>
      </c>
      <c r="P66" t="n">
        <v>0</v>
      </c>
      <c r="Q66" t="n">
        <v>0</v>
      </c>
      <c r="R66" s="2" t="inlineStr"/>
    </row>
    <row r="67" ht="15" customHeight="1">
      <c r="A67" t="inlineStr">
        <is>
          <t>A 14731-2022</t>
        </is>
      </c>
      <c r="B67" s="1" t="n">
        <v>44656</v>
      </c>
      <c r="C67" s="1" t="n">
        <v>46191</v>
      </c>
      <c r="D67" t="inlineStr">
        <is>
          <t>VÄSTRA GÖTALANDS LÄN</t>
        </is>
      </c>
      <c r="E67" t="inlineStr">
        <is>
          <t>ALE</t>
        </is>
      </c>
      <c r="G67" t="n">
        <v>1.8</v>
      </c>
      <c r="H67" t="n">
        <v>0</v>
      </c>
      <c r="I67" t="n">
        <v>0</v>
      </c>
      <c r="J67" t="n">
        <v>0</v>
      </c>
      <c r="K67" t="n">
        <v>0</v>
      </c>
      <c r="L67" t="n">
        <v>0</v>
      </c>
      <c r="M67" t="n">
        <v>0</v>
      </c>
      <c r="N67" t="n">
        <v>0</v>
      </c>
      <c r="O67" t="n">
        <v>0</v>
      </c>
      <c r="P67" t="n">
        <v>0</v>
      </c>
      <c r="Q67" t="n">
        <v>0</v>
      </c>
      <c r="R67" s="2" t="inlineStr"/>
    </row>
    <row r="68" ht="15" customHeight="1">
      <c r="A68" t="inlineStr">
        <is>
          <t>A 3520-2022</t>
        </is>
      </c>
      <c r="B68" s="1" t="n">
        <v>44585</v>
      </c>
      <c r="C68" s="1" t="n">
        <v>46191</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26157-2023</t>
        </is>
      </c>
      <c r="B69" s="1" t="n">
        <v>45091</v>
      </c>
      <c r="C69" s="1" t="n">
        <v>46191</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44429-2023</t>
        </is>
      </c>
      <c r="B70" s="1" t="n">
        <v>45189</v>
      </c>
      <c r="C70" s="1" t="n">
        <v>46191</v>
      </c>
      <c r="D70" t="inlineStr">
        <is>
          <t>VÄSTRA GÖTALANDS LÄN</t>
        </is>
      </c>
      <c r="E70" t="inlineStr">
        <is>
          <t>ALE</t>
        </is>
      </c>
      <c r="G70" t="n">
        <v>0.1</v>
      </c>
      <c r="H70" t="n">
        <v>0</v>
      </c>
      <c r="I70" t="n">
        <v>0</v>
      </c>
      <c r="J70" t="n">
        <v>0</v>
      </c>
      <c r="K70" t="n">
        <v>0</v>
      </c>
      <c r="L70" t="n">
        <v>0</v>
      </c>
      <c r="M70" t="n">
        <v>0</v>
      </c>
      <c r="N70" t="n">
        <v>0</v>
      </c>
      <c r="O70" t="n">
        <v>0</v>
      </c>
      <c r="P70" t="n">
        <v>0</v>
      </c>
      <c r="Q70" t="n">
        <v>0</v>
      </c>
      <c r="R70" s="2" t="inlineStr"/>
    </row>
    <row r="71" ht="15" customHeight="1">
      <c r="A71" t="inlineStr">
        <is>
          <t>A 7892-2024</t>
        </is>
      </c>
      <c r="B71" s="1" t="n">
        <v>45350</v>
      </c>
      <c r="C71" s="1" t="n">
        <v>46191</v>
      </c>
      <c r="D71" t="inlineStr">
        <is>
          <t>VÄSTRA GÖTALANDS LÄN</t>
        </is>
      </c>
      <c r="E71" t="inlineStr">
        <is>
          <t>ALE</t>
        </is>
      </c>
      <c r="G71" t="n">
        <v>3.6</v>
      </c>
      <c r="H71" t="n">
        <v>0</v>
      </c>
      <c r="I71" t="n">
        <v>0</v>
      </c>
      <c r="J71" t="n">
        <v>0</v>
      </c>
      <c r="K71" t="n">
        <v>0</v>
      </c>
      <c r="L71" t="n">
        <v>0</v>
      </c>
      <c r="M71" t="n">
        <v>0</v>
      </c>
      <c r="N71" t="n">
        <v>0</v>
      </c>
      <c r="O71" t="n">
        <v>0</v>
      </c>
      <c r="P71" t="n">
        <v>0</v>
      </c>
      <c r="Q71" t="n">
        <v>0</v>
      </c>
      <c r="R71" s="2" t="inlineStr"/>
    </row>
    <row r="72" ht="15" customHeight="1">
      <c r="A72" t="inlineStr">
        <is>
          <t>A 51164-2024</t>
        </is>
      </c>
      <c r="B72" s="1" t="n">
        <v>45603</v>
      </c>
      <c r="C72" s="1" t="n">
        <v>46191</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6621-2026</t>
        </is>
      </c>
      <c r="B73" s="1" t="n">
        <v>46056</v>
      </c>
      <c r="C73" s="1" t="n">
        <v>46191</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4444-2024</t>
        </is>
      </c>
      <c r="B74" s="1" t="n">
        <v>45327</v>
      </c>
      <c r="C74" s="1" t="n">
        <v>46191</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7296-2026</t>
        </is>
      </c>
      <c r="B75" s="1" t="n">
        <v>46058</v>
      </c>
      <c r="C75" s="1" t="n">
        <v>46191</v>
      </c>
      <c r="D75" t="inlineStr">
        <is>
          <t>VÄSTRA GÖTALANDS LÄN</t>
        </is>
      </c>
      <c r="E75" t="inlineStr">
        <is>
          <t>ALE</t>
        </is>
      </c>
      <c r="G75" t="n">
        <v>7.2</v>
      </c>
      <c r="H75" t="n">
        <v>0</v>
      </c>
      <c r="I75" t="n">
        <v>0</v>
      </c>
      <c r="J75" t="n">
        <v>0</v>
      </c>
      <c r="K75" t="n">
        <v>0</v>
      </c>
      <c r="L75" t="n">
        <v>0</v>
      </c>
      <c r="M75" t="n">
        <v>0</v>
      </c>
      <c r="N75" t="n">
        <v>0</v>
      </c>
      <c r="O75" t="n">
        <v>0</v>
      </c>
      <c r="P75" t="n">
        <v>0</v>
      </c>
      <c r="Q75" t="n">
        <v>0</v>
      </c>
      <c r="R75" s="2" t="inlineStr"/>
    </row>
    <row r="76" ht="15" customHeight="1">
      <c r="A76" t="inlineStr">
        <is>
          <t>A 8110-2026</t>
        </is>
      </c>
      <c r="B76" s="1" t="n">
        <v>46062</v>
      </c>
      <c r="C76" s="1" t="n">
        <v>46191</v>
      </c>
      <c r="D76" t="inlineStr">
        <is>
          <t>VÄSTRA GÖTALANDS LÄN</t>
        </is>
      </c>
      <c r="E76" t="inlineStr">
        <is>
          <t>ALE</t>
        </is>
      </c>
      <c r="G76" t="n">
        <v>0.7</v>
      </c>
      <c r="H76" t="n">
        <v>0</v>
      </c>
      <c r="I76" t="n">
        <v>0</v>
      </c>
      <c r="J76" t="n">
        <v>0</v>
      </c>
      <c r="K76" t="n">
        <v>0</v>
      </c>
      <c r="L76" t="n">
        <v>0</v>
      </c>
      <c r="M76" t="n">
        <v>0</v>
      </c>
      <c r="N76" t="n">
        <v>0</v>
      </c>
      <c r="O76" t="n">
        <v>0</v>
      </c>
      <c r="P76" t="n">
        <v>0</v>
      </c>
      <c r="Q76" t="n">
        <v>0</v>
      </c>
      <c r="R76" s="2" t="inlineStr"/>
    </row>
    <row r="77" ht="15" customHeight="1">
      <c r="A77" t="inlineStr">
        <is>
          <t>A 72801-2021</t>
        </is>
      </c>
      <c r="B77" s="1" t="n">
        <v>44546</v>
      </c>
      <c r="C77" s="1" t="n">
        <v>46191</v>
      </c>
      <c r="D77" t="inlineStr">
        <is>
          <t>VÄSTRA GÖTALANDS LÄN</t>
        </is>
      </c>
      <c r="E77" t="inlineStr">
        <is>
          <t>ALE</t>
        </is>
      </c>
      <c r="F77" t="inlineStr">
        <is>
          <t>Naturvårdsverket</t>
        </is>
      </c>
      <c r="G77" t="n">
        <v>1.4</v>
      </c>
      <c r="H77" t="n">
        <v>0</v>
      </c>
      <c r="I77" t="n">
        <v>0</v>
      </c>
      <c r="J77" t="n">
        <v>0</v>
      </c>
      <c r="K77" t="n">
        <v>0</v>
      </c>
      <c r="L77" t="n">
        <v>0</v>
      </c>
      <c r="M77" t="n">
        <v>0</v>
      </c>
      <c r="N77" t="n">
        <v>0</v>
      </c>
      <c r="O77" t="n">
        <v>0</v>
      </c>
      <c r="P77" t="n">
        <v>0</v>
      </c>
      <c r="Q77" t="n">
        <v>0</v>
      </c>
      <c r="R77" s="2" t="inlineStr"/>
    </row>
    <row r="78" ht="15" customHeight="1">
      <c r="A78" t="inlineStr">
        <is>
          <t>A 8112-2026</t>
        </is>
      </c>
      <c r="B78" s="1" t="n">
        <v>46062</v>
      </c>
      <c r="C78" s="1" t="n">
        <v>46191</v>
      </c>
      <c r="D78" t="inlineStr">
        <is>
          <t>VÄSTRA GÖTALANDS LÄN</t>
        </is>
      </c>
      <c r="E78" t="inlineStr">
        <is>
          <t>ALE</t>
        </is>
      </c>
      <c r="G78" t="n">
        <v>0.4</v>
      </c>
      <c r="H78" t="n">
        <v>0</v>
      </c>
      <c r="I78" t="n">
        <v>0</v>
      </c>
      <c r="J78" t="n">
        <v>0</v>
      </c>
      <c r="K78" t="n">
        <v>0</v>
      </c>
      <c r="L78" t="n">
        <v>0</v>
      </c>
      <c r="M78" t="n">
        <v>0</v>
      </c>
      <c r="N78" t="n">
        <v>0</v>
      </c>
      <c r="O78" t="n">
        <v>0</v>
      </c>
      <c r="P78" t="n">
        <v>0</v>
      </c>
      <c r="Q78" t="n">
        <v>0</v>
      </c>
      <c r="R78" s="2" t="inlineStr"/>
    </row>
    <row r="79" ht="15" customHeight="1">
      <c r="A79" t="inlineStr">
        <is>
          <t>A 8111-2026</t>
        </is>
      </c>
      <c r="B79" s="1" t="n">
        <v>46062</v>
      </c>
      <c r="C79" s="1" t="n">
        <v>46191</v>
      </c>
      <c r="D79" t="inlineStr">
        <is>
          <t>VÄSTRA GÖTALANDS LÄN</t>
        </is>
      </c>
      <c r="E79" t="inlineStr">
        <is>
          <t>ALE</t>
        </is>
      </c>
      <c r="G79" t="n">
        <v>0.3</v>
      </c>
      <c r="H79" t="n">
        <v>0</v>
      </c>
      <c r="I79" t="n">
        <v>0</v>
      </c>
      <c r="J79" t="n">
        <v>0</v>
      </c>
      <c r="K79" t="n">
        <v>0</v>
      </c>
      <c r="L79" t="n">
        <v>0</v>
      </c>
      <c r="M79" t="n">
        <v>0</v>
      </c>
      <c r="N79" t="n">
        <v>0</v>
      </c>
      <c r="O79" t="n">
        <v>0</v>
      </c>
      <c r="P79" t="n">
        <v>0</v>
      </c>
      <c r="Q79" t="n">
        <v>0</v>
      </c>
      <c r="R79" s="2" t="inlineStr"/>
    </row>
    <row r="80" ht="15" customHeight="1">
      <c r="A80" t="inlineStr">
        <is>
          <t>A 46227-2025</t>
        </is>
      </c>
      <c r="B80" s="1" t="n">
        <v>45924</v>
      </c>
      <c r="C80" s="1" t="n">
        <v>46191</v>
      </c>
      <c r="D80" t="inlineStr">
        <is>
          <t>VÄSTRA GÖTALANDS LÄN</t>
        </is>
      </c>
      <c r="E80" t="inlineStr">
        <is>
          <t>ALE</t>
        </is>
      </c>
      <c r="G80" t="n">
        <v>0.3</v>
      </c>
      <c r="H80" t="n">
        <v>0</v>
      </c>
      <c r="I80" t="n">
        <v>0</v>
      </c>
      <c r="J80" t="n">
        <v>0</v>
      </c>
      <c r="K80" t="n">
        <v>0</v>
      </c>
      <c r="L80" t="n">
        <v>0</v>
      </c>
      <c r="M80" t="n">
        <v>0</v>
      </c>
      <c r="N80" t="n">
        <v>0</v>
      </c>
      <c r="O80" t="n">
        <v>0</v>
      </c>
      <c r="P80" t="n">
        <v>0</v>
      </c>
      <c r="Q80" t="n">
        <v>0</v>
      </c>
      <c r="R80" s="2" t="inlineStr"/>
    </row>
    <row r="81" ht="15" customHeight="1">
      <c r="A81" t="inlineStr">
        <is>
          <t>A 47728-2025</t>
        </is>
      </c>
      <c r="B81" s="1" t="n">
        <v>45931</v>
      </c>
      <c r="C81" s="1" t="n">
        <v>46191</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57473-2022</t>
        </is>
      </c>
      <c r="B82" s="1" t="n">
        <v>44896</v>
      </c>
      <c r="C82" s="1" t="n">
        <v>46191</v>
      </c>
      <c r="D82" t="inlineStr">
        <is>
          <t>VÄSTRA GÖTALANDS LÄN</t>
        </is>
      </c>
      <c r="E82" t="inlineStr">
        <is>
          <t>ALE</t>
        </is>
      </c>
      <c r="G82" t="n">
        <v>0.7</v>
      </c>
      <c r="H82" t="n">
        <v>0</v>
      </c>
      <c r="I82" t="n">
        <v>0</v>
      </c>
      <c r="J82" t="n">
        <v>0</v>
      </c>
      <c r="K82" t="n">
        <v>0</v>
      </c>
      <c r="L82" t="n">
        <v>0</v>
      </c>
      <c r="M82" t="n">
        <v>0</v>
      </c>
      <c r="N82" t="n">
        <v>0</v>
      </c>
      <c r="O82" t="n">
        <v>0</v>
      </c>
      <c r="P82" t="n">
        <v>0</v>
      </c>
      <c r="Q82" t="n">
        <v>0</v>
      </c>
      <c r="R82" s="2" t="inlineStr"/>
    </row>
    <row r="83" ht="15" customHeight="1">
      <c r="A83" t="inlineStr">
        <is>
          <t>A 1566-2022</t>
        </is>
      </c>
      <c r="B83" s="1" t="n">
        <v>44573</v>
      </c>
      <c r="C83" s="1" t="n">
        <v>46191</v>
      </c>
      <c r="D83" t="inlineStr">
        <is>
          <t>VÄSTRA GÖTALANDS LÄN</t>
        </is>
      </c>
      <c r="E83" t="inlineStr">
        <is>
          <t>ALE</t>
        </is>
      </c>
      <c r="G83" t="n">
        <v>3</v>
      </c>
      <c r="H83" t="n">
        <v>0</v>
      </c>
      <c r="I83" t="n">
        <v>0</v>
      </c>
      <c r="J83" t="n">
        <v>0</v>
      </c>
      <c r="K83" t="n">
        <v>0</v>
      </c>
      <c r="L83" t="n">
        <v>0</v>
      </c>
      <c r="M83" t="n">
        <v>0</v>
      </c>
      <c r="N83" t="n">
        <v>0</v>
      </c>
      <c r="O83" t="n">
        <v>0</v>
      </c>
      <c r="P83" t="n">
        <v>0</v>
      </c>
      <c r="Q83" t="n">
        <v>0</v>
      </c>
      <c r="R83" s="2" t="inlineStr"/>
    </row>
    <row r="84" ht="15" customHeight="1">
      <c r="A84" t="inlineStr">
        <is>
          <t>A 12445-2022</t>
        </is>
      </c>
      <c r="B84" s="1" t="n">
        <v>44638</v>
      </c>
      <c r="C84" s="1" t="n">
        <v>46191</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10459-2026</t>
        </is>
      </c>
      <c r="B85" s="1" t="n">
        <v>46077</v>
      </c>
      <c r="C85" s="1" t="n">
        <v>46191</v>
      </c>
      <c r="D85" t="inlineStr">
        <is>
          <t>VÄSTRA GÖTALANDS LÄN</t>
        </is>
      </c>
      <c r="E85" t="inlineStr">
        <is>
          <t>ALE</t>
        </is>
      </c>
      <c r="G85" t="n">
        <v>3.8</v>
      </c>
      <c r="H85" t="n">
        <v>0</v>
      </c>
      <c r="I85" t="n">
        <v>0</v>
      </c>
      <c r="J85" t="n">
        <v>0</v>
      </c>
      <c r="K85" t="n">
        <v>0</v>
      </c>
      <c r="L85" t="n">
        <v>0</v>
      </c>
      <c r="M85" t="n">
        <v>0</v>
      </c>
      <c r="N85" t="n">
        <v>0</v>
      </c>
      <c r="O85" t="n">
        <v>0</v>
      </c>
      <c r="P85" t="n">
        <v>0</v>
      </c>
      <c r="Q85" t="n">
        <v>0</v>
      </c>
      <c r="R85" s="2" t="inlineStr"/>
    </row>
    <row r="86" ht="15" customHeight="1">
      <c r="A86" t="inlineStr">
        <is>
          <t>A 36763-2022</t>
        </is>
      </c>
      <c r="B86" s="1" t="n">
        <v>44805</v>
      </c>
      <c r="C86" s="1" t="n">
        <v>46191</v>
      </c>
      <c r="D86" t="inlineStr">
        <is>
          <t>VÄSTRA GÖTALANDS LÄN</t>
        </is>
      </c>
      <c r="E86" t="inlineStr">
        <is>
          <t>ALE</t>
        </is>
      </c>
      <c r="G86" t="n">
        <v>6.1</v>
      </c>
      <c r="H86" t="n">
        <v>0</v>
      </c>
      <c r="I86" t="n">
        <v>0</v>
      </c>
      <c r="J86" t="n">
        <v>0</v>
      </c>
      <c r="K86" t="n">
        <v>0</v>
      </c>
      <c r="L86" t="n">
        <v>0</v>
      </c>
      <c r="M86" t="n">
        <v>0</v>
      </c>
      <c r="N86" t="n">
        <v>0</v>
      </c>
      <c r="O86" t="n">
        <v>0</v>
      </c>
      <c r="P86" t="n">
        <v>0</v>
      </c>
      <c r="Q86" t="n">
        <v>0</v>
      </c>
      <c r="R86" s="2" t="inlineStr"/>
    </row>
    <row r="87" ht="15" customHeight="1">
      <c r="A87" t="inlineStr">
        <is>
          <t>A 50189-2025</t>
        </is>
      </c>
      <c r="B87" s="1" t="n">
        <v>45943</v>
      </c>
      <c r="C87" s="1" t="n">
        <v>46191</v>
      </c>
      <c r="D87" t="inlineStr">
        <is>
          <t>VÄSTRA GÖTALANDS LÄN</t>
        </is>
      </c>
      <c r="E87" t="inlineStr">
        <is>
          <t>ALE</t>
        </is>
      </c>
      <c r="G87" t="n">
        <v>3</v>
      </c>
      <c r="H87" t="n">
        <v>0</v>
      </c>
      <c r="I87" t="n">
        <v>0</v>
      </c>
      <c r="J87" t="n">
        <v>0</v>
      </c>
      <c r="K87" t="n">
        <v>0</v>
      </c>
      <c r="L87" t="n">
        <v>0</v>
      </c>
      <c r="M87" t="n">
        <v>0</v>
      </c>
      <c r="N87" t="n">
        <v>0</v>
      </c>
      <c r="O87" t="n">
        <v>0</v>
      </c>
      <c r="P87" t="n">
        <v>0</v>
      </c>
      <c r="Q87" t="n">
        <v>0</v>
      </c>
      <c r="R87" s="2" t="inlineStr"/>
    </row>
    <row r="88" ht="15" customHeight="1">
      <c r="A88" t="inlineStr">
        <is>
          <t>A 50973-2025</t>
        </is>
      </c>
      <c r="B88" s="1" t="n">
        <v>45947</v>
      </c>
      <c r="C88" s="1" t="n">
        <v>46191</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46191</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45988-2021</t>
        </is>
      </c>
      <c r="B90" s="1" t="n">
        <v>44441</v>
      </c>
      <c r="C90" s="1" t="n">
        <v>46191</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51976-2025</t>
        </is>
      </c>
      <c r="B91" s="1" t="n">
        <v>45952</v>
      </c>
      <c r="C91" s="1" t="n">
        <v>46191</v>
      </c>
      <c r="D91" t="inlineStr">
        <is>
          <t>VÄSTRA GÖTALANDS LÄN</t>
        </is>
      </c>
      <c r="E91" t="inlineStr">
        <is>
          <t>ALE</t>
        </is>
      </c>
      <c r="G91" t="n">
        <v>5.2</v>
      </c>
      <c r="H91" t="n">
        <v>0</v>
      </c>
      <c r="I91" t="n">
        <v>0</v>
      </c>
      <c r="J91" t="n">
        <v>0</v>
      </c>
      <c r="K91" t="n">
        <v>0</v>
      </c>
      <c r="L91" t="n">
        <v>0</v>
      </c>
      <c r="M91" t="n">
        <v>0</v>
      </c>
      <c r="N91" t="n">
        <v>0</v>
      </c>
      <c r="O91" t="n">
        <v>0</v>
      </c>
      <c r="P91" t="n">
        <v>0</v>
      </c>
      <c r="Q91" t="n">
        <v>0</v>
      </c>
      <c r="R91" s="2" t="inlineStr"/>
    </row>
    <row r="92" ht="15" customHeight="1">
      <c r="A92" t="inlineStr">
        <is>
          <t>A 1822-2024</t>
        </is>
      </c>
      <c r="B92" s="1" t="n">
        <v>45307</v>
      </c>
      <c r="C92" s="1" t="n">
        <v>46191</v>
      </c>
      <c r="D92" t="inlineStr">
        <is>
          <t>VÄSTRA GÖTALANDS LÄN</t>
        </is>
      </c>
      <c r="E92" t="inlineStr">
        <is>
          <t>ALE</t>
        </is>
      </c>
      <c r="G92" t="n">
        <v>2</v>
      </c>
      <c r="H92" t="n">
        <v>0</v>
      </c>
      <c r="I92" t="n">
        <v>0</v>
      </c>
      <c r="J92" t="n">
        <v>0</v>
      </c>
      <c r="K92" t="n">
        <v>0</v>
      </c>
      <c r="L92" t="n">
        <v>0</v>
      </c>
      <c r="M92" t="n">
        <v>0</v>
      </c>
      <c r="N92" t="n">
        <v>0</v>
      </c>
      <c r="O92" t="n">
        <v>0</v>
      </c>
      <c r="P92" t="n">
        <v>0</v>
      </c>
      <c r="Q92" t="n">
        <v>0</v>
      </c>
      <c r="R92" s="2" t="inlineStr"/>
    </row>
    <row r="93" ht="15" customHeight="1">
      <c r="A93" t="inlineStr">
        <is>
          <t>A 15241-2025</t>
        </is>
      </c>
      <c r="B93" s="1" t="n">
        <v>45744</v>
      </c>
      <c r="C93" s="1" t="n">
        <v>46191</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5875-2023</t>
        </is>
      </c>
      <c r="B94" s="1" t="n">
        <v>44963</v>
      </c>
      <c r="C94" s="1" t="n">
        <v>46191</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3407-2023</t>
        </is>
      </c>
      <c r="B95" s="1" t="n">
        <v>44949</v>
      </c>
      <c r="C95" s="1" t="n">
        <v>46191</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51564-2023</t>
        </is>
      </c>
      <c r="B96" s="1" t="n">
        <v>45222</v>
      </c>
      <c r="C96" s="1" t="n">
        <v>46191</v>
      </c>
      <c r="D96" t="inlineStr">
        <is>
          <t>VÄSTRA GÖTALANDS LÄN</t>
        </is>
      </c>
      <c r="E96" t="inlineStr">
        <is>
          <t>ALE</t>
        </is>
      </c>
      <c r="G96" t="n">
        <v>1.5</v>
      </c>
      <c r="H96" t="n">
        <v>0</v>
      </c>
      <c r="I96" t="n">
        <v>0</v>
      </c>
      <c r="J96" t="n">
        <v>0</v>
      </c>
      <c r="K96" t="n">
        <v>0</v>
      </c>
      <c r="L96" t="n">
        <v>0</v>
      </c>
      <c r="M96" t="n">
        <v>0</v>
      </c>
      <c r="N96" t="n">
        <v>0</v>
      </c>
      <c r="O96" t="n">
        <v>0</v>
      </c>
      <c r="P96" t="n">
        <v>0</v>
      </c>
      <c r="Q96" t="n">
        <v>0</v>
      </c>
      <c r="R96" s="2" t="inlineStr"/>
    </row>
    <row r="97" ht="15" customHeight="1">
      <c r="A97" t="inlineStr">
        <is>
          <t>A 56905-2025</t>
        </is>
      </c>
      <c r="B97" s="1" t="n">
        <v>45978</v>
      </c>
      <c r="C97" s="1" t="n">
        <v>46191</v>
      </c>
      <c r="D97" t="inlineStr">
        <is>
          <t>VÄSTRA GÖTALANDS LÄN</t>
        </is>
      </c>
      <c r="E97" t="inlineStr">
        <is>
          <t>ALE</t>
        </is>
      </c>
      <c r="G97" t="n">
        <v>5.2</v>
      </c>
      <c r="H97" t="n">
        <v>0</v>
      </c>
      <c r="I97" t="n">
        <v>0</v>
      </c>
      <c r="J97" t="n">
        <v>0</v>
      </c>
      <c r="K97" t="n">
        <v>0</v>
      </c>
      <c r="L97" t="n">
        <v>0</v>
      </c>
      <c r="M97" t="n">
        <v>0</v>
      </c>
      <c r="N97" t="n">
        <v>0</v>
      </c>
      <c r="O97" t="n">
        <v>0</v>
      </c>
      <c r="P97" t="n">
        <v>0</v>
      </c>
      <c r="Q97" t="n">
        <v>0</v>
      </c>
      <c r="R97" s="2" t="inlineStr"/>
    </row>
    <row r="98" ht="15" customHeight="1">
      <c r="A98" t="inlineStr">
        <is>
          <t>A 22420-2026</t>
        </is>
      </c>
      <c r="B98" s="1" t="n">
        <v>46154</v>
      </c>
      <c r="C98" s="1" t="n">
        <v>46191</v>
      </c>
      <c r="D98" t="inlineStr">
        <is>
          <t>VÄSTRA GÖTALANDS LÄN</t>
        </is>
      </c>
      <c r="E98" t="inlineStr">
        <is>
          <t>ALE</t>
        </is>
      </c>
      <c r="G98" t="n">
        <v>5</v>
      </c>
      <c r="H98" t="n">
        <v>0</v>
      </c>
      <c r="I98" t="n">
        <v>0</v>
      </c>
      <c r="J98" t="n">
        <v>0</v>
      </c>
      <c r="K98" t="n">
        <v>0</v>
      </c>
      <c r="L98" t="n">
        <v>0</v>
      </c>
      <c r="M98" t="n">
        <v>0</v>
      </c>
      <c r="N98" t="n">
        <v>0</v>
      </c>
      <c r="O98" t="n">
        <v>0</v>
      </c>
      <c r="P98" t="n">
        <v>0</v>
      </c>
      <c r="Q98" t="n">
        <v>0</v>
      </c>
      <c r="R98" s="2" t="inlineStr"/>
    </row>
    <row r="99" ht="15" customHeight="1">
      <c r="A99" t="inlineStr">
        <is>
          <t>A 34153-2024</t>
        </is>
      </c>
      <c r="B99" s="1" t="n">
        <v>45524</v>
      </c>
      <c r="C99" s="1" t="n">
        <v>46191</v>
      </c>
      <c r="D99" t="inlineStr">
        <is>
          <t>VÄSTRA GÖTALANDS LÄN</t>
        </is>
      </c>
      <c r="E99" t="inlineStr">
        <is>
          <t>ALE</t>
        </is>
      </c>
      <c r="G99" t="n">
        <v>0.8</v>
      </c>
      <c r="H99" t="n">
        <v>0</v>
      </c>
      <c r="I99" t="n">
        <v>0</v>
      </c>
      <c r="J99" t="n">
        <v>0</v>
      </c>
      <c r="K99" t="n">
        <v>0</v>
      </c>
      <c r="L99" t="n">
        <v>0</v>
      </c>
      <c r="M99" t="n">
        <v>0</v>
      </c>
      <c r="N99" t="n">
        <v>0</v>
      </c>
      <c r="O99" t="n">
        <v>0</v>
      </c>
      <c r="P99" t="n">
        <v>0</v>
      </c>
      <c r="Q99" t="n">
        <v>0</v>
      </c>
      <c r="R99" s="2" t="inlineStr"/>
    </row>
    <row r="100" ht="15" customHeight="1">
      <c r="A100" t="inlineStr">
        <is>
          <t>A 17199-2026</t>
        </is>
      </c>
      <c r="B100" s="1" t="n">
        <v>46118</v>
      </c>
      <c r="C100" s="1" t="n">
        <v>46191</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41309-2024</t>
        </is>
      </c>
      <c r="B101" s="1" t="n">
        <v>45559</v>
      </c>
      <c r="C101" s="1" t="n">
        <v>46191</v>
      </c>
      <c r="D101" t="inlineStr">
        <is>
          <t>VÄSTRA GÖTALANDS LÄN</t>
        </is>
      </c>
      <c r="E101" t="inlineStr">
        <is>
          <t>ALE</t>
        </is>
      </c>
      <c r="G101" t="n">
        <v>8.4</v>
      </c>
      <c r="H101" t="n">
        <v>0</v>
      </c>
      <c r="I101" t="n">
        <v>0</v>
      </c>
      <c r="J101" t="n">
        <v>0</v>
      </c>
      <c r="K101" t="n">
        <v>0</v>
      </c>
      <c r="L101" t="n">
        <v>0</v>
      </c>
      <c r="M101" t="n">
        <v>0</v>
      </c>
      <c r="N101" t="n">
        <v>0</v>
      </c>
      <c r="O101" t="n">
        <v>0</v>
      </c>
      <c r="P101" t="n">
        <v>0</v>
      </c>
      <c r="Q101" t="n">
        <v>0</v>
      </c>
      <c r="R101" s="2" t="inlineStr"/>
    </row>
    <row r="102" ht="15" customHeight="1">
      <c r="A102" t="inlineStr">
        <is>
          <t>A 15499-2022</t>
        </is>
      </c>
      <c r="B102" s="1" t="n">
        <v>44662</v>
      </c>
      <c r="C102" s="1" t="n">
        <v>46191</v>
      </c>
      <c r="D102" t="inlineStr">
        <is>
          <t>VÄSTRA GÖTALANDS LÄN</t>
        </is>
      </c>
      <c r="E102" t="inlineStr">
        <is>
          <t>ALE</t>
        </is>
      </c>
      <c r="G102" t="n">
        <v>4.7</v>
      </c>
      <c r="H102" t="n">
        <v>0</v>
      </c>
      <c r="I102" t="n">
        <v>0</v>
      </c>
      <c r="J102" t="n">
        <v>0</v>
      </c>
      <c r="K102" t="n">
        <v>0</v>
      </c>
      <c r="L102" t="n">
        <v>0</v>
      </c>
      <c r="M102" t="n">
        <v>0</v>
      </c>
      <c r="N102" t="n">
        <v>0</v>
      </c>
      <c r="O102" t="n">
        <v>0</v>
      </c>
      <c r="P102" t="n">
        <v>0</v>
      </c>
      <c r="Q102" t="n">
        <v>0</v>
      </c>
      <c r="R102" s="2" t="inlineStr"/>
    </row>
    <row r="103" ht="15" customHeight="1">
      <c r="A103" t="inlineStr">
        <is>
          <t>A 31407-2025</t>
        </is>
      </c>
      <c r="B103" s="1" t="n">
        <v>45833</v>
      </c>
      <c r="C103" s="1" t="n">
        <v>46191</v>
      </c>
      <c r="D103" t="inlineStr">
        <is>
          <t>VÄSTRA GÖTALANDS LÄN</t>
        </is>
      </c>
      <c r="E103" t="inlineStr">
        <is>
          <t>ALE</t>
        </is>
      </c>
      <c r="G103" t="n">
        <v>0.8</v>
      </c>
      <c r="H103" t="n">
        <v>0</v>
      </c>
      <c r="I103" t="n">
        <v>0</v>
      </c>
      <c r="J103" t="n">
        <v>0</v>
      </c>
      <c r="K103" t="n">
        <v>0</v>
      </c>
      <c r="L103" t="n">
        <v>0</v>
      </c>
      <c r="M103" t="n">
        <v>0</v>
      </c>
      <c r="N103" t="n">
        <v>0</v>
      </c>
      <c r="O103" t="n">
        <v>0</v>
      </c>
      <c r="P103" t="n">
        <v>0</v>
      </c>
      <c r="Q103" t="n">
        <v>0</v>
      </c>
      <c r="R103" s="2" t="inlineStr"/>
    </row>
    <row r="104" ht="15" customHeight="1">
      <c r="A104" t="inlineStr">
        <is>
          <t>A 59409-2025</t>
        </is>
      </c>
      <c r="B104" s="1" t="n">
        <v>45989</v>
      </c>
      <c r="C104" s="1" t="n">
        <v>46191</v>
      </c>
      <c r="D104" t="inlineStr">
        <is>
          <t>VÄSTRA GÖTALANDS LÄN</t>
        </is>
      </c>
      <c r="E104" t="inlineStr">
        <is>
          <t>ALE</t>
        </is>
      </c>
      <c r="G104" t="n">
        <v>0.3</v>
      </c>
      <c r="H104" t="n">
        <v>0</v>
      </c>
      <c r="I104" t="n">
        <v>0</v>
      </c>
      <c r="J104" t="n">
        <v>0</v>
      </c>
      <c r="K104" t="n">
        <v>0</v>
      </c>
      <c r="L104" t="n">
        <v>0</v>
      </c>
      <c r="M104" t="n">
        <v>0</v>
      </c>
      <c r="N104" t="n">
        <v>0</v>
      </c>
      <c r="O104" t="n">
        <v>0</v>
      </c>
      <c r="P104" t="n">
        <v>0</v>
      </c>
      <c r="Q104" t="n">
        <v>0</v>
      </c>
      <c r="R104" s="2" t="inlineStr"/>
    </row>
    <row r="105" ht="15" customHeight="1">
      <c r="A105" t="inlineStr">
        <is>
          <t>A 60287-2025</t>
        </is>
      </c>
      <c r="B105" s="1" t="n">
        <v>45994</v>
      </c>
      <c r="C105" s="1" t="n">
        <v>46191</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1960-2024</t>
        </is>
      </c>
      <c r="B106" s="1" t="n">
        <v>45308</v>
      </c>
      <c r="C106" s="1" t="n">
        <v>46191</v>
      </c>
      <c r="D106" t="inlineStr">
        <is>
          <t>VÄSTRA GÖTALANDS LÄN</t>
        </is>
      </c>
      <c r="E106" t="inlineStr">
        <is>
          <t>ALE</t>
        </is>
      </c>
      <c r="G106" t="n">
        <v>1.9</v>
      </c>
      <c r="H106" t="n">
        <v>0</v>
      </c>
      <c r="I106" t="n">
        <v>0</v>
      </c>
      <c r="J106" t="n">
        <v>0</v>
      </c>
      <c r="K106" t="n">
        <v>0</v>
      </c>
      <c r="L106" t="n">
        <v>0</v>
      </c>
      <c r="M106" t="n">
        <v>0</v>
      </c>
      <c r="N106" t="n">
        <v>0</v>
      </c>
      <c r="O106" t="n">
        <v>0</v>
      </c>
      <c r="P106" t="n">
        <v>0</v>
      </c>
      <c r="Q106" t="n">
        <v>0</v>
      </c>
      <c r="R106" s="2" t="inlineStr"/>
    </row>
    <row r="107" ht="15" customHeight="1">
      <c r="A107" t="inlineStr">
        <is>
          <t>A 3418-2023</t>
        </is>
      </c>
      <c r="B107" s="1" t="n">
        <v>44949</v>
      </c>
      <c r="C107" s="1" t="n">
        <v>46191</v>
      </c>
      <c r="D107" t="inlineStr">
        <is>
          <t>VÄSTRA GÖTALANDS LÄN</t>
        </is>
      </c>
      <c r="E107" t="inlineStr">
        <is>
          <t>ALE</t>
        </is>
      </c>
      <c r="G107" t="n">
        <v>1.1</v>
      </c>
      <c r="H107" t="n">
        <v>0</v>
      </c>
      <c r="I107" t="n">
        <v>0</v>
      </c>
      <c r="J107" t="n">
        <v>0</v>
      </c>
      <c r="K107" t="n">
        <v>0</v>
      </c>
      <c r="L107" t="n">
        <v>0</v>
      </c>
      <c r="M107" t="n">
        <v>0</v>
      </c>
      <c r="N107" t="n">
        <v>0</v>
      </c>
      <c r="O107" t="n">
        <v>0</v>
      </c>
      <c r="P107" t="n">
        <v>0</v>
      </c>
      <c r="Q107" t="n">
        <v>0</v>
      </c>
      <c r="R107" s="2" t="inlineStr"/>
    </row>
    <row r="108" ht="15" customHeight="1">
      <c r="A108" t="inlineStr">
        <is>
          <t>A 61744-2025</t>
        </is>
      </c>
      <c r="B108" s="1" t="n">
        <v>46002</v>
      </c>
      <c r="C108" s="1" t="n">
        <v>46191</v>
      </c>
      <c r="D108" t="inlineStr">
        <is>
          <t>VÄSTRA GÖTALANDS LÄN</t>
        </is>
      </c>
      <c r="E108" t="inlineStr">
        <is>
          <t>ALE</t>
        </is>
      </c>
      <c r="G108" t="n">
        <v>3.1</v>
      </c>
      <c r="H108" t="n">
        <v>0</v>
      </c>
      <c r="I108" t="n">
        <v>0</v>
      </c>
      <c r="J108" t="n">
        <v>0</v>
      </c>
      <c r="K108" t="n">
        <v>0</v>
      </c>
      <c r="L108" t="n">
        <v>0</v>
      </c>
      <c r="M108" t="n">
        <v>0</v>
      </c>
      <c r="N108" t="n">
        <v>0</v>
      </c>
      <c r="O108" t="n">
        <v>0</v>
      </c>
      <c r="P108" t="n">
        <v>0</v>
      </c>
      <c r="Q108" t="n">
        <v>0</v>
      </c>
      <c r="R108" s="2" t="inlineStr"/>
    </row>
    <row r="109" ht="15" customHeight="1">
      <c r="A109" t="inlineStr">
        <is>
          <t>A 65226-2021</t>
        </is>
      </c>
      <c r="B109" s="1" t="n">
        <v>44515</v>
      </c>
      <c r="C109" s="1" t="n">
        <v>46191</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12055-2022</t>
        </is>
      </c>
      <c r="B110" s="1" t="n">
        <v>44636</v>
      </c>
      <c r="C110" s="1" t="n">
        <v>46191</v>
      </c>
      <c r="D110" t="inlineStr">
        <is>
          <t>VÄSTRA GÖTALANDS LÄN</t>
        </is>
      </c>
      <c r="E110" t="inlineStr">
        <is>
          <t>ALE</t>
        </is>
      </c>
      <c r="G110" t="n">
        <v>0.2</v>
      </c>
      <c r="H110" t="n">
        <v>0</v>
      </c>
      <c r="I110" t="n">
        <v>0</v>
      </c>
      <c r="J110" t="n">
        <v>0</v>
      </c>
      <c r="K110" t="n">
        <v>0</v>
      </c>
      <c r="L110" t="n">
        <v>0</v>
      </c>
      <c r="M110" t="n">
        <v>0</v>
      </c>
      <c r="N110" t="n">
        <v>0</v>
      </c>
      <c r="O110" t="n">
        <v>0</v>
      </c>
      <c r="P110" t="n">
        <v>0</v>
      </c>
      <c r="Q110" t="n">
        <v>0</v>
      </c>
      <c r="R110" s="2" t="inlineStr"/>
    </row>
    <row r="111" ht="15" customHeight="1">
      <c r="A111" t="inlineStr">
        <is>
          <t>A 61771-2025</t>
        </is>
      </c>
      <c r="B111" s="1" t="n">
        <v>46002</v>
      </c>
      <c r="C111" s="1" t="n">
        <v>46191</v>
      </c>
      <c r="D111" t="inlineStr">
        <is>
          <t>VÄSTRA GÖTALANDS LÄN</t>
        </is>
      </c>
      <c r="E111" t="inlineStr">
        <is>
          <t>ALE</t>
        </is>
      </c>
      <c r="G111" t="n">
        <v>3.9</v>
      </c>
      <c r="H111" t="n">
        <v>0</v>
      </c>
      <c r="I111" t="n">
        <v>0</v>
      </c>
      <c r="J111" t="n">
        <v>0</v>
      </c>
      <c r="K111" t="n">
        <v>0</v>
      </c>
      <c r="L111" t="n">
        <v>0</v>
      </c>
      <c r="M111" t="n">
        <v>0</v>
      </c>
      <c r="N111" t="n">
        <v>0</v>
      </c>
      <c r="O111" t="n">
        <v>0</v>
      </c>
      <c r="P111" t="n">
        <v>0</v>
      </c>
      <c r="Q111" t="n">
        <v>0</v>
      </c>
      <c r="R111" s="2" t="inlineStr"/>
    </row>
    <row r="112" ht="15" customHeight="1">
      <c r="A112" t="inlineStr">
        <is>
          <t>A 3457-2022</t>
        </is>
      </c>
      <c r="B112" s="1" t="n">
        <v>44585</v>
      </c>
      <c r="C112" s="1" t="n">
        <v>46191</v>
      </c>
      <c r="D112" t="inlineStr">
        <is>
          <t>VÄSTRA GÖTALANDS LÄN</t>
        </is>
      </c>
      <c r="E112" t="inlineStr">
        <is>
          <t>ALE</t>
        </is>
      </c>
      <c r="G112" t="n">
        <v>5.1</v>
      </c>
      <c r="H112" t="n">
        <v>0</v>
      </c>
      <c r="I112" t="n">
        <v>0</v>
      </c>
      <c r="J112" t="n">
        <v>0</v>
      </c>
      <c r="K112" t="n">
        <v>0</v>
      </c>
      <c r="L112" t="n">
        <v>0</v>
      </c>
      <c r="M112" t="n">
        <v>0</v>
      </c>
      <c r="N112" t="n">
        <v>0</v>
      </c>
      <c r="O112" t="n">
        <v>0</v>
      </c>
      <c r="P112" t="n">
        <v>0</v>
      </c>
      <c r="Q112" t="n">
        <v>0</v>
      </c>
      <c r="R112" s="2" t="inlineStr"/>
    </row>
    <row r="113" ht="15" customHeight="1">
      <c r="A113" t="inlineStr">
        <is>
          <t>A 19613-2026</t>
        </is>
      </c>
      <c r="B113" s="1" t="n">
        <v>46134</v>
      </c>
      <c r="C113" s="1" t="n">
        <v>46191</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5916-2023</t>
        </is>
      </c>
      <c r="B114" s="1" t="n">
        <v>44963</v>
      </c>
      <c r="C114" s="1" t="n">
        <v>46191</v>
      </c>
      <c r="D114" t="inlineStr">
        <is>
          <t>VÄSTRA GÖTALANDS LÄN</t>
        </is>
      </c>
      <c r="E114" t="inlineStr">
        <is>
          <t>ALE</t>
        </is>
      </c>
      <c r="G114" t="n">
        <v>4.2</v>
      </c>
      <c r="H114" t="n">
        <v>0</v>
      </c>
      <c r="I114" t="n">
        <v>0</v>
      </c>
      <c r="J114" t="n">
        <v>0</v>
      </c>
      <c r="K114" t="n">
        <v>0</v>
      </c>
      <c r="L114" t="n">
        <v>0</v>
      </c>
      <c r="M114" t="n">
        <v>0</v>
      </c>
      <c r="N114" t="n">
        <v>0</v>
      </c>
      <c r="O114" t="n">
        <v>0</v>
      </c>
      <c r="P114" t="n">
        <v>0</v>
      </c>
      <c r="Q114" t="n">
        <v>0</v>
      </c>
      <c r="R114" s="2" t="inlineStr"/>
    </row>
    <row r="115" ht="15" customHeight="1">
      <c r="A115" t="inlineStr">
        <is>
          <t>A 2414-2026</t>
        </is>
      </c>
      <c r="B115" s="1" t="n">
        <v>46036</v>
      </c>
      <c r="C115" s="1" t="n">
        <v>46191</v>
      </c>
      <c r="D115" t="inlineStr">
        <is>
          <t>VÄSTRA GÖTALANDS LÄN</t>
        </is>
      </c>
      <c r="E115" t="inlineStr">
        <is>
          <t>ALE</t>
        </is>
      </c>
      <c r="G115" t="n">
        <v>3.3</v>
      </c>
      <c r="H115" t="n">
        <v>0</v>
      </c>
      <c r="I115" t="n">
        <v>0</v>
      </c>
      <c r="J115" t="n">
        <v>0</v>
      </c>
      <c r="K115" t="n">
        <v>0</v>
      </c>
      <c r="L115" t="n">
        <v>0</v>
      </c>
      <c r="M115" t="n">
        <v>0</v>
      </c>
      <c r="N115" t="n">
        <v>0</v>
      </c>
      <c r="O115" t="n">
        <v>0</v>
      </c>
      <c r="P115" t="n">
        <v>0</v>
      </c>
      <c r="Q115" t="n">
        <v>0</v>
      </c>
      <c r="R115" s="2" t="inlineStr"/>
    </row>
    <row r="116" ht="15" customHeight="1">
      <c r="A116" t="inlineStr">
        <is>
          <t>A 36403-2024</t>
        </is>
      </c>
      <c r="B116" s="1" t="n">
        <v>45535</v>
      </c>
      <c r="C116" s="1" t="n">
        <v>46191</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25840-2025</t>
        </is>
      </c>
      <c r="B117" s="1" t="n">
        <v>45804</v>
      </c>
      <c r="C117" s="1" t="n">
        <v>46191</v>
      </c>
      <c r="D117" t="inlineStr">
        <is>
          <t>VÄSTRA GÖTALANDS LÄN</t>
        </is>
      </c>
      <c r="E117" t="inlineStr">
        <is>
          <t>ALE</t>
        </is>
      </c>
      <c r="G117" t="n">
        <v>3.8</v>
      </c>
      <c r="H117" t="n">
        <v>0</v>
      </c>
      <c r="I117" t="n">
        <v>0</v>
      </c>
      <c r="J117" t="n">
        <v>0</v>
      </c>
      <c r="K117" t="n">
        <v>0</v>
      </c>
      <c r="L117" t="n">
        <v>0</v>
      </c>
      <c r="M117" t="n">
        <v>0</v>
      </c>
      <c r="N117" t="n">
        <v>0</v>
      </c>
      <c r="O117" t="n">
        <v>0</v>
      </c>
      <c r="P117" t="n">
        <v>0</v>
      </c>
      <c r="Q117" t="n">
        <v>0</v>
      </c>
      <c r="R117" s="2" t="inlineStr"/>
    </row>
    <row r="118" ht="15" customHeight="1">
      <c r="A118" t="inlineStr">
        <is>
          <t>A 55405-2021</t>
        </is>
      </c>
      <c r="B118" s="1" t="n">
        <v>44475</v>
      </c>
      <c r="C118" s="1" t="n">
        <v>46191</v>
      </c>
      <c r="D118" t="inlineStr">
        <is>
          <t>VÄSTRA GÖTALANDS LÄN</t>
        </is>
      </c>
      <c r="E118" t="inlineStr">
        <is>
          <t>ALE</t>
        </is>
      </c>
      <c r="G118" t="n">
        <v>0.5</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46191</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62828-2025</t>
        </is>
      </c>
      <c r="B120" s="1" t="n">
        <v>46008</v>
      </c>
      <c r="C120" s="1" t="n">
        <v>46191</v>
      </c>
      <c r="D120" t="inlineStr">
        <is>
          <t>VÄSTRA GÖTALANDS LÄN</t>
        </is>
      </c>
      <c r="E120" t="inlineStr">
        <is>
          <t>ALE</t>
        </is>
      </c>
      <c r="G120" t="n">
        <v>2.6</v>
      </c>
      <c r="H120" t="n">
        <v>0</v>
      </c>
      <c r="I120" t="n">
        <v>0</v>
      </c>
      <c r="J120" t="n">
        <v>0</v>
      </c>
      <c r="K120" t="n">
        <v>0</v>
      </c>
      <c r="L120" t="n">
        <v>0</v>
      </c>
      <c r="M120" t="n">
        <v>0</v>
      </c>
      <c r="N120" t="n">
        <v>0</v>
      </c>
      <c r="O120" t="n">
        <v>0</v>
      </c>
      <c r="P120" t="n">
        <v>0</v>
      </c>
      <c r="Q120" t="n">
        <v>0</v>
      </c>
      <c r="R120" s="2" t="inlineStr"/>
    </row>
    <row r="121" ht="15" customHeight="1">
      <c r="A121" t="inlineStr">
        <is>
          <t>A 16601-2025</t>
        </is>
      </c>
      <c r="B121" s="1" t="n">
        <v>45753</v>
      </c>
      <c r="C121" s="1" t="n">
        <v>46191</v>
      </c>
      <c r="D121" t="inlineStr">
        <is>
          <t>VÄSTRA GÖTALANDS LÄN</t>
        </is>
      </c>
      <c r="E121" t="inlineStr">
        <is>
          <t>ALE</t>
        </is>
      </c>
      <c r="G121" t="n">
        <v>1.7</v>
      </c>
      <c r="H121" t="n">
        <v>0</v>
      </c>
      <c r="I121" t="n">
        <v>0</v>
      </c>
      <c r="J121" t="n">
        <v>0</v>
      </c>
      <c r="K121" t="n">
        <v>0</v>
      </c>
      <c r="L121" t="n">
        <v>0</v>
      </c>
      <c r="M121" t="n">
        <v>0</v>
      </c>
      <c r="N121" t="n">
        <v>0</v>
      </c>
      <c r="O121" t="n">
        <v>0</v>
      </c>
      <c r="P121" t="n">
        <v>0</v>
      </c>
      <c r="Q121" t="n">
        <v>0</v>
      </c>
      <c r="R121" s="2" t="inlineStr"/>
    </row>
    <row r="122" ht="15" customHeight="1">
      <c r="A122" t="inlineStr">
        <is>
          <t>A 40074-2025</t>
        </is>
      </c>
      <c r="B122" s="1" t="n">
        <v>45894</v>
      </c>
      <c r="C122" s="1" t="n">
        <v>46191</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20067-2023</t>
        </is>
      </c>
      <c r="B123" s="1" t="n">
        <v>45054</v>
      </c>
      <c r="C123" s="1" t="n">
        <v>46191</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1500-2024</t>
        </is>
      </c>
      <c r="B124" s="1" t="n">
        <v>45306</v>
      </c>
      <c r="C124" s="1" t="n">
        <v>46191</v>
      </c>
      <c r="D124" t="inlineStr">
        <is>
          <t>VÄSTRA GÖTALANDS LÄN</t>
        </is>
      </c>
      <c r="E124" t="inlineStr">
        <is>
          <t>ALE</t>
        </is>
      </c>
      <c r="G124" t="n">
        <v>1.3</v>
      </c>
      <c r="H124" t="n">
        <v>0</v>
      </c>
      <c r="I124" t="n">
        <v>0</v>
      </c>
      <c r="J124" t="n">
        <v>0</v>
      </c>
      <c r="K124" t="n">
        <v>0</v>
      </c>
      <c r="L124" t="n">
        <v>0</v>
      </c>
      <c r="M124" t="n">
        <v>0</v>
      </c>
      <c r="N124" t="n">
        <v>0</v>
      </c>
      <c r="O124" t="n">
        <v>0</v>
      </c>
      <c r="P124" t="n">
        <v>0</v>
      </c>
      <c r="Q124" t="n">
        <v>0</v>
      </c>
      <c r="R124" s="2" t="inlineStr"/>
    </row>
    <row r="125" ht="15" customHeight="1">
      <c r="A125" t="inlineStr">
        <is>
          <t>A 6916-2023</t>
        </is>
      </c>
      <c r="B125" s="1" t="n">
        <v>44967</v>
      </c>
      <c r="C125" s="1" t="n">
        <v>46191</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64199-2021</t>
        </is>
      </c>
      <c r="B126" s="1" t="n">
        <v>44510</v>
      </c>
      <c r="C126" s="1" t="n">
        <v>46191</v>
      </c>
      <c r="D126" t="inlineStr">
        <is>
          <t>VÄSTRA GÖTALANDS LÄN</t>
        </is>
      </c>
      <c r="E126" t="inlineStr">
        <is>
          <t>ALE</t>
        </is>
      </c>
      <c r="G126" t="n">
        <v>5.7</v>
      </c>
      <c r="H126" t="n">
        <v>0</v>
      </c>
      <c r="I126" t="n">
        <v>0</v>
      </c>
      <c r="J126" t="n">
        <v>0</v>
      </c>
      <c r="K126" t="n">
        <v>0</v>
      </c>
      <c r="L126" t="n">
        <v>0</v>
      </c>
      <c r="M126" t="n">
        <v>0</v>
      </c>
      <c r="N126" t="n">
        <v>0</v>
      </c>
      <c r="O126" t="n">
        <v>0</v>
      </c>
      <c r="P126" t="n">
        <v>0</v>
      </c>
      <c r="Q126" t="n">
        <v>0</v>
      </c>
      <c r="R126" s="2" t="inlineStr"/>
    </row>
    <row r="127" ht="15" customHeight="1">
      <c r="A127" t="inlineStr">
        <is>
          <t>A 26083-2023</t>
        </is>
      </c>
      <c r="B127" s="1" t="n">
        <v>45091</v>
      </c>
      <c r="C127" s="1" t="n">
        <v>46191</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42660-2024</t>
        </is>
      </c>
      <c r="B128" s="1" t="n">
        <v>45566</v>
      </c>
      <c r="C128" s="1" t="n">
        <v>46191</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15582-2025</t>
        </is>
      </c>
      <c r="B129" s="1" t="n">
        <v>45747</v>
      </c>
      <c r="C129" s="1" t="n">
        <v>46191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22946-2025</t>
        </is>
      </c>
      <c r="B130" s="1" t="n">
        <v>45790</v>
      </c>
      <c r="C130" s="1" t="n">
        <v>46191</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4971-2024</t>
        </is>
      </c>
      <c r="B131" s="1" t="n">
        <v>45329</v>
      </c>
      <c r="C131" s="1" t="n">
        <v>46191</v>
      </c>
      <c r="D131" t="inlineStr">
        <is>
          <t>VÄSTRA GÖTALANDS LÄN</t>
        </is>
      </c>
      <c r="E131" t="inlineStr">
        <is>
          <t>ALE</t>
        </is>
      </c>
      <c r="G131" t="n">
        <v>2.2</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46191</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17044-2025</t>
        </is>
      </c>
      <c r="B133" s="1" t="n">
        <v>45755</v>
      </c>
      <c r="C133" s="1" t="n">
        <v>46191</v>
      </c>
      <c r="D133" t="inlineStr">
        <is>
          <t>VÄSTRA GÖTALANDS LÄN</t>
        </is>
      </c>
      <c r="E133" t="inlineStr">
        <is>
          <t>ALE</t>
        </is>
      </c>
      <c r="G133" t="n">
        <v>1.5</v>
      </c>
      <c r="H133" t="n">
        <v>0</v>
      </c>
      <c r="I133" t="n">
        <v>0</v>
      </c>
      <c r="J133" t="n">
        <v>0</v>
      </c>
      <c r="K133" t="n">
        <v>0</v>
      </c>
      <c r="L133" t="n">
        <v>0</v>
      </c>
      <c r="M133" t="n">
        <v>0</v>
      </c>
      <c r="N133" t="n">
        <v>0</v>
      </c>
      <c r="O133" t="n">
        <v>0</v>
      </c>
      <c r="P133" t="n">
        <v>0</v>
      </c>
      <c r="Q133" t="n">
        <v>0</v>
      </c>
      <c r="R133" s="2" t="inlineStr"/>
    </row>
    <row r="134" ht="15" customHeight="1">
      <c r="A134" t="inlineStr">
        <is>
          <t>A 25848-2025</t>
        </is>
      </c>
      <c r="B134" s="1" t="n">
        <v>45804</v>
      </c>
      <c r="C134" s="1" t="n">
        <v>46191</v>
      </c>
      <c r="D134" t="inlineStr">
        <is>
          <t>VÄSTRA GÖTALANDS LÄN</t>
        </is>
      </c>
      <c r="E134" t="inlineStr">
        <is>
          <t>ALE</t>
        </is>
      </c>
      <c r="G134" t="n">
        <v>1.1</v>
      </c>
      <c r="H134" t="n">
        <v>0</v>
      </c>
      <c r="I134" t="n">
        <v>0</v>
      </c>
      <c r="J134" t="n">
        <v>0</v>
      </c>
      <c r="K134" t="n">
        <v>0</v>
      </c>
      <c r="L134" t="n">
        <v>0</v>
      </c>
      <c r="M134" t="n">
        <v>0</v>
      </c>
      <c r="N134" t="n">
        <v>0</v>
      </c>
      <c r="O134" t="n">
        <v>0</v>
      </c>
      <c r="P134" t="n">
        <v>0</v>
      </c>
      <c r="Q134" t="n">
        <v>0</v>
      </c>
      <c r="R134" s="2" t="inlineStr"/>
    </row>
    <row r="135" ht="15" customHeight="1">
      <c r="A135" t="inlineStr">
        <is>
          <t>A 34104-2024</t>
        </is>
      </c>
      <c r="B135" s="1" t="n">
        <v>45523</v>
      </c>
      <c r="C135" s="1" t="n">
        <v>46191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18637-2023</t>
        </is>
      </c>
      <c r="B136" s="1" t="n">
        <v>45043</v>
      </c>
      <c r="C136" s="1" t="n">
        <v>46191</v>
      </c>
      <c r="D136" t="inlineStr">
        <is>
          <t>VÄSTRA GÖTALANDS LÄN</t>
        </is>
      </c>
      <c r="E136" t="inlineStr">
        <is>
          <t>ALE</t>
        </is>
      </c>
      <c r="G136" t="n">
        <v>3.6</v>
      </c>
      <c r="H136" t="n">
        <v>0</v>
      </c>
      <c r="I136" t="n">
        <v>0</v>
      </c>
      <c r="J136" t="n">
        <v>0</v>
      </c>
      <c r="K136" t="n">
        <v>0</v>
      </c>
      <c r="L136" t="n">
        <v>0</v>
      </c>
      <c r="M136" t="n">
        <v>0</v>
      </c>
      <c r="N136" t="n">
        <v>0</v>
      </c>
      <c r="O136" t="n">
        <v>0</v>
      </c>
      <c r="P136" t="n">
        <v>0</v>
      </c>
      <c r="Q136" t="n">
        <v>0</v>
      </c>
      <c r="R136" s="2" t="inlineStr"/>
    </row>
    <row r="137" ht="15" customHeight="1">
      <c r="A137" t="inlineStr">
        <is>
          <t>A 59933-2023</t>
        </is>
      </c>
      <c r="B137" s="1" t="n">
        <v>45257</v>
      </c>
      <c r="C137" s="1" t="n">
        <v>46191</v>
      </c>
      <c r="D137" t="inlineStr">
        <is>
          <t>VÄSTRA GÖTALANDS LÄN</t>
        </is>
      </c>
      <c r="E137" t="inlineStr">
        <is>
          <t>ALE</t>
        </is>
      </c>
      <c r="G137" t="n">
        <v>2.7</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46191</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13382-2025</t>
        </is>
      </c>
      <c r="B139" s="1" t="n">
        <v>45735</v>
      </c>
      <c r="C139" s="1" t="n">
        <v>46191</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1687-2024</t>
        </is>
      </c>
      <c r="B140" s="1" t="n">
        <v>45306</v>
      </c>
      <c r="C140" s="1" t="n">
        <v>46191</v>
      </c>
      <c r="D140" t="inlineStr">
        <is>
          <t>VÄSTRA GÖTALANDS LÄN</t>
        </is>
      </c>
      <c r="E140" t="inlineStr">
        <is>
          <t>ALE</t>
        </is>
      </c>
      <c r="G140" t="n">
        <v>3.4</v>
      </c>
      <c r="H140" t="n">
        <v>0</v>
      </c>
      <c r="I140" t="n">
        <v>0</v>
      </c>
      <c r="J140" t="n">
        <v>0</v>
      </c>
      <c r="K140" t="n">
        <v>0</v>
      </c>
      <c r="L140" t="n">
        <v>0</v>
      </c>
      <c r="M140" t="n">
        <v>0</v>
      </c>
      <c r="N140" t="n">
        <v>0</v>
      </c>
      <c r="O140" t="n">
        <v>0</v>
      </c>
      <c r="P140" t="n">
        <v>0</v>
      </c>
      <c r="Q140" t="n">
        <v>0</v>
      </c>
      <c r="R140" s="2" t="inlineStr"/>
    </row>
    <row r="141" ht="15" customHeight="1">
      <c r="A141" t="inlineStr">
        <is>
          <t>A 13903-2025</t>
        </is>
      </c>
      <c r="B141" s="1" t="n">
        <v>45737</v>
      </c>
      <c r="C141" s="1" t="n">
        <v>46191</v>
      </c>
      <c r="D141" t="inlineStr">
        <is>
          <t>VÄSTRA GÖTALANDS LÄN</t>
        </is>
      </c>
      <c r="E141" t="inlineStr">
        <is>
          <t>ALE</t>
        </is>
      </c>
      <c r="G141" t="n">
        <v>0.5</v>
      </c>
      <c r="H141" t="n">
        <v>0</v>
      </c>
      <c r="I141" t="n">
        <v>0</v>
      </c>
      <c r="J141" t="n">
        <v>0</v>
      </c>
      <c r="K141" t="n">
        <v>0</v>
      </c>
      <c r="L141" t="n">
        <v>0</v>
      </c>
      <c r="M141" t="n">
        <v>0</v>
      </c>
      <c r="N141" t="n">
        <v>0</v>
      </c>
      <c r="O141" t="n">
        <v>0</v>
      </c>
      <c r="P141" t="n">
        <v>0</v>
      </c>
      <c r="Q141" t="n">
        <v>0</v>
      </c>
      <c r="R141" s="2" t="inlineStr"/>
    </row>
    <row r="142" ht="15" customHeight="1">
      <c r="A142" t="inlineStr">
        <is>
          <t>A 31409-2025</t>
        </is>
      </c>
      <c r="B142" s="1" t="n">
        <v>45833</v>
      </c>
      <c r="C142" s="1" t="n">
        <v>46191</v>
      </c>
      <c r="D142" t="inlineStr">
        <is>
          <t>VÄSTRA GÖTALANDS LÄN</t>
        </is>
      </c>
      <c r="E142" t="inlineStr">
        <is>
          <t>ALE</t>
        </is>
      </c>
      <c r="G142" t="n">
        <v>0.8</v>
      </c>
      <c r="H142" t="n">
        <v>0</v>
      </c>
      <c r="I142" t="n">
        <v>0</v>
      </c>
      <c r="J142" t="n">
        <v>0</v>
      </c>
      <c r="K142" t="n">
        <v>0</v>
      </c>
      <c r="L142" t="n">
        <v>0</v>
      </c>
      <c r="M142" t="n">
        <v>0</v>
      </c>
      <c r="N142" t="n">
        <v>0</v>
      </c>
      <c r="O142" t="n">
        <v>0</v>
      </c>
      <c r="P142" t="n">
        <v>0</v>
      </c>
      <c r="Q142" t="n">
        <v>0</v>
      </c>
      <c r="R142" s="2" t="inlineStr"/>
    </row>
    <row r="143" ht="15" customHeight="1">
      <c r="A143" t="inlineStr">
        <is>
          <t>A 31533-2025</t>
        </is>
      </c>
      <c r="B143" s="1" t="n">
        <v>45833</v>
      </c>
      <c r="C143" s="1" t="n">
        <v>46191</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31488-2025</t>
        </is>
      </c>
      <c r="B144" s="1" t="n">
        <v>45833</v>
      </c>
      <c r="C144" s="1" t="n">
        <v>46191</v>
      </c>
      <c r="D144" t="inlineStr">
        <is>
          <t>VÄSTRA GÖTALANDS LÄN</t>
        </is>
      </c>
      <c r="E144" t="inlineStr">
        <is>
          <t>ALE</t>
        </is>
      </c>
      <c r="G144" t="n">
        <v>1.8</v>
      </c>
      <c r="H144" t="n">
        <v>0</v>
      </c>
      <c r="I144" t="n">
        <v>0</v>
      </c>
      <c r="J144" t="n">
        <v>0</v>
      </c>
      <c r="K144" t="n">
        <v>0</v>
      </c>
      <c r="L144" t="n">
        <v>0</v>
      </c>
      <c r="M144" t="n">
        <v>0</v>
      </c>
      <c r="N144" t="n">
        <v>0</v>
      </c>
      <c r="O144" t="n">
        <v>0</v>
      </c>
      <c r="P144" t="n">
        <v>0</v>
      </c>
      <c r="Q144" t="n">
        <v>0</v>
      </c>
      <c r="R144" s="2" t="inlineStr"/>
    </row>
    <row r="145" ht="15" customHeight="1">
      <c r="A145" t="inlineStr">
        <is>
          <t>A 49680-2024</t>
        </is>
      </c>
      <c r="B145" s="1" t="n">
        <v>45596</v>
      </c>
      <c r="C145" s="1" t="n">
        <v>46191</v>
      </c>
      <c r="D145" t="inlineStr">
        <is>
          <t>VÄSTRA GÖTALANDS LÄN</t>
        </is>
      </c>
      <c r="E145" t="inlineStr">
        <is>
          <t>ALE</t>
        </is>
      </c>
      <c r="G145" t="n">
        <v>3.7</v>
      </c>
      <c r="H145" t="n">
        <v>0</v>
      </c>
      <c r="I145" t="n">
        <v>0</v>
      </c>
      <c r="J145" t="n">
        <v>0</v>
      </c>
      <c r="K145" t="n">
        <v>0</v>
      </c>
      <c r="L145" t="n">
        <v>0</v>
      </c>
      <c r="M145" t="n">
        <v>0</v>
      </c>
      <c r="N145" t="n">
        <v>0</v>
      </c>
      <c r="O145" t="n">
        <v>0</v>
      </c>
      <c r="P145" t="n">
        <v>0</v>
      </c>
      <c r="Q145" t="n">
        <v>0</v>
      </c>
      <c r="R145" s="2" t="inlineStr"/>
    </row>
    <row r="146" ht="15" customHeight="1">
      <c r="A146" t="inlineStr">
        <is>
          <t>A 7807-2023</t>
        </is>
      </c>
      <c r="B146" s="1" t="n">
        <v>44973</v>
      </c>
      <c r="C146" s="1" t="n">
        <v>46191</v>
      </c>
      <c r="D146" t="inlineStr">
        <is>
          <t>VÄSTRA GÖTALANDS LÄN</t>
        </is>
      </c>
      <c r="E146" t="inlineStr">
        <is>
          <t>ALE</t>
        </is>
      </c>
      <c r="G146" t="n">
        <v>10.5</v>
      </c>
      <c r="H146" t="n">
        <v>0</v>
      </c>
      <c r="I146" t="n">
        <v>0</v>
      </c>
      <c r="J146" t="n">
        <v>0</v>
      </c>
      <c r="K146" t="n">
        <v>0</v>
      </c>
      <c r="L146" t="n">
        <v>0</v>
      </c>
      <c r="M146" t="n">
        <v>0</v>
      </c>
      <c r="N146" t="n">
        <v>0</v>
      </c>
      <c r="O146" t="n">
        <v>0</v>
      </c>
      <c r="P146" t="n">
        <v>0</v>
      </c>
      <c r="Q146" t="n">
        <v>0</v>
      </c>
      <c r="R146" s="2" t="inlineStr"/>
    </row>
    <row r="147" ht="15" customHeight="1">
      <c r="A147" t="inlineStr">
        <is>
          <t>A 55488-2022</t>
        </is>
      </c>
      <c r="B147" s="1" t="n">
        <v>44887</v>
      </c>
      <c r="C147" s="1" t="n">
        <v>46191</v>
      </c>
      <c r="D147" t="inlineStr">
        <is>
          <t>VÄSTRA GÖTALANDS LÄN</t>
        </is>
      </c>
      <c r="E147" t="inlineStr">
        <is>
          <t>ALE</t>
        </is>
      </c>
      <c r="G147" t="n">
        <v>2.5</v>
      </c>
      <c r="H147" t="n">
        <v>0</v>
      </c>
      <c r="I147" t="n">
        <v>0</v>
      </c>
      <c r="J147" t="n">
        <v>0</v>
      </c>
      <c r="K147" t="n">
        <v>0</v>
      </c>
      <c r="L147" t="n">
        <v>0</v>
      </c>
      <c r="M147" t="n">
        <v>0</v>
      </c>
      <c r="N147" t="n">
        <v>0</v>
      </c>
      <c r="O147" t="n">
        <v>0</v>
      </c>
      <c r="P147" t="n">
        <v>0</v>
      </c>
      <c r="Q147" t="n">
        <v>0</v>
      </c>
      <c r="R147" s="2" t="inlineStr"/>
    </row>
    <row r="148" ht="15" customHeight="1">
      <c r="A148" t="inlineStr">
        <is>
          <t>A 42446-2023</t>
        </is>
      </c>
      <c r="B148" s="1" t="n">
        <v>45180</v>
      </c>
      <c r="C148" s="1" t="n">
        <v>46191</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67160-2021</t>
        </is>
      </c>
      <c r="B149" s="1" t="n">
        <v>44523</v>
      </c>
      <c r="C149" s="1" t="n">
        <v>46191</v>
      </c>
      <c r="D149" t="inlineStr">
        <is>
          <t>VÄSTRA GÖTALANDS LÄN</t>
        </is>
      </c>
      <c r="E149" t="inlineStr">
        <is>
          <t>ALE</t>
        </is>
      </c>
      <c r="G149" t="n">
        <v>2.2</v>
      </c>
      <c r="H149" t="n">
        <v>0</v>
      </c>
      <c r="I149" t="n">
        <v>0</v>
      </c>
      <c r="J149" t="n">
        <v>0</v>
      </c>
      <c r="K149" t="n">
        <v>0</v>
      </c>
      <c r="L149" t="n">
        <v>0</v>
      </c>
      <c r="M149" t="n">
        <v>0</v>
      </c>
      <c r="N149" t="n">
        <v>0</v>
      </c>
      <c r="O149" t="n">
        <v>0</v>
      </c>
      <c r="P149" t="n">
        <v>0</v>
      </c>
      <c r="Q149" t="n">
        <v>0</v>
      </c>
      <c r="R149" s="2" t="inlineStr"/>
    </row>
    <row r="150" ht="15" customHeight="1">
      <c r="A150" t="inlineStr">
        <is>
          <t>A 16344-2023</t>
        </is>
      </c>
      <c r="B150" s="1" t="n">
        <v>45028</v>
      </c>
      <c r="C150" s="1" t="n">
        <v>46191</v>
      </c>
      <c r="D150" t="inlineStr">
        <is>
          <t>VÄSTRA GÖTALANDS LÄN</t>
        </is>
      </c>
      <c r="E150" t="inlineStr">
        <is>
          <t>ALE</t>
        </is>
      </c>
      <c r="G150" t="n">
        <v>6.6</v>
      </c>
      <c r="H150" t="n">
        <v>0</v>
      </c>
      <c r="I150" t="n">
        <v>0</v>
      </c>
      <c r="J150" t="n">
        <v>0</v>
      </c>
      <c r="K150" t="n">
        <v>0</v>
      </c>
      <c r="L150" t="n">
        <v>0</v>
      </c>
      <c r="M150" t="n">
        <v>0</v>
      </c>
      <c r="N150" t="n">
        <v>0</v>
      </c>
      <c r="O150" t="n">
        <v>0</v>
      </c>
      <c r="P150" t="n">
        <v>0</v>
      </c>
      <c r="Q150" t="n">
        <v>0</v>
      </c>
      <c r="R150" s="2" t="inlineStr"/>
    </row>
    <row r="151">
      <c r="A151" t="inlineStr">
        <is>
          <t>A 32762-2023</t>
        </is>
      </c>
      <c r="B151" s="1" t="n">
        <v>45123</v>
      </c>
      <c r="C151" s="1" t="n">
        <v>46191</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2026-06-18T13:21:28Z</dcterms:created>
  <dcterms:modified xmlns:dcterms="http://purl.org/dc/terms/" xmlns:xsi="http://www.w3.org/2001/XMLSchema-instance" xsi:type="dcterms:W3CDTF">2026-06-18T13:21:29Z</dcterms:modified>
</cp:coreProperties>
</file>