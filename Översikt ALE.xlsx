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45829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45829</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45829</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45829</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45829</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45829</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45829</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45829</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45829</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45829</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45829</v>
      </c>
      <c r="D12" t="inlineStr">
        <is>
          <t>VÄSTRA GÖTALANDS LÄN</t>
        </is>
      </c>
      <c r="E12" t="inlineStr">
        <is>
          <t>ALE</t>
        </is>
      </c>
      <c r="G12" t="n">
        <v>9.4</v>
      </c>
      <c r="H12" t="n">
        <v>4</v>
      </c>
      <c r="I12" t="n">
        <v>7</v>
      </c>
      <c r="J12" t="n">
        <v>2</v>
      </c>
      <c r="K12" t="n">
        <v>0</v>
      </c>
      <c r="L12" t="n">
        <v>0</v>
      </c>
      <c r="M12" t="n">
        <v>0</v>
      </c>
      <c r="N12" t="n">
        <v>0</v>
      </c>
      <c r="O12" t="n">
        <v>2</v>
      </c>
      <c r="P12" t="n">
        <v>0</v>
      </c>
      <c r="Q12" t="n">
        <v>11</v>
      </c>
      <c r="R12" s="2" t="inlineStr">
        <is>
          <t>Spillkråka
Talltita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45829</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45829</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45829</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45829</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45829</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45829</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45829</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45829</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45829</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45829</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45829</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24162-2025</t>
        </is>
      </c>
      <c r="B24" s="1" t="n">
        <v>45796</v>
      </c>
      <c r="C24" s="1" t="n">
        <v>45829</v>
      </c>
      <c r="D24" t="inlineStr">
        <is>
          <t>VÄSTRA GÖTALANDS LÄN</t>
        </is>
      </c>
      <c r="E24" t="inlineStr">
        <is>
          <t>ALE</t>
        </is>
      </c>
      <c r="G24" t="n">
        <v>5.5</v>
      </c>
      <c r="H24" t="n">
        <v>3</v>
      </c>
      <c r="I24" t="n">
        <v>2</v>
      </c>
      <c r="J24" t="n">
        <v>1</v>
      </c>
      <c r="K24" t="n">
        <v>0</v>
      </c>
      <c r="L24" t="n">
        <v>0</v>
      </c>
      <c r="M24" t="n">
        <v>0</v>
      </c>
      <c r="N24" t="n">
        <v>0</v>
      </c>
      <c r="O24" t="n">
        <v>1</v>
      </c>
      <c r="P24" t="n">
        <v>0</v>
      </c>
      <c r="Q24" t="n">
        <v>5</v>
      </c>
      <c r="R24" s="2" t="inlineStr">
        <is>
          <t>Spillkråka
Blanksvart trämyra
Blåmossa
Trana
Revlummer</t>
        </is>
      </c>
      <c r="S24">
        <f>HYPERLINK("https://klasma.github.io/Logging_141440/artfynd/A 24162-2025 artfynd.xlsx", "A 24162-2025")</f>
        <v/>
      </c>
      <c r="T24">
        <f>HYPERLINK("https://klasma.github.io/Logging_141440/kartor/A 24162-2025 karta.png", "A 24162-2025")</f>
        <v/>
      </c>
      <c r="V24">
        <f>HYPERLINK("https://klasma.github.io/Logging_141440/klagomål/A 24162-2025 FSC-klagomål.docx", "A 24162-2025")</f>
        <v/>
      </c>
      <c r="W24">
        <f>HYPERLINK("https://klasma.github.io/Logging_141440/klagomålsmail/A 24162-2025 FSC-klagomål mail.docx", "A 24162-2025")</f>
        <v/>
      </c>
      <c r="X24">
        <f>HYPERLINK("https://klasma.github.io/Logging_141440/tillsyn/A 24162-2025 tillsynsbegäran.docx", "A 24162-2025")</f>
        <v/>
      </c>
      <c r="Y24">
        <f>HYPERLINK("https://klasma.github.io/Logging_141440/tillsynsmail/A 24162-2025 tillsynsbegäran mail.docx", "A 24162-2025")</f>
        <v/>
      </c>
      <c r="Z24">
        <f>HYPERLINK("https://klasma.github.io/Logging_141440/fåglar/A 24162-2025 prioriterade fågelarter.docx", "A 24162-2025")</f>
        <v/>
      </c>
    </row>
    <row r="25" ht="15" customHeight="1">
      <c r="A25" t="inlineStr">
        <is>
          <t>A 26491-2024</t>
        </is>
      </c>
      <c r="B25" s="1" t="n">
        <v>45469</v>
      </c>
      <c r="C25" s="1" t="n">
        <v>45829</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45829</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45829</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45829</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45829</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45829</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45829</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45829</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45829</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45829</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45829</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45829</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45829</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45829</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45829</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45829</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45829</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45829</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45829</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45829</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45829</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45829</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45829</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45829</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45829</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45829</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45829</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45829</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45829</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45829</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45829</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45829</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45829</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45829</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45829</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45829</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45829</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45829</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45829</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45829</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45829</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45829</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45829</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45829</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45829</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45829</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45829</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45829</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45829</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45829</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45829</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45829</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45829</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45829</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45829</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45829</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45829</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45829</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45829</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45829</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45829</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45829</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45829</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45829</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45829</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45829</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45829</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45829</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45829</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45829</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45829</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45829</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45829</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45829</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45829</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45829</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45829</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45829</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45829</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45829</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45829</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45829</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45829</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45829</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45829</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45829</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45829</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45829</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45829</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45829</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45829</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45829</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45829</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45829</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45829</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45829</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45829</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45829</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45829</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45829</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45829</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45829</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45829</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45829</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45829</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45829</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45829</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45829</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45829</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45829</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45829</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45829</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45829</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45829</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45829</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45829</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45829</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45829</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45829</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45829</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45829</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45829</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45829</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45829</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45829</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45829</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45829</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45829</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45829</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45829</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45829</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45829</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45829</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45829</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45829</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45829</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45829</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45829</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45829</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45829</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45829</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45829</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45829</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45829</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45829</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45829</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45829</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45829</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45829</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45829</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45829</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45829</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45829</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45829</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45829</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45829</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45829</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45829</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45829</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45829</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45829</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45829</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45829</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45829</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45829</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45829</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45829</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45829</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45829</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45829</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45829</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45829</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45829</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45829</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45829</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45829</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45829</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45829</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45829</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45829</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45829</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45829</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45829</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45829</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45829</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45829</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45829</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45829</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45829</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45829</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45829</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45829</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45829</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45829</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45829</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45829</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45829</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45829</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45829</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45829</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45829</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45829</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45829</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45829</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45829</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45829</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45829</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45829</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45829</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45829</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45829</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45829</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45829</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45829</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45829</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45829</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45829</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45829</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45829</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45829</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45829</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25848-2025</t>
        </is>
      </c>
      <c r="B246" s="1" t="n">
        <v>45804</v>
      </c>
      <c r="C246" s="1" t="n">
        <v>45829</v>
      </c>
      <c r="D246" t="inlineStr">
        <is>
          <t>VÄSTRA GÖTALANDS LÄN</t>
        </is>
      </c>
      <c r="E246" t="inlineStr">
        <is>
          <t>ALE</t>
        </is>
      </c>
      <c r="G246" t="n">
        <v>1.1</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45829</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25840-2025</t>
        </is>
      </c>
      <c r="B248" s="1" t="n">
        <v>45804</v>
      </c>
      <c r="C248" s="1" t="n">
        <v>45829</v>
      </c>
      <c r="D248" t="inlineStr">
        <is>
          <t>VÄSTRA GÖTALANDS LÄN</t>
        </is>
      </c>
      <c r="E248" t="inlineStr">
        <is>
          <t>ALE</t>
        </is>
      </c>
      <c r="G248" t="n">
        <v>3.8</v>
      </c>
      <c r="H248" t="n">
        <v>0</v>
      </c>
      <c r="I248" t="n">
        <v>0</v>
      </c>
      <c r="J248" t="n">
        <v>0</v>
      </c>
      <c r="K248" t="n">
        <v>0</v>
      </c>
      <c r="L248" t="n">
        <v>0</v>
      </c>
      <c r="M248" t="n">
        <v>0</v>
      </c>
      <c r="N248" t="n">
        <v>0</v>
      </c>
      <c r="O248" t="n">
        <v>0</v>
      </c>
      <c r="P248" t="n">
        <v>0</v>
      </c>
      <c r="Q248" t="n">
        <v>0</v>
      </c>
      <c r="R248" s="2" t="inlineStr"/>
    </row>
    <row r="249">
      <c r="A249" t="inlineStr">
        <is>
          <t>A 29373-2025</t>
        </is>
      </c>
      <c r="B249" s="1" t="n">
        <v>45824</v>
      </c>
      <c r="C249" s="1" t="n">
        <v>45829</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2025-06-21T19:10:27Z</dcterms:created>
  <dcterms:modified xmlns:dcterms="http://purl.org/dc/terms/" xmlns:xsi="http://www.w3.org/2001/XMLSchema-instance" xsi:type="dcterms:W3CDTF">2025-06-21T19:10:27Z</dcterms:modified>
</cp:coreProperties>
</file>