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45996</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45996</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45996</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45996</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45996</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45996</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45996</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45996</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45996</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45996</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45996</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45996</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45996</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45996</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19934-2025</t>
        </is>
      </c>
      <c r="B21" s="1" t="n">
        <v>45771</v>
      </c>
      <c r="C21" s="1" t="n">
        <v>45996</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45996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45996</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45996</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1503-2024</t>
        </is>
      </c>
      <c r="B25" s="1" t="n">
        <v>45306.35041666667</v>
      </c>
      <c r="C25" s="1" t="n">
        <v>45996</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45996</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45996</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63569-2023</t>
        </is>
      </c>
      <c r="B28" s="1" t="n">
        <v>45275</v>
      </c>
      <c r="C28" s="1" t="n">
        <v>45996</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16534-2025</t>
        </is>
      </c>
      <c r="B29" s="1" t="n">
        <v>45751.65315972222</v>
      </c>
      <c r="C29" s="1" t="n">
        <v>45996</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45996</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40931-2025</t>
        </is>
      </c>
      <c r="B31" s="1" t="n">
        <v>45897.64783564815</v>
      </c>
      <c r="C31" s="1" t="n">
        <v>45996</v>
      </c>
      <c r="D31" t="inlineStr">
        <is>
          <t>VÄSTRA GÖTALANDS LÄN</t>
        </is>
      </c>
      <c r="E31" t="inlineStr">
        <is>
          <t>ALE</t>
        </is>
      </c>
      <c r="G31" t="n">
        <v>4.3</v>
      </c>
      <c r="H31" t="n">
        <v>1</v>
      </c>
      <c r="I31" t="n">
        <v>1</v>
      </c>
      <c r="J31" t="n">
        <v>1</v>
      </c>
      <c r="K31" t="n">
        <v>0</v>
      </c>
      <c r="L31" t="n">
        <v>0</v>
      </c>
      <c r="M31" t="n">
        <v>0</v>
      </c>
      <c r="N31" t="n">
        <v>0</v>
      </c>
      <c r="O31" t="n">
        <v>1</v>
      </c>
      <c r="P31" t="n">
        <v>0</v>
      </c>
      <c r="Q31" t="n">
        <v>2</v>
      </c>
      <c r="R31" s="2" t="inlineStr">
        <is>
          <t>Spillkråka
Blåmossa</t>
        </is>
      </c>
      <c r="S31">
        <f>HYPERLINK("https://klasma.github.io/Logging_1440/artfynd/A 40931-2025 artfynd.xlsx", "A 40931-2025")</f>
        <v/>
      </c>
      <c r="T31">
        <f>HYPERLINK("https://klasma.github.io/Logging_1440/kartor/A 40931-2025 karta.png", "A 40931-2025")</f>
        <v/>
      </c>
      <c r="V31">
        <f>HYPERLINK("https://klasma.github.io/Logging_1440/klagomål/A 40931-2025 FSC-klagomål.docx", "A 40931-2025")</f>
        <v/>
      </c>
      <c r="W31">
        <f>HYPERLINK("https://klasma.github.io/Logging_1440/klagomålsmail/A 40931-2025 FSC-klagomål mail.docx", "A 40931-2025")</f>
        <v/>
      </c>
      <c r="X31">
        <f>HYPERLINK("https://klasma.github.io/Logging_1440/tillsyn/A 40931-2025 tillsynsbegäran.docx", "A 40931-2025")</f>
        <v/>
      </c>
      <c r="Y31">
        <f>HYPERLINK("https://klasma.github.io/Logging_1440/tillsynsmail/A 40931-2025 tillsynsbegäran mail.docx", "A 40931-2025")</f>
        <v/>
      </c>
      <c r="Z31">
        <f>HYPERLINK("https://klasma.github.io/Logging_1440/fåglar/A 40931-2025 prioriterade fågelarter.docx", "A 40931-2025")</f>
        <v/>
      </c>
    </row>
    <row r="32" ht="15" customHeight="1">
      <c r="A32" t="inlineStr">
        <is>
          <t>A 380-2025</t>
        </is>
      </c>
      <c r="B32" s="1" t="n">
        <v>45662.43456018518</v>
      </c>
      <c r="C32" s="1" t="n">
        <v>45996</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45996</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45996</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45996</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45996</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12084-2025</t>
        </is>
      </c>
      <c r="B37" s="1" t="n">
        <v>45728.95387731482</v>
      </c>
      <c r="C37" s="1" t="n">
        <v>45996</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26493-2024</t>
        </is>
      </c>
      <c r="B38" s="1" t="n">
        <v>45469</v>
      </c>
      <c r="C38" s="1" t="n">
        <v>45996</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13902-2025</t>
        </is>
      </c>
      <c r="B39" s="1" t="n">
        <v>45737.63446759259</v>
      </c>
      <c r="C39" s="1" t="n">
        <v>45996</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45996</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45996</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45996</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45996</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45996</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45996</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45996</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45996</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45996</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45996</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45996</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45996</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45996</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45996</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45996</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45996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45996</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45996</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45996</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45996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45189.35101851852</v>
      </c>
      <c r="C60" s="1" t="n">
        <v>45996</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46391-2021</t>
        </is>
      </c>
      <c r="B61" s="1" t="n">
        <v>44443</v>
      </c>
      <c r="C61" s="1" t="n">
        <v>45996</v>
      </c>
      <c r="D61" t="inlineStr">
        <is>
          <t>VÄSTRA GÖTALANDS LÄN</t>
        </is>
      </c>
      <c r="E61" t="inlineStr">
        <is>
          <t>ALE</t>
        </is>
      </c>
      <c r="G61" t="n">
        <v>1.3</v>
      </c>
      <c r="H61" t="n">
        <v>0</v>
      </c>
      <c r="I61" t="n">
        <v>0</v>
      </c>
      <c r="J61" t="n">
        <v>0</v>
      </c>
      <c r="K61" t="n">
        <v>0</v>
      </c>
      <c r="L61" t="n">
        <v>0</v>
      </c>
      <c r="M61" t="n">
        <v>0</v>
      </c>
      <c r="N61" t="n">
        <v>0</v>
      </c>
      <c r="O61" t="n">
        <v>0</v>
      </c>
      <c r="P61" t="n">
        <v>0</v>
      </c>
      <c r="Q61" t="n">
        <v>0</v>
      </c>
      <c r="R61" s="2" t="inlineStr"/>
    </row>
    <row r="62" ht="15" customHeight="1">
      <c r="A62" t="inlineStr">
        <is>
          <t>A 45986-2021</t>
        </is>
      </c>
      <c r="B62" s="1" t="n">
        <v>44441</v>
      </c>
      <c r="C62" s="1" t="n">
        <v>45996</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45996</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6916-2023</t>
        </is>
      </c>
      <c r="B64" s="1" t="n">
        <v>44967.53349537037</v>
      </c>
      <c r="C64" s="1" t="n">
        <v>45996</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45988-2021</t>
        </is>
      </c>
      <c r="B65" s="1" t="n">
        <v>44441</v>
      </c>
      <c r="C65" s="1" t="n">
        <v>45996</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37461-2024</t>
        </is>
      </c>
      <c r="B66" s="1" t="n">
        <v>45540.72516203704</v>
      </c>
      <c r="C66" s="1" t="n">
        <v>45996</v>
      </c>
      <c r="D66" t="inlineStr">
        <is>
          <t>VÄSTRA GÖTALANDS LÄN</t>
        </is>
      </c>
      <c r="E66" t="inlineStr">
        <is>
          <t>ALE</t>
        </is>
      </c>
      <c r="G66" t="n">
        <v>1.6</v>
      </c>
      <c r="H66" t="n">
        <v>0</v>
      </c>
      <c r="I66" t="n">
        <v>0</v>
      </c>
      <c r="J66" t="n">
        <v>0</v>
      </c>
      <c r="K66" t="n">
        <v>0</v>
      </c>
      <c r="L66" t="n">
        <v>0</v>
      </c>
      <c r="M66" t="n">
        <v>0</v>
      </c>
      <c r="N66" t="n">
        <v>0</v>
      </c>
      <c r="O66" t="n">
        <v>0</v>
      </c>
      <c r="P66" t="n">
        <v>0</v>
      </c>
      <c r="Q66" t="n">
        <v>0</v>
      </c>
      <c r="R66" s="2" t="inlineStr"/>
    </row>
    <row r="67" ht="15" customHeight="1">
      <c r="A67" t="inlineStr">
        <is>
          <t>A 20067-2023</t>
        </is>
      </c>
      <c r="B67" s="1" t="n">
        <v>45054</v>
      </c>
      <c r="C67" s="1" t="n">
        <v>45996</v>
      </c>
      <c r="D67" t="inlineStr">
        <is>
          <t>VÄSTRA GÖTALANDS LÄN</t>
        </is>
      </c>
      <c r="E67" t="inlineStr">
        <is>
          <t>ALE</t>
        </is>
      </c>
      <c r="G67" t="n">
        <v>0.4</v>
      </c>
      <c r="H67" t="n">
        <v>0</v>
      </c>
      <c r="I67" t="n">
        <v>0</v>
      </c>
      <c r="J67" t="n">
        <v>0</v>
      </c>
      <c r="K67" t="n">
        <v>0</v>
      </c>
      <c r="L67" t="n">
        <v>0</v>
      </c>
      <c r="M67" t="n">
        <v>0</v>
      </c>
      <c r="N67" t="n">
        <v>0</v>
      </c>
      <c r="O67" t="n">
        <v>0</v>
      </c>
      <c r="P67" t="n">
        <v>0</v>
      </c>
      <c r="Q67" t="n">
        <v>0</v>
      </c>
      <c r="R67" s="2" t="inlineStr"/>
    </row>
    <row r="68" ht="15" customHeight="1">
      <c r="A68" t="inlineStr">
        <is>
          <t>A 35148-2021</t>
        </is>
      </c>
      <c r="B68" s="1" t="n">
        <v>44384</v>
      </c>
      <c r="C68" s="1" t="n">
        <v>45996</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1822-2024</t>
        </is>
      </c>
      <c r="B69" s="1" t="n">
        <v>45307.6205787037</v>
      </c>
      <c r="C69" s="1" t="n">
        <v>45996</v>
      </c>
      <c r="D69" t="inlineStr">
        <is>
          <t>VÄSTRA GÖTALANDS LÄN</t>
        </is>
      </c>
      <c r="E69" t="inlineStr">
        <is>
          <t>ALE</t>
        </is>
      </c>
      <c r="G69" t="n">
        <v>2</v>
      </c>
      <c r="H69" t="n">
        <v>0</v>
      </c>
      <c r="I69" t="n">
        <v>0</v>
      </c>
      <c r="J69" t="n">
        <v>0</v>
      </c>
      <c r="K69" t="n">
        <v>0</v>
      </c>
      <c r="L69" t="n">
        <v>0</v>
      </c>
      <c r="M69" t="n">
        <v>0</v>
      </c>
      <c r="N69" t="n">
        <v>0</v>
      </c>
      <c r="O69" t="n">
        <v>0</v>
      </c>
      <c r="P69" t="n">
        <v>0</v>
      </c>
      <c r="Q69" t="n">
        <v>0</v>
      </c>
      <c r="R69" s="2" t="inlineStr"/>
    </row>
    <row r="70" ht="15" customHeight="1">
      <c r="A70" t="inlineStr">
        <is>
          <t>A 34104-2024</t>
        </is>
      </c>
      <c r="B70" s="1" t="n">
        <v>45523.79202546296</v>
      </c>
      <c r="C70" s="1" t="n">
        <v>45996</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25849-2025</t>
        </is>
      </c>
      <c r="B71" s="1" t="n">
        <v>45804</v>
      </c>
      <c r="C71" s="1" t="n">
        <v>45996</v>
      </c>
      <c r="D71" t="inlineStr">
        <is>
          <t>VÄSTRA GÖTALANDS LÄN</t>
        </is>
      </c>
      <c r="E71" t="inlineStr">
        <is>
          <t>ALE</t>
        </is>
      </c>
      <c r="G71" t="n">
        <v>0.8</v>
      </c>
      <c r="H71" t="n">
        <v>0</v>
      </c>
      <c r="I71" t="n">
        <v>0</v>
      </c>
      <c r="J71" t="n">
        <v>0</v>
      </c>
      <c r="K71" t="n">
        <v>0</v>
      </c>
      <c r="L71" t="n">
        <v>0</v>
      </c>
      <c r="M71" t="n">
        <v>0</v>
      </c>
      <c r="N71" t="n">
        <v>0</v>
      </c>
      <c r="O71" t="n">
        <v>0</v>
      </c>
      <c r="P71" t="n">
        <v>0</v>
      </c>
      <c r="Q71" t="n">
        <v>0</v>
      </c>
      <c r="R71" s="2" t="inlineStr"/>
    </row>
    <row r="72" ht="15" customHeight="1">
      <c r="A72" t="inlineStr">
        <is>
          <t>A 25848-2025</t>
        </is>
      </c>
      <c r="B72" s="1" t="n">
        <v>45804</v>
      </c>
      <c r="C72" s="1" t="n">
        <v>45996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25840-2025</t>
        </is>
      </c>
      <c r="B73" s="1" t="n">
        <v>45804</v>
      </c>
      <c r="C73" s="1" t="n">
        <v>45996</v>
      </c>
      <c r="D73" t="inlineStr">
        <is>
          <t>VÄSTRA GÖTALANDS LÄN</t>
        </is>
      </c>
      <c r="E73" t="inlineStr">
        <is>
          <t>ALE</t>
        </is>
      </c>
      <c r="G73" t="n">
        <v>3.8</v>
      </c>
      <c r="H73" t="n">
        <v>0</v>
      </c>
      <c r="I73" t="n">
        <v>0</v>
      </c>
      <c r="J73" t="n">
        <v>0</v>
      </c>
      <c r="K73" t="n">
        <v>0</v>
      </c>
      <c r="L73" t="n">
        <v>0</v>
      </c>
      <c r="M73" t="n">
        <v>0</v>
      </c>
      <c r="N73" t="n">
        <v>0</v>
      </c>
      <c r="O73" t="n">
        <v>0</v>
      </c>
      <c r="P73" t="n">
        <v>0</v>
      </c>
      <c r="Q73" t="n">
        <v>0</v>
      </c>
      <c r="R73" s="2" t="inlineStr"/>
    </row>
    <row r="74" ht="15" customHeight="1">
      <c r="A74" t="inlineStr">
        <is>
          <t>A 3418-2023</t>
        </is>
      </c>
      <c r="B74" s="1" t="n">
        <v>44949.56182870371</v>
      </c>
      <c r="C74" s="1" t="n">
        <v>45996</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66893-2021</t>
        </is>
      </c>
      <c r="B75" s="1" t="n">
        <v>44522.49439814815</v>
      </c>
      <c r="C75" s="1" t="n">
        <v>45996</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48257-2022</t>
        </is>
      </c>
      <c r="B76" s="1" t="n">
        <v>44858.47591435185</v>
      </c>
      <c r="C76" s="1" t="n">
        <v>45996</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18637-2023</t>
        </is>
      </c>
      <c r="B77" s="1" t="n">
        <v>45043</v>
      </c>
      <c r="C77" s="1" t="n">
        <v>45996</v>
      </c>
      <c r="D77" t="inlineStr">
        <is>
          <t>VÄSTRA GÖTALANDS LÄN</t>
        </is>
      </c>
      <c r="E77" t="inlineStr">
        <is>
          <t>ALE</t>
        </is>
      </c>
      <c r="G77" t="n">
        <v>3.6</v>
      </c>
      <c r="H77" t="n">
        <v>0</v>
      </c>
      <c r="I77" t="n">
        <v>0</v>
      </c>
      <c r="J77" t="n">
        <v>0</v>
      </c>
      <c r="K77" t="n">
        <v>0</v>
      </c>
      <c r="L77" t="n">
        <v>0</v>
      </c>
      <c r="M77" t="n">
        <v>0</v>
      </c>
      <c r="N77" t="n">
        <v>0</v>
      </c>
      <c r="O77" t="n">
        <v>0</v>
      </c>
      <c r="P77" t="n">
        <v>0</v>
      </c>
      <c r="Q77" t="n">
        <v>0</v>
      </c>
      <c r="R77" s="2" t="inlineStr"/>
    </row>
    <row r="78" ht="15" customHeight="1">
      <c r="A78" t="inlineStr">
        <is>
          <t>A 59933-2023</t>
        </is>
      </c>
      <c r="B78" s="1" t="n">
        <v>45257</v>
      </c>
      <c r="C78" s="1" t="n">
        <v>45996</v>
      </c>
      <c r="D78" t="inlineStr">
        <is>
          <t>VÄSTRA GÖTALANDS LÄN</t>
        </is>
      </c>
      <c r="E78" t="inlineStr">
        <is>
          <t>ALE</t>
        </is>
      </c>
      <c r="G78" t="n">
        <v>2.7</v>
      </c>
      <c r="H78" t="n">
        <v>0</v>
      </c>
      <c r="I78" t="n">
        <v>0</v>
      </c>
      <c r="J78" t="n">
        <v>0</v>
      </c>
      <c r="K78" t="n">
        <v>0</v>
      </c>
      <c r="L78" t="n">
        <v>0</v>
      </c>
      <c r="M78" t="n">
        <v>0</v>
      </c>
      <c r="N78" t="n">
        <v>0</v>
      </c>
      <c r="O78" t="n">
        <v>0</v>
      </c>
      <c r="P78" t="n">
        <v>0</v>
      </c>
      <c r="Q78" t="n">
        <v>0</v>
      </c>
      <c r="R78" s="2" t="inlineStr"/>
    </row>
    <row r="79" ht="15" customHeight="1">
      <c r="A79" t="inlineStr">
        <is>
          <t>A 41309-2024</t>
        </is>
      </c>
      <c r="B79" s="1" t="n">
        <v>45559</v>
      </c>
      <c r="C79" s="1" t="n">
        <v>45996</v>
      </c>
      <c r="D79" t="inlineStr">
        <is>
          <t>VÄSTRA GÖTALANDS LÄN</t>
        </is>
      </c>
      <c r="E79" t="inlineStr">
        <is>
          <t>ALE</t>
        </is>
      </c>
      <c r="G79" t="n">
        <v>8.4</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45996</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8659-2025</t>
        </is>
      </c>
      <c r="B81" s="1" t="n">
        <v>45712</v>
      </c>
      <c r="C81" s="1" t="n">
        <v>45996</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45996</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7807-2023</t>
        </is>
      </c>
      <c r="B83" s="1" t="n">
        <v>44973</v>
      </c>
      <c r="C83" s="1" t="n">
        <v>45996</v>
      </c>
      <c r="D83" t="inlineStr">
        <is>
          <t>VÄSTRA GÖTALANDS LÄN</t>
        </is>
      </c>
      <c r="E83" t="inlineStr">
        <is>
          <t>ALE</t>
        </is>
      </c>
      <c r="G83" t="n">
        <v>10.5</v>
      </c>
      <c r="H83" t="n">
        <v>0</v>
      </c>
      <c r="I83" t="n">
        <v>0</v>
      </c>
      <c r="J83" t="n">
        <v>0</v>
      </c>
      <c r="K83" t="n">
        <v>0</v>
      </c>
      <c r="L83" t="n">
        <v>0</v>
      </c>
      <c r="M83" t="n">
        <v>0</v>
      </c>
      <c r="N83" t="n">
        <v>0</v>
      </c>
      <c r="O83" t="n">
        <v>0</v>
      </c>
      <c r="P83" t="n">
        <v>0</v>
      </c>
      <c r="Q83" t="n">
        <v>0</v>
      </c>
      <c r="R83" s="2" t="inlineStr"/>
    </row>
    <row r="84" ht="15" customHeight="1">
      <c r="A84" t="inlineStr">
        <is>
          <t>A 66551-2020</t>
        </is>
      </c>
      <c r="B84" s="1" t="n">
        <v>44179</v>
      </c>
      <c r="C84" s="1" t="n">
        <v>45996</v>
      </c>
      <c r="D84" t="inlineStr">
        <is>
          <t>VÄSTRA GÖTALANDS LÄN</t>
        </is>
      </c>
      <c r="E84" t="inlineStr">
        <is>
          <t>ALE</t>
        </is>
      </c>
      <c r="G84" t="n">
        <v>4.5</v>
      </c>
      <c r="H84" t="n">
        <v>0</v>
      </c>
      <c r="I84" t="n">
        <v>0</v>
      </c>
      <c r="J84" t="n">
        <v>0</v>
      </c>
      <c r="K84" t="n">
        <v>0</v>
      </c>
      <c r="L84" t="n">
        <v>0</v>
      </c>
      <c r="M84" t="n">
        <v>0</v>
      </c>
      <c r="N84" t="n">
        <v>0</v>
      </c>
      <c r="O84" t="n">
        <v>0</v>
      </c>
      <c r="P84" t="n">
        <v>0</v>
      </c>
      <c r="Q84" t="n">
        <v>0</v>
      </c>
      <c r="R84" s="2" t="inlineStr"/>
    </row>
    <row r="85" ht="15" customHeight="1">
      <c r="A85" t="inlineStr">
        <is>
          <t>A 1960-2024</t>
        </is>
      </c>
      <c r="B85" s="1" t="n">
        <v>45308.50962962963</v>
      </c>
      <c r="C85" s="1" t="n">
        <v>45996</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41607-2022</t>
        </is>
      </c>
      <c r="B86" s="1" t="n">
        <v>44827.46658564815</v>
      </c>
      <c r="C86" s="1" t="n">
        <v>45996</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15499-2022</t>
        </is>
      </c>
      <c r="B87" s="1" t="n">
        <v>44662</v>
      </c>
      <c r="C87" s="1" t="n">
        <v>45996</v>
      </c>
      <c r="D87" t="inlineStr">
        <is>
          <t>VÄSTRA GÖTALANDS LÄN</t>
        </is>
      </c>
      <c r="E87" t="inlineStr">
        <is>
          <t>ALE</t>
        </is>
      </c>
      <c r="G87" t="n">
        <v>4.7</v>
      </c>
      <c r="H87" t="n">
        <v>0</v>
      </c>
      <c r="I87" t="n">
        <v>0</v>
      </c>
      <c r="J87" t="n">
        <v>0</v>
      </c>
      <c r="K87" t="n">
        <v>0</v>
      </c>
      <c r="L87" t="n">
        <v>0</v>
      </c>
      <c r="M87" t="n">
        <v>0</v>
      </c>
      <c r="N87" t="n">
        <v>0</v>
      </c>
      <c r="O87" t="n">
        <v>0</v>
      </c>
      <c r="P87" t="n">
        <v>0</v>
      </c>
      <c r="Q87" t="n">
        <v>0</v>
      </c>
      <c r="R87" s="2" t="inlineStr"/>
    </row>
    <row r="88" ht="15" customHeight="1">
      <c r="A88" t="inlineStr">
        <is>
          <t>A 3413-2023</t>
        </is>
      </c>
      <c r="B88" s="1" t="n">
        <v>44949</v>
      </c>
      <c r="C88" s="1" t="n">
        <v>45996</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45996</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53476-2023</t>
        </is>
      </c>
      <c r="B90" s="1" t="n">
        <v>45230.33737268519</v>
      </c>
      <c r="C90" s="1" t="n">
        <v>45996</v>
      </c>
      <c r="D90" t="inlineStr">
        <is>
          <t>VÄSTRA GÖTALANDS LÄN</t>
        </is>
      </c>
      <c r="E90" t="inlineStr">
        <is>
          <t>ALE</t>
        </is>
      </c>
      <c r="G90" t="n">
        <v>1.9</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45996</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13903-2025</t>
        </is>
      </c>
      <c r="B92" s="1" t="n">
        <v>45737.63481481482</v>
      </c>
      <c r="C92" s="1" t="n">
        <v>45996</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45996</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51164-2024</t>
        </is>
      </c>
      <c r="B94" s="1" t="n">
        <v>45603.5830787037</v>
      </c>
      <c r="C94" s="1" t="n">
        <v>45996</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45996</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45996</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31488-2025</t>
        </is>
      </c>
      <c r="B97" s="1" t="n">
        <v>45833</v>
      </c>
      <c r="C97" s="1" t="n">
        <v>45996</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31533-2025</t>
        </is>
      </c>
      <c r="B98" s="1" t="n">
        <v>45833</v>
      </c>
      <c r="C98" s="1" t="n">
        <v>45996</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56493-2021</t>
        </is>
      </c>
      <c r="B99" s="1" t="n">
        <v>44480.57173611111</v>
      </c>
      <c r="C99" s="1" t="n">
        <v>45996</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24642-2022</t>
        </is>
      </c>
      <c r="B100" s="1" t="n">
        <v>44727.59578703704</v>
      </c>
      <c r="C100" s="1" t="n">
        <v>45996</v>
      </c>
      <c r="D100" t="inlineStr">
        <is>
          <t>VÄSTRA GÖTALANDS LÄN</t>
        </is>
      </c>
      <c r="E100" t="inlineStr">
        <is>
          <t>ALE</t>
        </is>
      </c>
      <c r="G100" t="n">
        <v>10</v>
      </c>
      <c r="H100" t="n">
        <v>0</v>
      </c>
      <c r="I100" t="n">
        <v>0</v>
      </c>
      <c r="J100" t="n">
        <v>0</v>
      </c>
      <c r="K100" t="n">
        <v>0</v>
      </c>
      <c r="L100" t="n">
        <v>0</v>
      </c>
      <c r="M100" t="n">
        <v>0</v>
      </c>
      <c r="N100" t="n">
        <v>0</v>
      </c>
      <c r="O100" t="n">
        <v>0</v>
      </c>
      <c r="P100" t="n">
        <v>0</v>
      </c>
      <c r="Q100" t="n">
        <v>0</v>
      </c>
      <c r="R100" s="2" t="inlineStr"/>
    </row>
    <row r="101" ht="15" customHeight="1">
      <c r="A101" t="inlineStr">
        <is>
          <t>A 40074-2025</t>
        </is>
      </c>
      <c r="B101" s="1" t="n">
        <v>45894.44685185186</v>
      </c>
      <c r="C101" s="1" t="n">
        <v>45996</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32762-2023</t>
        </is>
      </c>
      <c r="B102" s="1" t="n">
        <v>45123.46649305556</v>
      </c>
      <c r="C102" s="1" t="n">
        <v>45996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35959-2022</t>
        </is>
      </c>
      <c r="B103" s="1" t="n">
        <v>44802.57002314815</v>
      </c>
      <c r="C103" s="1" t="n">
        <v>45996</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14493-2024</t>
        </is>
      </c>
      <c r="B104" s="1" t="n">
        <v>45394.58491898148</v>
      </c>
      <c r="C104" s="1" t="n">
        <v>45996</v>
      </c>
      <c r="D104" t="inlineStr">
        <is>
          <t>VÄSTRA GÖTALANDS LÄN</t>
        </is>
      </c>
      <c r="E104" t="inlineStr">
        <is>
          <t>ALE</t>
        </is>
      </c>
      <c r="G104" t="n">
        <v>2.3</v>
      </c>
      <c r="H104" t="n">
        <v>0</v>
      </c>
      <c r="I104" t="n">
        <v>0</v>
      </c>
      <c r="J104" t="n">
        <v>0</v>
      </c>
      <c r="K104" t="n">
        <v>0</v>
      </c>
      <c r="L104" t="n">
        <v>0</v>
      </c>
      <c r="M104" t="n">
        <v>0</v>
      </c>
      <c r="N104" t="n">
        <v>0</v>
      </c>
      <c r="O104" t="n">
        <v>0</v>
      </c>
      <c r="P104" t="n">
        <v>0</v>
      </c>
      <c r="Q104" t="n">
        <v>0</v>
      </c>
      <c r="R104" s="2" t="inlineStr"/>
    </row>
    <row r="105" ht="15" customHeight="1">
      <c r="A105" t="inlineStr">
        <is>
          <t>A 1500-2024</t>
        </is>
      </c>
      <c r="B105" s="1" t="n">
        <v>45306</v>
      </c>
      <c r="C105" s="1" t="n">
        <v>45996</v>
      </c>
      <c r="D105" t="inlineStr">
        <is>
          <t>VÄSTRA GÖTALANDS LÄN</t>
        </is>
      </c>
      <c r="E105" t="inlineStr">
        <is>
          <t>ALE</t>
        </is>
      </c>
      <c r="G105" t="n">
        <v>1.3</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45996</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51564-2023</t>
        </is>
      </c>
      <c r="B107" s="1" t="n">
        <v>45222</v>
      </c>
      <c r="C107" s="1" t="n">
        <v>45996</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26157-2023</t>
        </is>
      </c>
      <c r="B108" s="1" t="n">
        <v>45091.50479166667</v>
      </c>
      <c r="C108" s="1" t="n">
        <v>45996</v>
      </c>
      <c r="D108" t="inlineStr">
        <is>
          <t>VÄSTRA GÖTALANDS LÄN</t>
        </is>
      </c>
      <c r="E108" t="inlineStr">
        <is>
          <t>ALE</t>
        </is>
      </c>
      <c r="G108" t="n">
        <v>2.6</v>
      </c>
      <c r="H108" t="n">
        <v>0</v>
      </c>
      <c r="I108" t="n">
        <v>0</v>
      </c>
      <c r="J108" t="n">
        <v>0</v>
      </c>
      <c r="K108" t="n">
        <v>0</v>
      </c>
      <c r="L108" t="n">
        <v>0</v>
      </c>
      <c r="M108" t="n">
        <v>0</v>
      </c>
      <c r="N108" t="n">
        <v>0</v>
      </c>
      <c r="O108" t="n">
        <v>0</v>
      </c>
      <c r="P108" t="n">
        <v>0</v>
      </c>
      <c r="Q108" t="n">
        <v>0</v>
      </c>
      <c r="R108" s="2" t="inlineStr"/>
    </row>
    <row r="109" ht="15" customHeight="1">
      <c r="A109" t="inlineStr">
        <is>
          <t>A 14458-2024</t>
        </is>
      </c>
      <c r="B109" s="1" t="n">
        <v>45394</v>
      </c>
      <c r="C109" s="1" t="n">
        <v>45996</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47087-2023</t>
        </is>
      </c>
      <c r="B110" s="1" t="n">
        <v>45196</v>
      </c>
      <c r="C110" s="1" t="n">
        <v>45996</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42446-2023</t>
        </is>
      </c>
      <c r="B111" s="1" t="n">
        <v>45180</v>
      </c>
      <c r="C111" s="1" t="n">
        <v>45996</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27314-2021</t>
        </is>
      </c>
      <c r="B112" s="1" t="n">
        <v>44351.36537037037</v>
      </c>
      <c r="C112" s="1" t="n">
        <v>45996</v>
      </c>
      <c r="D112" t="inlineStr">
        <is>
          <t>VÄSTRA GÖTALANDS LÄN</t>
        </is>
      </c>
      <c r="E112" t="inlineStr">
        <is>
          <t>ALE</t>
        </is>
      </c>
      <c r="G112" t="n">
        <v>11.3</v>
      </c>
      <c r="H112" t="n">
        <v>0</v>
      </c>
      <c r="I112" t="n">
        <v>0</v>
      </c>
      <c r="J112" t="n">
        <v>0</v>
      </c>
      <c r="K112" t="n">
        <v>0</v>
      </c>
      <c r="L112" t="n">
        <v>0</v>
      </c>
      <c r="M112" t="n">
        <v>0</v>
      </c>
      <c r="N112" t="n">
        <v>0</v>
      </c>
      <c r="O112" t="n">
        <v>0</v>
      </c>
      <c r="P112" t="n">
        <v>0</v>
      </c>
      <c r="Q112" t="n">
        <v>0</v>
      </c>
      <c r="R112" s="2" t="inlineStr"/>
    </row>
    <row r="113" ht="15" customHeight="1">
      <c r="A113" t="inlineStr">
        <is>
          <t>A 33237-2024</t>
        </is>
      </c>
      <c r="B113" s="1" t="n">
        <v>45518.59173611111</v>
      </c>
      <c r="C113" s="1" t="n">
        <v>45996</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45996</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5875-2023</t>
        </is>
      </c>
      <c r="B115" s="1" t="n">
        <v>44963</v>
      </c>
      <c r="C115" s="1" t="n">
        <v>45996</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64199-2021</t>
        </is>
      </c>
      <c r="B116" s="1" t="n">
        <v>44510</v>
      </c>
      <c r="C116" s="1" t="n">
        <v>45996</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13426-2025</t>
        </is>
      </c>
      <c r="B117" s="1" t="n">
        <v>45736.32780092592</v>
      </c>
      <c r="C117" s="1" t="n">
        <v>45996</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36763-2022</t>
        </is>
      </c>
      <c r="B118" s="1" t="n">
        <v>44805</v>
      </c>
      <c r="C118" s="1" t="n">
        <v>45996</v>
      </c>
      <c r="D118" t="inlineStr">
        <is>
          <t>VÄSTRA GÖTALANDS LÄN</t>
        </is>
      </c>
      <c r="E118" t="inlineStr">
        <is>
          <t>ALE</t>
        </is>
      </c>
      <c r="G118" t="n">
        <v>6.1</v>
      </c>
      <c r="H118" t="n">
        <v>0</v>
      </c>
      <c r="I118" t="n">
        <v>0</v>
      </c>
      <c r="J118" t="n">
        <v>0</v>
      </c>
      <c r="K118" t="n">
        <v>0</v>
      </c>
      <c r="L118" t="n">
        <v>0</v>
      </c>
      <c r="M118" t="n">
        <v>0</v>
      </c>
      <c r="N118" t="n">
        <v>0</v>
      </c>
      <c r="O118" t="n">
        <v>0</v>
      </c>
      <c r="P118" t="n">
        <v>0</v>
      </c>
      <c r="Q118" t="n">
        <v>0</v>
      </c>
      <c r="R118" s="2" t="inlineStr"/>
    </row>
    <row r="119" ht="15" customHeight="1">
      <c r="A119" t="inlineStr">
        <is>
          <t>A 3407-2023</t>
        </is>
      </c>
      <c r="B119" s="1" t="n">
        <v>44949.54909722223</v>
      </c>
      <c r="C119" s="1" t="n">
        <v>45996</v>
      </c>
      <c r="D119" t="inlineStr">
        <is>
          <t>VÄSTRA GÖTALANDS LÄN</t>
        </is>
      </c>
      <c r="E119" t="inlineStr">
        <is>
          <t>ALE</t>
        </is>
      </c>
      <c r="G119" t="n">
        <v>1.2</v>
      </c>
      <c r="H119" t="n">
        <v>0</v>
      </c>
      <c r="I119" t="n">
        <v>0</v>
      </c>
      <c r="J119" t="n">
        <v>0</v>
      </c>
      <c r="K119" t="n">
        <v>0</v>
      </c>
      <c r="L119" t="n">
        <v>0</v>
      </c>
      <c r="M119" t="n">
        <v>0</v>
      </c>
      <c r="N119" t="n">
        <v>0</v>
      </c>
      <c r="O119" t="n">
        <v>0</v>
      </c>
      <c r="P119" t="n">
        <v>0</v>
      </c>
      <c r="Q119" t="n">
        <v>0</v>
      </c>
      <c r="R119" s="2" t="inlineStr"/>
    </row>
    <row r="120" ht="15" customHeight="1">
      <c r="A120" t="inlineStr">
        <is>
          <t>A 67160-2021</t>
        </is>
      </c>
      <c r="B120" s="1" t="n">
        <v>44523</v>
      </c>
      <c r="C120" s="1" t="n">
        <v>45996</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15241-2025</t>
        </is>
      </c>
      <c r="B121" s="1" t="n">
        <v>45744.61255787037</v>
      </c>
      <c r="C121" s="1" t="n">
        <v>45996</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52423-2025</t>
        </is>
      </c>
      <c r="B122" s="1" t="n">
        <v>45954.37650462963</v>
      </c>
      <c r="C122" s="1" t="n">
        <v>45996</v>
      </c>
      <c r="D122" t="inlineStr">
        <is>
          <t>VÄSTRA GÖTALANDS LÄN</t>
        </is>
      </c>
      <c r="E122" t="inlineStr">
        <is>
          <t>ALE</t>
        </is>
      </c>
      <c r="G122" t="n">
        <v>4.1</v>
      </c>
      <c r="H122" t="n">
        <v>0</v>
      </c>
      <c r="I122" t="n">
        <v>0</v>
      </c>
      <c r="J122" t="n">
        <v>0</v>
      </c>
      <c r="K122" t="n">
        <v>0</v>
      </c>
      <c r="L122" t="n">
        <v>0</v>
      </c>
      <c r="M122" t="n">
        <v>0</v>
      </c>
      <c r="N122" t="n">
        <v>0</v>
      </c>
      <c r="O122" t="n">
        <v>0</v>
      </c>
      <c r="P122" t="n">
        <v>0</v>
      </c>
      <c r="Q122" t="n">
        <v>0</v>
      </c>
      <c r="R122" s="2" t="inlineStr"/>
    </row>
    <row r="123" ht="15" customHeight="1">
      <c r="A123" t="inlineStr">
        <is>
          <t>A 49680-2024</t>
        </is>
      </c>
      <c r="B123" s="1" t="n">
        <v>45596.66880787037</v>
      </c>
      <c r="C123" s="1" t="n">
        <v>45996</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34153-2024</t>
        </is>
      </c>
      <c r="B124" s="1" t="n">
        <v>45524.38400462963</v>
      </c>
      <c r="C124" s="1" t="n">
        <v>45996</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14731-2022</t>
        </is>
      </c>
      <c r="B125" s="1" t="n">
        <v>44656</v>
      </c>
      <c r="C125" s="1" t="n">
        <v>45996</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52391-2025</t>
        </is>
      </c>
      <c r="B126" s="1" t="n">
        <v>45954.34305555555</v>
      </c>
      <c r="C126" s="1" t="n">
        <v>45996</v>
      </c>
      <c r="D126" t="inlineStr">
        <is>
          <t>VÄSTRA GÖTALANDS LÄN</t>
        </is>
      </c>
      <c r="E126" t="inlineStr">
        <is>
          <t>ALE</t>
        </is>
      </c>
      <c r="G126" t="n">
        <v>10.6</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44827.4609837963</v>
      </c>
      <c r="C127" s="1" t="n">
        <v>45996</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4642-2024</t>
        </is>
      </c>
      <c r="B128" s="1" t="n">
        <v>45328.43502314815</v>
      </c>
      <c r="C128" s="1" t="n">
        <v>45996</v>
      </c>
      <c r="D128" t="inlineStr">
        <is>
          <t>VÄSTRA GÖTALANDS LÄN</t>
        </is>
      </c>
      <c r="E128" t="inlineStr">
        <is>
          <t>ALE</t>
        </is>
      </c>
      <c r="G128" t="n">
        <v>7.1</v>
      </c>
      <c r="H128" t="n">
        <v>0</v>
      </c>
      <c r="I128" t="n">
        <v>0</v>
      </c>
      <c r="J128" t="n">
        <v>0</v>
      </c>
      <c r="K128" t="n">
        <v>0</v>
      </c>
      <c r="L128" t="n">
        <v>0</v>
      </c>
      <c r="M128" t="n">
        <v>0</v>
      </c>
      <c r="N128" t="n">
        <v>0</v>
      </c>
      <c r="O128" t="n">
        <v>0</v>
      </c>
      <c r="P128" t="n">
        <v>0</v>
      </c>
      <c r="Q128" t="n">
        <v>0</v>
      </c>
      <c r="R128" s="2" t="inlineStr"/>
    </row>
    <row r="129" ht="15" customHeight="1">
      <c r="A129" t="inlineStr">
        <is>
          <t>A 69325-2020</t>
        </is>
      </c>
      <c r="B129" s="1" t="n">
        <v>44193</v>
      </c>
      <c r="C129" s="1" t="n">
        <v>45996</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3520-2022</t>
        </is>
      </c>
      <c r="B130" s="1" t="n">
        <v>44585.72818287037</v>
      </c>
      <c r="C130" s="1" t="n">
        <v>45996</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65226-2021</t>
        </is>
      </c>
      <c r="B131" s="1" t="n">
        <v>44515</v>
      </c>
      <c r="C131" s="1" t="n">
        <v>45996</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18999-2021</t>
        </is>
      </c>
      <c r="B132" s="1" t="n">
        <v>44308</v>
      </c>
      <c r="C132" s="1" t="n">
        <v>45996</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17044-2025</t>
        </is>
      </c>
      <c r="B133" s="1" t="n">
        <v>45755.58891203703</v>
      </c>
      <c r="C133" s="1" t="n">
        <v>45996</v>
      </c>
      <c r="D133" t="inlineStr">
        <is>
          <t>VÄSTRA GÖTALANDS LÄN</t>
        </is>
      </c>
      <c r="E133" t="inlineStr">
        <is>
          <t>ALE</t>
        </is>
      </c>
      <c r="G133" t="n">
        <v>1.5</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45996</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5916-2023</t>
        </is>
      </c>
      <c r="B135" s="1" t="n">
        <v>44963</v>
      </c>
      <c r="C135" s="1" t="n">
        <v>45996</v>
      </c>
      <c r="D135" t="inlineStr">
        <is>
          <t>VÄSTRA GÖTALANDS LÄN</t>
        </is>
      </c>
      <c r="E135" t="inlineStr">
        <is>
          <t>ALE</t>
        </is>
      </c>
      <c r="G135" t="n">
        <v>4.2</v>
      </c>
      <c r="H135" t="n">
        <v>0</v>
      </c>
      <c r="I135" t="n">
        <v>0</v>
      </c>
      <c r="J135" t="n">
        <v>0</v>
      </c>
      <c r="K135" t="n">
        <v>0</v>
      </c>
      <c r="L135" t="n">
        <v>0</v>
      </c>
      <c r="M135" t="n">
        <v>0</v>
      </c>
      <c r="N135" t="n">
        <v>0</v>
      </c>
      <c r="O135" t="n">
        <v>0</v>
      </c>
      <c r="P135" t="n">
        <v>0</v>
      </c>
      <c r="Q135" t="n">
        <v>0</v>
      </c>
      <c r="R135" s="2" t="inlineStr"/>
    </row>
    <row r="136" ht="15" customHeight="1">
      <c r="A136" t="inlineStr">
        <is>
          <t>A 16601-2025</t>
        </is>
      </c>
      <c r="B136" s="1" t="n">
        <v>45753.53189814815</v>
      </c>
      <c r="C136" s="1" t="n">
        <v>45996</v>
      </c>
      <c r="D136" t="inlineStr">
        <is>
          <t>VÄSTRA GÖTALANDS LÄN</t>
        </is>
      </c>
      <c r="E136" t="inlineStr">
        <is>
          <t>ALE</t>
        </is>
      </c>
      <c r="G136" t="n">
        <v>1.7</v>
      </c>
      <c r="H136" t="n">
        <v>0</v>
      </c>
      <c r="I136" t="n">
        <v>0</v>
      </c>
      <c r="J136" t="n">
        <v>0</v>
      </c>
      <c r="K136" t="n">
        <v>0</v>
      </c>
      <c r="L136" t="n">
        <v>0</v>
      </c>
      <c r="M136" t="n">
        <v>0</v>
      </c>
      <c r="N136" t="n">
        <v>0</v>
      </c>
      <c r="O136" t="n">
        <v>0</v>
      </c>
      <c r="P136" t="n">
        <v>0</v>
      </c>
      <c r="Q136" t="n">
        <v>0</v>
      </c>
      <c r="R136" s="2" t="inlineStr"/>
    </row>
    <row r="137" ht="15" customHeight="1">
      <c r="A137" t="inlineStr">
        <is>
          <t>A 3457-2022</t>
        </is>
      </c>
      <c r="B137" s="1" t="n">
        <v>44585</v>
      </c>
      <c r="C137" s="1" t="n">
        <v>45996</v>
      </c>
      <c r="D137" t="inlineStr">
        <is>
          <t>VÄSTRA GÖTALANDS LÄN</t>
        </is>
      </c>
      <c r="E137" t="inlineStr">
        <is>
          <t>ALE</t>
        </is>
      </c>
      <c r="G137" t="n">
        <v>5.1</v>
      </c>
      <c r="H137" t="n">
        <v>0</v>
      </c>
      <c r="I137" t="n">
        <v>0</v>
      </c>
      <c r="J137" t="n">
        <v>0</v>
      </c>
      <c r="K137" t="n">
        <v>0</v>
      </c>
      <c r="L137" t="n">
        <v>0</v>
      </c>
      <c r="M137" t="n">
        <v>0</v>
      </c>
      <c r="N137" t="n">
        <v>0</v>
      </c>
      <c r="O137" t="n">
        <v>0</v>
      </c>
      <c r="P137" t="n">
        <v>0</v>
      </c>
      <c r="Q137" t="n">
        <v>0</v>
      </c>
      <c r="R137" s="2" t="inlineStr"/>
    </row>
    <row r="138" ht="15" customHeight="1">
      <c r="A138" t="inlineStr">
        <is>
          <t>A 36403-2024</t>
        </is>
      </c>
      <c r="B138" s="1" t="n">
        <v>45535.69445601852</v>
      </c>
      <c r="C138" s="1" t="n">
        <v>45996</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200-2022</t>
        </is>
      </c>
      <c r="B139" s="1" t="n">
        <v>44564</v>
      </c>
      <c r="C139" s="1" t="n">
        <v>45996</v>
      </c>
      <c r="D139" t="inlineStr">
        <is>
          <t>VÄSTRA GÖTALANDS LÄN</t>
        </is>
      </c>
      <c r="E139" t="inlineStr">
        <is>
          <t>ALE</t>
        </is>
      </c>
      <c r="G139" t="n">
        <v>6.8</v>
      </c>
      <c r="H139" t="n">
        <v>0</v>
      </c>
      <c r="I139" t="n">
        <v>0</v>
      </c>
      <c r="J139" t="n">
        <v>0</v>
      </c>
      <c r="K139" t="n">
        <v>0</v>
      </c>
      <c r="L139" t="n">
        <v>0</v>
      </c>
      <c r="M139" t="n">
        <v>0</v>
      </c>
      <c r="N139" t="n">
        <v>0</v>
      </c>
      <c r="O139" t="n">
        <v>0</v>
      </c>
      <c r="P139" t="n">
        <v>0</v>
      </c>
      <c r="Q139" t="n">
        <v>0</v>
      </c>
      <c r="R139" s="2" t="inlineStr"/>
    </row>
    <row r="140" ht="15" customHeight="1">
      <c r="A140" t="inlineStr">
        <is>
          <t>A 15582-2025</t>
        </is>
      </c>
      <c r="B140" s="1" t="n">
        <v>45747.81394675926</v>
      </c>
      <c r="C140" s="1" t="n">
        <v>45996</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7892-2024</t>
        </is>
      </c>
      <c r="B141" s="1" t="n">
        <v>45350.40921296296</v>
      </c>
      <c r="C141" s="1" t="n">
        <v>45996</v>
      </c>
      <c r="D141" t="inlineStr">
        <is>
          <t>VÄSTRA GÖTALANDS LÄN</t>
        </is>
      </c>
      <c r="E141" t="inlineStr">
        <is>
          <t>ALE</t>
        </is>
      </c>
      <c r="G141" t="n">
        <v>3.6</v>
      </c>
      <c r="H141" t="n">
        <v>0</v>
      </c>
      <c r="I141" t="n">
        <v>0</v>
      </c>
      <c r="J141" t="n">
        <v>0</v>
      </c>
      <c r="K141" t="n">
        <v>0</v>
      </c>
      <c r="L141" t="n">
        <v>0</v>
      </c>
      <c r="M141" t="n">
        <v>0</v>
      </c>
      <c r="N141" t="n">
        <v>0</v>
      </c>
      <c r="O141" t="n">
        <v>0</v>
      </c>
      <c r="P141" t="n">
        <v>0</v>
      </c>
      <c r="Q141" t="n">
        <v>0</v>
      </c>
      <c r="R141" s="2" t="inlineStr"/>
    </row>
    <row r="142" ht="15" customHeight="1">
      <c r="A142" t="inlineStr">
        <is>
          <t>A 8956-2025</t>
        </is>
      </c>
      <c r="B142" s="1" t="n">
        <v>45713.46825231481</v>
      </c>
      <c r="C142" s="1" t="n">
        <v>45996</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46226-2025</t>
        </is>
      </c>
      <c r="B143" s="1" t="n">
        <v>45924</v>
      </c>
      <c r="C143" s="1" t="n">
        <v>45996</v>
      </c>
      <c r="D143" t="inlineStr">
        <is>
          <t>VÄSTRA GÖTALANDS LÄN</t>
        </is>
      </c>
      <c r="E143" t="inlineStr">
        <is>
          <t>ALE</t>
        </is>
      </c>
      <c r="G143" t="n">
        <v>2.3</v>
      </c>
      <c r="H143" t="n">
        <v>0</v>
      </c>
      <c r="I143" t="n">
        <v>0</v>
      </c>
      <c r="J143" t="n">
        <v>0</v>
      </c>
      <c r="K143" t="n">
        <v>0</v>
      </c>
      <c r="L143" t="n">
        <v>0</v>
      </c>
      <c r="M143" t="n">
        <v>0</v>
      </c>
      <c r="N143" t="n">
        <v>0</v>
      </c>
      <c r="O143" t="n">
        <v>0</v>
      </c>
      <c r="P143" t="n">
        <v>0</v>
      </c>
      <c r="Q143" t="n">
        <v>0</v>
      </c>
      <c r="R143" s="2" t="inlineStr"/>
    </row>
    <row r="144" ht="15" customHeight="1">
      <c r="A144" t="inlineStr">
        <is>
          <t>A 50451-2024</t>
        </is>
      </c>
      <c r="B144" s="1" t="n">
        <v>45601.44248842593</v>
      </c>
      <c r="C144" s="1" t="n">
        <v>45996</v>
      </c>
      <c r="D144" t="inlineStr">
        <is>
          <t>VÄSTRA GÖTALANDS LÄN</t>
        </is>
      </c>
      <c r="E144" t="inlineStr">
        <is>
          <t>ALE</t>
        </is>
      </c>
      <c r="G144" t="n">
        <v>2.9</v>
      </c>
      <c r="H144" t="n">
        <v>0</v>
      </c>
      <c r="I144" t="n">
        <v>0</v>
      </c>
      <c r="J144" t="n">
        <v>0</v>
      </c>
      <c r="K144" t="n">
        <v>0</v>
      </c>
      <c r="L144" t="n">
        <v>0</v>
      </c>
      <c r="M144" t="n">
        <v>0</v>
      </c>
      <c r="N144" t="n">
        <v>0</v>
      </c>
      <c r="O144" t="n">
        <v>0</v>
      </c>
      <c r="P144" t="n">
        <v>0</v>
      </c>
      <c r="Q144" t="n">
        <v>0</v>
      </c>
      <c r="R144" s="2" t="inlineStr"/>
    </row>
    <row r="145" ht="15" customHeight="1">
      <c r="A145" t="inlineStr">
        <is>
          <t>A 6947-2024</t>
        </is>
      </c>
      <c r="B145" s="1" t="n">
        <v>45343</v>
      </c>
      <c r="C145" s="1" t="n">
        <v>45996</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4444-2024</t>
        </is>
      </c>
      <c r="B146" s="1" t="n">
        <v>45327</v>
      </c>
      <c r="C146" s="1" t="n">
        <v>45996</v>
      </c>
      <c r="D146" t="inlineStr">
        <is>
          <t>VÄSTRA GÖTALANDS LÄN</t>
        </is>
      </c>
      <c r="E146" t="inlineStr">
        <is>
          <t>ALE</t>
        </is>
      </c>
      <c r="G146" t="n">
        <v>0.6</v>
      </c>
      <c r="H146" t="n">
        <v>0</v>
      </c>
      <c r="I146" t="n">
        <v>0</v>
      </c>
      <c r="J146" t="n">
        <v>0</v>
      </c>
      <c r="K146" t="n">
        <v>0</v>
      </c>
      <c r="L146" t="n">
        <v>0</v>
      </c>
      <c r="M146" t="n">
        <v>0</v>
      </c>
      <c r="N146" t="n">
        <v>0</v>
      </c>
      <c r="O146" t="n">
        <v>0</v>
      </c>
      <c r="P146" t="n">
        <v>0</v>
      </c>
      <c r="Q146" t="n">
        <v>0</v>
      </c>
      <c r="R146" s="2" t="inlineStr"/>
    </row>
    <row r="147" ht="15" customHeight="1">
      <c r="A147" t="inlineStr">
        <is>
          <t>A 46227-2025</t>
        </is>
      </c>
      <c r="B147" s="1" t="n">
        <v>45924.90386574074</v>
      </c>
      <c r="C147" s="1" t="n">
        <v>45996</v>
      </c>
      <c r="D147" t="inlineStr">
        <is>
          <t>VÄSTRA GÖTALANDS LÄN</t>
        </is>
      </c>
      <c r="E147" t="inlineStr">
        <is>
          <t>ALE</t>
        </is>
      </c>
      <c r="G147" t="n">
        <v>0.3</v>
      </c>
      <c r="H147" t="n">
        <v>0</v>
      </c>
      <c r="I147" t="n">
        <v>0</v>
      </c>
      <c r="J147" t="n">
        <v>0</v>
      </c>
      <c r="K147" t="n">
        <v>0</v>
      </c>
      <c r="L147" t="n">
        <v>0</v>
      </c>
      <c r="M147" t="n">
        <v>0</v>
      </c>
      <c r="N147" t="n">
        <v>0</v>
      </c>
      <c r="O147" t="n">
        <v>0</v>
      </c>
      <c r="P147" t="n">
        <v>0</v>
      </c>
      <c r="Q147" t="n">
        <v>0</v>
      </c>
      <c r="R147" s="2" t="inlineStr"/>
    </row>
    <row r="148" ht="15" customHeight="1">
      <c r="A148" t="inlineStr">
        <is>
          <t>A 72801-2021</t>
        </is>
      </c>
      <c r="B148" s="1" t="n">
        <v>44546</v>
      </c>
      <c r="C148" s="1" t="n">
        <v>45996</v>
      </c>
      <c r="D148" t="inlineStr">
        <is>
          <t>VÄSTRA GÖTALANDS LÄN</t>
        </is>
      </c>
      <c r="E148" t="inlineStr">
        <is>
          <t>ALE</t>
        </is>
      </c>
      <c r="F148" t="inlineStr">
        <is>
          <t>Naturvårdsverket</t>
        </is>
      </c>
      <c r="G148" t="n">
        <v>1.4</v>
      </c>
      <c r="H148" t="n">
        <v>0</v>
      </c>
      <c r="I148" t="n">
        <v>0</v>
      </c>
      <c r="J148" t="n">
        <v>0</v>
      </c>
      <c r="K148" t="n">
        <v>0</v>
      </c>
      <c r="L148" t="n">
        <v>0</v>
      </c>
      <c r="M148" t="n">
        <v>0</v>
      </c>
      <c r="N148" t="n">
        <v>0</v>
      </c>
      <c r="O148" t="n">
        <v>0</v>
      </c>
      <c r="P148" t="n">
        <v>0</v>
      </c>
      <c r="Q148" t="n">
        <v>0</v>
      </c>
      <c r="R148" s="2" t="inlineStr"/>
    </row>
    <row r="149" ht="15" customHeight="1">
      <c r="A149" t="inlineStr">
        <is>
          <t>A 26083-2023</t>
        </is>
      </c>
      <c r="B149" s="1" t="n">
        <v>45091</v>
      </c>
      <c r="C149" s="1" t="n">
        <v>45996</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4971-2024</t>
        </is>
      </c>
      <c r="B150" s="1" t="n">
        <v>45329</v>
      </c>
      <c r="C150" s="1" t="n">
        <v>45996</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22946-2025</t>
        </is>
      </c>
      <c r="B151" s="1" t="n">
        <v>45790.48229166667</v>
      </c>
      <c r="C151" s="1" t="n">
        <v>45996</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16344-2023</t>
        </is>
      </c>
      <c r="B152" s="1" t="n">
        <v>45028</v>
      </c>
      <c r="C152" s="1" t="n">
        <v>45996</v>
      </c>
      <c r="D152" t="inlineStr">
        <is>
          <t>VÄSTRA GÖTALANDS LÄN</t>
        </is>
      </c>
      <c r="E152" t="inlineStr">
        <is>
          <t>ALE</t>
        </is>
      </c>
      <c r="G152" t="n">
        <v>6.6</v>
      </c>
      <c r="H152" t="n">
        <v>0</v>
      </c>
      <c r="I152" t="n">
        <v>0</v>
      </c>
      <c r="J152" t="n">
        <v>0</v>
      </c>
      <c r="K152" t="n">
        <v>0</v>
      </c>
      <c r="L152" t="n">
        <v>0</v>
      </c>
      <c r="M152" t="n">
        <v>0</v>
      </c>
      <c r="N152" t="n">
        <v>0</v>
      </c>
      <c r="O152" t="n">
        <v>0</v>
      </c>
      <c r="P152" t="n">
        <v>0</v>
      </c>
      <c r="Q152" t="n">
        <v>0</v>
      </c>
      <c r="R152" s="2" t="inlineStr"/>
    </row>
    <row r="153" ht="15" customHeight="1">
      <c r="A153" t="inlineStr">
        <is>
          <t>A 47592-2025</t>
        </is>
      </c>
      <c r="B153" s="1" t="n">
        <v>45931.44649305556</v>
      </c>
      <c r="C153" s="1" t="n">
        <v>45996</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4363-2024</t>
        </is>
      </c>
      <c r="B154" s="1" t="n">
        <v>45325</v>
      </c>
      <c r="C154" s="1" t="n">
        <v>45996</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47330-2025</t>
        </is>
      </c>
      <c r="B155" s="1" t="n">
        <v>45930.56170138889</v>
      </c>
      <c r="C155" s="1" t="n">
        <v>45996</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47593-2025</t>
        </is>
      </c>
      <c r="B156" s="1" t="n">
        <v>45931.4480787037</v>
      </c>
      <c r="C156" s="1" t="n">
        <v>45996</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47728-2025</t>
        </is>
      </c>
      <c r="B157" s="1" t="n">
        <v>45931.63186342592</v>
      </c>
      <c r="C157" s="1" t="n">
        <v>45996</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1566-2022</t>
        </is>
      </c>
      <c r="B158" s="1" t="n">
        <v>44573</v>
      </c>
      <c r="C158" s="1" t="n">
        <v>45996</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12445-2022</t>
        </is>
      </c>
      <c r="B159" s="1" t="n">
        <v>44638</v>
      </c>
      <c r="C159" s="1" t="n">
        <v>45996</v>
      </c>
      <c r="D159" t="inlineStr">
        <is>
          <t>VÄSTRA GÖTALANDS LÄN</t>
        </is>
      </c>
      <c r="E159" t="inlineStr">
        <is>
          <t>ALE</t>
        </is>
      </c>
      <c r="G159" t="n">
        <v>1</v>
      </c>
      <c r="H159" t="n">
        <v>0</v>
      </c>
      <c r="I159" t="n">
        <v>0</v>
      </c>
      <c r="J159" t="n">
        <v>0</v>
      </c>
      <c r="K159" t="n">
        <v>0</v>
      </c>
      <c r="L159" t="n">
        <v>0</v>
      </c>
      <c r="M159" t="n">
        <v>0</v>
      </c>
      <c r="N159" t="n">
        <v>0</v>
      </c>
      <c r="O159" t="n">
        <v>0</v>
      </c>
      <c r="P159" t="n">
        <v>0</v>
      </c>
      <c r="Q159" t="n">
        <v>0</v>
      </c>
      <c r="R159" s="2" t="inlineStr"/>
    </row>
    <row r="160" ht="15" customHeight="1">
      <c r="A160" t="inlineStr">
        <is>
          <t>A 57473-2022</t>
        </is>
      </c>
      <c r="B160" s="1" t="n">
        <v>44896</v>
      </c>
      <c r="C160" s="1" t="n">
        <v>45996</v>
      </c>
      <c r="D160" t="inlineStr">
        <is>
          <t>VÄSTRA GÖTALANDS LÄN</t>
        </is>
      </c>
      <c r="E160" t="inlineStr">
        <is>
          <t>ALE</t>
        </is>
      </c>
      <c r="G160" t="n">
        <v>0.7</v>
      </c>
      <c r="H160" t="n">
        <v>0</v>
      </c>
      <c r="I160" t="n">
        <v>0</v>
      </c>
      <c r="J160" t="n">
        <v>0</v>
      </c>
      <c r="K160" t="n">
        <v>0</v>
      </c>
      <c r="L160" t="n">
        <v>0</v>
      </c>
      <c r="M160" t="n">
        <v>0</v>
      </c>
      <c r="N160" t="n">
        <v>0</v>
      </c>
      <c r="O160" t="n">
        <v>0</v>
      </c>
      <c r="P160" t="n">
        <v>0</v>
      </c>
      <c r="Q160" t="n">
        <v>0</v>
      </c>
      <c r="R160" s="2" t="inlineStr"/>
    </row>
    <row r="161" ht="15" customHeight="1">
      <c r="A161" t="inlineStr">
        <is>
          <t>A 48213-2025</t>
        </is>
      </c>
      <c r="B161" s="1" t="n">
        <v>45933</v>
      </c>
      <c r="C161" s="1" t="n">
        <v>45996</v>
      </c>
      <c r="D161" t="inlineStr">
        <is>
          <t>VÄSTRA GÖTALANDS LÄN</t>
        </is>
      </c>
      <c r="E161" t="inlineStr">
        <is>
          <t>ALE</t>
        </is>
      </c>
      <c r="G161" t="n">
        <v>3.3</v>
      </c>
      <c r="H161" t="n">
        <v>0</v>
      </c>
      <c r="I161" t="n">
        <v>0</v>
      </c>
      <c r="J161" t="n">
        <v>0</v>
      </c>
      <c r="K161" t="n">
        <v>0</v>
      </c>
      <c r="L161" t="n">
        <v>0</v>
      </c>
      <c r="M161" t="n">
        <v>0</v>
      </c>
      <c r="N161" t="n">
        <v>0</v>
      </c>
      <c r="O161" t="n">
        <v>0</v>
      </c>
      <c r="P161" t="n">
        <v>0</v>
      </c>
      <c r="Q161" t="n">
        <v>0</v>
      </c>
      <c r="R161" s="2" t="inlineStr"/>
    </row>
    <row r="162" ht="15" customHeight="1">
      <c r="A162" t="inlineStr">
        <is>
          <t>A 48218-2025</t>
        </is>
      </c>
      <c r="B162" s="1" t="n">
        <v>45933</v>
      </c>
      <c r="C162" s="1" t="n">
        <v>45996</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56905-2025</t>
        </is>
      </c>
      <c r="B163" s="1" t="n">
        <v>45978.57502314815</v>
      </c>
      <c r="C163" s="1" t="n">
        <v>45996</v>
      </c>
      <c r="D163" t="inlineStr">
        <is>
          <t>VÄSTRA GÖTALANDS LÄN</t>
        </is>
      </c>
      <c r="E163" t="inlineStr">
        <is>
          <t>ALE</t>
        </is>
      </c>
      <c r="G163" t="n">
        <v>5.2</v>
      </c>
      <c r="H163" t="n">
        <v>0</v>
      </c>
      <c r="I163" t="n">
        <v>0</v>
      </c>
      <c r="J163" t="n">
        <v>0</v>
      </c>
      <c r="K163" t="n">
        <v>0</v>
      </c>
      <c r="L163" t="n">
        <v>0</v>
      </c>
      <c r="M163" t="n">
        <v>0</v>
      </c>
      <c r="N163" t="n">
        <v>0</v>
      </c>
      <c r="O163" t="n">
        <v>0</v>
      </c>
      <c r="P163" t="n">
        <v>0</v>
      </c>
      <c r="Q163" t="n">
        <v>0</v>
      </c>
      <c r="R163" s="2" t="inlineStr"/>
    </row>
    <row r="164" ht="15" customHeight="1">
      <c r="A164" t="inlineStr">
        <is>
          <t>A 58412-2025</t>
        </is>
      </c>
      <c r="B164" s="1" t="n">
        <v>45985.57564814815</v>
      </c>
      <c r="C164" s="1" t="n">
        <v>45996</v>
      </c>
      <c r="D164" t="inlineStr">
        <is>
          <t>VÄSTRA GÖTALANDS LÄN</t>
        </is>
      </c>
      <c r="E164" t="inlineStr">
        <is>
          <t>ALE</t>
        </is>
      </c>
      <c r="G164" t="n">
        <v>3.2</v>
      </c>
      <c r="H164" t="n">
        <v>0</v>
      </c>
      <c r="I164" t="n">
        <v>0</v>
      </c>
      <c r="J164" t="n">
        <v>0</v>
      </c>
      <c r="K164" t="n">
        <v>0</v>
      </c>
      <c r="L164" t="n">
        <v>0</v>
      </c>
      <c r="M164" t="n">
        <v>0</v>
      </c>
      <c r="N164" t="n">
        <v>0</v>
      </c>
      <c r="O164" t="n">
        <v>0</v>
      </c>
      <c r="P164" t="n">
        <v>0</v>
      </c>
      <c r="Q164" t="n">
        <v>0</v>
      </c>
      <c r="R164" s="2" t="inlineStr"/>
    </row>
    <row r="165" ht="15" customHeight="1">
      <c r="A165" t="inlineStr">
        <is>
          <t>A 50189-2025</t>
        </is>
      </c>
      <c r="B165" s="1" t="n">
        <v>45943.63476851852</v>
      </c>
      <c r="C165" s="1" t="n">
        <v>45996</v>
      </c>
      <c r="D165" t="inlineStr">
        <is>
          <t>VÄSTRA GÖTALANDS LÄN</t>
        </is>
      </c>
      <c r="E165" t="inlineStr">
        <is>
          <t>ALE</t>
        </is>
      </c>
      <c r="G165" t="n">
        <v>3</v>
      </c>
      <c r="H165" t="n">
        <v>0</v>
      </c>
      <c r="I165" t="n">
        <v>0</v>
      </c>
      <c r="J165" t="n">
        <v>0</v>
      </c>
      <c r="K165" t="n">
        <v>0</v>
      </c>
      <c r="L165" t="n">
        <v>0</v>
      </c>
      <c r="M165" t="n">
        <v>0</v>
      </c>
      <c r="N165" t="n">
        <v>0</v>
      </c>
      <c r="O165" t="n">
        <v>0</v>
      </c>
      <c r="P165" t="n">
        <v>0</v>
      </c>
      <c r="Q165" t="n">
        <v>0</v>
      </c>
      <c r="R165" s="2" t="inlineStr"/>
    </row>
    <row r="166" ht="15" customHeight="1">
      <c r="A166" t="inlineStr">
        <is>
          <t>A 58414-2025</t>
        </is>
      </c>
      <c r="B166" s="1" t="n">
        <v>45985.57778935185</v>
      </c>
      <c r="C166" s="1" t="n">
        <v>45996</v>
      </c>
      <c r="D166" t="inlineStr">
        <is>
          <t>VÄSTRA GÖTALANDS LÄN</t>
        </is>
      </c>
      <c r="E166" t="inlineStr">
        <is>
          <t>ALE</t>
        </is>
      </c>
      <c r="G166" t="n">
        <v>4.3</v>
      </c>
      <c r="H166" t="n">
        <v>0</v>
      </c>
      <c r="I166" t="n">
        <v>0</v>
      </c>
      <c r="J166" t="n">
        <v>0</v>
      </c>
      <c r="K166" t="n">
        <v>0</v>
      </c>
      <c r="L166" t="n">
        <v>0</v>
      </c>
      <c r="M166" t="n">
        <v>0</v>
      </c>
      <c r="N166" t="n">
        <v>0</v>
      </c>
      <c r="O166" t="n">
        <v>0</v>
      </c>
      <c r="P166" t="n">
        <v>0</v>
      </c>
      <c r="Q166" t="n">
        <v>0</v>
      </c>
      <c r="R166" s="2" t="inlineStr"/>
    </row>
    <row r="167" ht="15" customHeight="1">
      <c r="A167" t="inlineStr">
        <is>
          <t>A 59409-2025</t>
        </is>
      </c>
      <c r="B167" s="1" t="n">
        <v>45989.49545138889</v>
      </c>
      <c r="C167" s="1" t="n">
        <v>45996</v>
      </c>
      <c r="D167" t="inlineStr">
        <is>
          <t>VÄSTRA GÖTALANDS LÄN</t>
        </is>
      </c>
      <c r="E167" t="inlineStr">
        <is>
          <t>ALE</t>
        </is>
      </c>
      <c r="G167" t="n">
        <v>0.3</v>
      </c>
      <c r="H167" t="n">
        <v>0</v>
      </c>
      <c r="I167" t="n">
        <v>0</v>
      </c>
      <c r="J167" t="n">
        <v>0</v>
      </c>
      <c r="K167" t="n">
        <v>0</v>
      </c>
      <c r="L167" t="n">
        <v>0</v>
      </c>
      <c r="M167" t="n">
        <v>0</v>
      </c>
      <c r="N167" t="n">
        <v>0</v>
      </c>
      <c r="O167" t="n">
        <v>0</v>
      </c>
      <c r="P167" t="n">
        <v>0</v>
      </c>
      <c r="Q167" t="n">
        <v>0</v>
      </c>
      <c r="R167" s="2" t="inlineStr"/>
    </row>
    <row r="168" ht="15" customHeight="1">
      <c r="A168" t="inlineStr">
        <is>
          <t>A 50973-2025</t>
        </is>
      </c>
      <c r="B168" s="1" t="n">
        <v>45947.31263888889</v>
      </c>
      <c r="C168" s="1" t="n">
        <v>45996</v>
      </c>
      <c r="D168" t="inlineStr">
        <is>
          <t>VÄSTRA GÖTALANDS LÄN</t>
        </is>
      </c>
      <c r="E168" t="inlineStr">
        <is>
          <t>ALE</t>
        </is>
      </c>
      <c r="G168" t="n">
        <v>12</v>
      </c>
      <c r="H168" t="n">
        <v>0</v>
      </c>
      <c r="I168" t="n">
        <v>0</v>
      </c>
      <c r="J168" t="n">
        <v>0</v>
      </c>
      <c r="K168" t="n">
        <v>0</v>
      </c>
      <c r="L168" t="n">
        <v>0</v>
      </c>
      <c r="M168" t="n">
        <v>0</v>
      </c>
      <c r="N168" t="n">
        <v>0</v>
      </c>
      <c r="O168" t="n">
        <v>0</v>
      </c>
      <c r="P168" t="n">
        <v>0</v>
      </c>
      <c r="Q168" t="n">
        <v>0</v>
      </c>
      <c r="R168" s="2" t="inlineStr"/>
    </row>
    <row r="169" ht="15" customHeight="1">
      <c r="A169" t="inlineStr">
        <is>
          <t>A 60287-2025</t>
        </is>
      </c>
      <c r="B169" s="1" t="n">
        <v>45994.64711805555</v>
      </c>
      <c r="C169" s="1" t="n">
        <v>45996</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60293-2025</t>
        </is>
      </c>
      <c r="B170" s="1" t="n">
        <v>45994.65568287037</v>
      </c>
      <c r="C170" s="1" t="n">
        <v>45996</v>
      </c>
      <c r="D170" t="inlineStr">
        <is>
          <t>VÄSTRA GÖTALANDS LÄN</t>
        </is>
      </c>
      <c r="E170" t="inlineStr">
        <is>
          <t>ALE</t>
        </is>
      </c>
      <c r="G170" t="n">
        <v>1.9</v>
      </c>
      <c r="H170" t="n">
        <v>0</v>
      </c>
      <c r="I170" t="n">
        <v>0</v>
      </c>
      <c r="J170" t="n">
        <v>0</v>
      </c>
      <c r="K170" t="n">
        <v>0</v>
      </c>
      <c r="L170" t="n">
        <v>0</v>
      </c>
      <c r="M170" t="n">
        <v>0</v>
      </c>
      <c r="N170" t="n">
        <v>0</v>
      </c>
      <c r="O170" t="n">
        <v>0</v>
      </c>
      <c r="P170" t="n">
        <v>0</v>
      </c>
      <c r="Q170" t="n">
        <v>0</v>
      </c>
      <c r="R170" s="2" t="inlineStr"/>
    </row>
    <row r="171">
      <c r="A171" t="inlineStr">
        <is>
          <t>A 51976-2025</t>
        </is>
      </c>
      <c r="B171" s="1" t="n">
        <v>45952.56412037037</v>
      </c>
      <c r="C171" s="1" t="n">
        <v>45996</v>
      </c>
      <c r="D171" t="inlineStr">
        <is>
          <t>VÄSTRA GÖTALANDS LÄN</t>
        </is>
      </c>
      <c r="E171" t="inlineStr">
        <is>
          <t>ALE</t>
        </is>
      </c>
      <c r="G171" t="n">
        <v>5.2</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2025-12-05T10:30:09Z</dcterms:created>
  <dcterms:modified xmlns:dcterms="http://purl.org/dc/terms/" xmlns:xsi="http://www.w3.org/2001/XMLSchema-instance" xsi:type="dcterms:W3CDTF">2025-12-05T10:30:09Z</dcterms:modified>
</cp:coreProperties>
</file>