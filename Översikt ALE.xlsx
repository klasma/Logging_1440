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46030</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46030</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46030</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46030</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46030</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46030</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63239-2025</t>
        </is>
      </c>
      <c r="B11" s="1" t="n">
        <v>46010.52755787037</v>
      </c>
      <c r="C11" s="1" t="n">
        <v>46030</v>
      </c>
      <c r="D11" t="inlineStr">
        <is>
          <t>VÄSTRA GÖTALANDS LÄN</t>
        </is>
      </c>
      <c r="E11" t="inlineStr">
        <is>
          <t>ALE</t>
        </is>
      </c>
      <c r="G11" t="n">
        <v>1.4</v>
      </c>
      <c r="H11" t="n">
        <v>4</v>
      </c>
      <c r="I11" t="n">
        <v>4</v>
      </c>
      <c r="J11" t="n">
        <v>3</v>
      </c>
      <c r="K11" t="n">
        <v>0</v>
      </c>
      <c r="L11" t="n">
        <v>0</v>
      </c>
      <c r="M11" t="n">
        <v>0</v>
      </c>
      <c r="N11" t="n">
        <v>0</v>
      </c>
      <c r="O11" t="n">
        <v>3</v>
      </c>
      <c r="P11" t="n">
        <v>0</v>
      </c>
      <c r="Q11" t="n">
        <v>9</v>
      </c>
      <c r="R11" s="2" t="inlineStr">
        <is>
          <t>Brunpudrad nållav
Spillkråka
Talltita
Björksplintborre
Gulnål
Kattfotslav
Stor revmossa
Gröngöling
Tjäder</t>
        </is>
      </c>
      <c r="S11">
        <f>HYPERLINK("https://klasma.github.io/Logging_1440/artfynd/A 63239-2025 artfynd.xlsx", "A 63239-2025")</f>
        <v/>
      </c>
      <c r="T11">
        <f>HYPERLINK("https://klasma.github.io/Logging_1440/kartor/A 63239-2025 karta.png", "A 63239-2025")</f>
        <v/>
      </c>
      <c r="V11">
        <f>HYPERLINK("https://klasma.github.io/Logging_1440/klagomål/A 63239-2025 FSC-klagomål.docx", "A 63239-2025")</f>
        <v/>
      </c>
      <c r="W11">
        <f>HYPERLINK("https://klasma.github.io/Logging_1440/klagomålsmail/A 63239-2025 FSC-klagomål mail.docx", "A 63239-2025")</f>
        <v/>
      </c>
      <c r="X11">
        <f>HYPERLINK("https://klasma.github.io/Logging_1440/tillsyn/A 63239-2025 tillsynsbegäran.docx", "A 63239-2025")</f>
        <v/>
      </c>
      <c r="Y11">
        <f>HYPERLINK("https://klasma.github.io/Logging_1440/tillsynsmail/A 63239-2025 tillsynsbegäran mail.docx", "A 63239-2025")</f>
        <v/>
      </c>
      <c r="Z11">
        <f>HYPERLINK("https://klasma.github.io/Logging_1440/fåglar/A 63239-2025 prioriterade fågelarter.docx", "A 63239-2025")</f>
        <v/>
      </c>
    </row>
    <row r="12" ht="15" customHeight="1">
      <c r="A12" t="inlineStr">
        <is>
          <t>A 43732-2025</t>
        </is>
      </c>
      <c r="B12" s="1" t="n">
        <v>45912.43576388889</v>
      </c>
      <c r="C12" s="1" t="n">
        <v>46030</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51991-2025</t>
        </is>
      </c>
      <c r="B13" s="1" t="n">
        <v>45952.58069444444</v>
      </c>
      <c r="C13" s="1" t="n">
        <v>46030</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37005-2025</t>
        </is>
      </c>
      <c r="B14" s="1" t="n">
        <v>45874.69311342593</v>
      </c>
      <c r="C14" s="1" t="n">
        <v>46030</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46030</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46030</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563-2024</t>
        </is>
      </c>
      <c r="B17" s="1" t="n">
        <v>45299</v>
      </c>
      <c r="C17" s="1" t="n">
        <v>46030</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24162-2025</t>
        </is>
      </c>
      <c r="B18" s="1" t="n">
        <v>45796.66684027778</v>
      </c>
      <c r="C18" s="1" t="n">
        <v>46030</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26491-2024</t>
        </is>
      </c>
      <c r="B19" s="1" t="n">
        <v>45469</v>
      </c>
      <c r="C19" s="1" t="n">
        <v>46030</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46030</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46030</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46030</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46030</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46030</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46030</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46030</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63569-2023</t>
        </is>
      </c>
      <c r="B27" s="1" t="n">
        <v>45275</v>
      </c>
      <c r="C27" s="1" t="n">
        <v>46030</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13380-2025</t>
        </is>
      </c>
      <c r="B28" s="1" t="n">
        <v>45735.6765162037</v>
      </c>
      <c r="C28" s="1" t="n">
        <v>46030</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46030</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46030</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46030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46030</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46030</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58412-2025</t>
        </is>
      </c>
      <c r="B36" s="1" t="n">
        <v>45985.57564814815</v>
      </c>
      <c r="C36" s="1" t="n">
        <v>46030</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13902-2025</t>
        </is>
      </c>
      <c r="B37" s="1" t="n">
        <v>45737.63446759259</v>
      </c>
      <c r="C37" s="1" t="n">
        <v>46030</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62524-2025</t>
        </is>
      </c>
      <c r="B38" s="1" t="n">
        <v>46007.6247337963</v>
      </c>
      <c r="C38" s="1" t="n">
        <v>46030</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12084-2025</t>
        </is>
      </c>
      <c r="B39" s="1" t="n">
        <v>45728.95387731482</v>
      </c>
      <c r="C39" s="1" t="n">
        <v>46030</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46030</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12982-2024</t>
        </is>
      </c>
      <c r="B41" s="1" t="n">
        <v>45385.53569444444</v>
      </c>
      <c r="C41" s="1" t="n">
        <v>46030</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46030</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46030</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46030</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46030</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62855-2021</t>
        </is>
      </c>
      <c r="B46" s="1" t="n">
        <v>44504.58171296296</v>
      </c>
      <c r="C46" s="1" t="n">
        <v>46030</v>
      </c>
      <c r="D46" t="inlineStr">
        <is>
          <t>VÄSTRA GÖTALANDS LÄN</t>
        </is>
      </c>
      <c r="E46" t="inlineStr">
        <is>
          <t>ALE</t>
        </is>
      </c>
      <c r="G46" t="n">
        <v>5.6</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46030</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46030</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46030</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46030</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46030</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46030</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46030</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46030</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46030</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46030</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46030</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46030</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46030</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46030</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46030</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46030</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46030</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46030</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46030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46030</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46030</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49955-2021</t>
        </is>
      </c>
      <c r="B68" s="1" t="n">
        <v>44456</v>
      </c>
      <c r="C68" s="1" t="n">
        <v>46030</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46030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4971-2024</t>
        </is>
      </c>
      <c r="B70" s="1" t="n">
        <v>45329</v>
      </c>
      <c r="C70" s="1" t="n">
        <v>46030</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22946-2025</t>
        </is>
      </c>
      <c r="B71" s="1" t="n">
        <v>45790.48229166667</v>
      </c>
      <c r="C71" s="1" t="n">
        <v>46030</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46030</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37461-2024</t>
        </is>
      </c>
      <c r="B73" s="1" t="n">
        <v>45540.72516203704</v>
      </c>
      <c r="C73" s="1" t="n">
        <v>46030</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1960-2024</t>
        </is>
      </c>
      <c r="B74" s="1" t="n">
        <v>45308.50962962963</v>
      </c>
      <c r="C74" s="1" t="n">
        <v>46030</v>
      </c>
      <c r="D74" t="inlineStr">
        <is>
          <t>VÄSTRA GÖTALANDS LÄN</t>
        </is>
      </c>
      <c r="E74" t="inlineStr">
        <is>
          <t>ALE</t>
        </is>
      </c>
      <c r="G74" t="n">
        <v>1.9</v>
      </c>
      <c r="H74" t="n">
        <v>0</v>
      </c>
      <c r="I74" t="n">
        <v>0</v>
      </c>
      <c r="J74" t="n">
        <v>0</v>
      </c>
      <c r="K74" t="n">
        <v>0</v>
      </c>
      <c r="L74" t="n">
        <v>0</v>
      </c>
      <c r="M74" t="n">
        <v>0</v>
      </c>
      <c r="N74" t="n">
        <v>0</v>
      </c>
      <c r="O74" t="n">
        <v>0</v>
      </c>
      <c r="P74" t="n">
        <v>0</v>
      </c>
      <c r="Q74" t="n">
        <v>0</v>
      </c>
      <c r="R74" s="2" t="inlineStr"/>
    </row>
    <row r="75" ht="15" customHeight="1">
      <c r="A75" t="inlineStr">
        <is>
          <t>A 41607-2022</t>
        </is>
      </c>
      <c r="B75" s="1" t="n">
        <v>44827.46658564815</v>
      </c>
      <c r="C75" s="1" t="n">
        <v>46030</v>
      </c>
      <c r="D75" t="inlineStr">
        <is>
          <t>VÄSTRA GÖTALANDS LÄN</t>
        </is>
      </c>
      <c r="E75" t="inlineStr">
        <is>
          <t>ALE</t>
        </is>
      </c>
      <c r="G75" t="n">
        <v>3.6</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46030</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53476-2023</t>
        </is>
      </c>
      <c r="B77" s="1" t="n">
        <v>45230.33737268519</v>
      </c>
      <c r="C77" s="1" t="n">
        <v>46030</v>
      </c>
      <c r="D77" t="inlineStr">
        <is>
          <t>VÄSTRA GÖTALANDS LÄN</t>
        </is>
      </c>
      <c r="E77" t="inlineStr">
        <is>
          <t>ALE</t>
        </is>
      </c>
      <c r="G77" t="n">
        <v>1.9</v>
      </c>
      <c r="H77" t="n">
        <v>0</v>
      </c>
      <c r="I77" t="n">
        <v>0</v>
      </c>
      <c r="J77" t="n">
        <v>0</v>
      </c>
      <c r="K77" t="n">
        <v>0</v>
      </c>
      <c r="L77" t="n">
        <v>0</v>
      </c>
      <c r="M77" t="n">
        <v>0</v>
      </c>
      <c r="N77" t="n">
        <v>0</v>
      </c>
      <c r="O77" t="n">
        <v>0</v>
      </c>
      <c r="P77" t="n">
        <v>0</v>
      </c>
      <c r="Q77" t="n">
        <v>0</v>
      </c>
      <c r="R77" s="2" t="inlineStr"/>
    </row>
    <row r="78" ht="15" customHeight="1">
      <c r="A78" t="inlineStr">
        <is>
          <t>A 25849-2025</t>
        </is>
      </c>
      <c r="B78" s="1" t="n">
        <v>45804</v>
      </c>
      <c r="C78" s="1" t="n">
        <v>46030</v>
      </c>
      <c r="D78" t="inlineStr">
        <is>
          <t>VÄSTRA GÖTALANDS LÄN</t>
        </is>
      </c>
      <c r="E78" t="inlineStr">
        <is>
          <t>ALE</t>
        </is>
      </c>
      <c r="G78" t="n">
        <v>0.8</v>
      </c>
      <c r="H78" t="n">
        <v>0</v>
      </c>
      <c r="I78" t="n">
        <v>0</v>
      </c>
      <c r="J78" t="n">
        <v>0</v>
      </c>
      <c r="K78" t="n">
        <v>0</v>
      </c>
      <c r="L78" t="n">
        <v>0</v>
      </c>
      <c r="M78" t="n">
        <v>0</v>
      </c>
      <c r="N78" t="n">
        <v>0</v>
      </c>
      <c r="O78" t="n">
        <v>0</v>
      </c>
      <c r="P78" t="n">
        <v>0</v>
      </c>
      <c r="Q78" t="n">
        <v>0</v>
      </c>
      <c r="R78" s="2" t="inlineStr"/>
    </row>
    <row r="79" ht="15" customHeight="1">
      <c r="A79" t="inlineStr">
        <is>
          <t>A 25848-2025</t>
        </is>
      </c>
      <c r="B79" s="1" t="n">
        <v>45804</v>
      </c>
      <c r="C79" s="1" t="n">
        <v>46030</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25840-2025</t>
        </is>
      </c>
      <c r="B80" s="1" t="n">
        <v>45804</v>
      </c>
      <c r="C80" s="1" t="n">
        <v>46030</v>
      </c>
      <c r="D80" t="inlineStr">
        <is>
          <t>VÄSTRA GÖTALANDS LÄN</t>
        </is>
      </c>
      <c r="E80" t="inlineStr">
        <is>
          <t>ALE</t>
        </is>
      </c>
      <c r="G80" t="n">
        <v>3.8</v>
      </c>
      <c r="H80" t="n">
        <v>0</v>
      </c>
      <c r="I80" t="n">
        <v>0</v>
      </c>
      <c r="J80" t="n">
        <v>0</v>
      </c>
      <c r="K80" t="n">
        <v>0</v>
      </c>
      <c r="L80" t="n">
        <v>0</v>
      </c>
      <c r="M80" t="n">
        <v>0</v>
      </c>
      <c r="N80" t="n">
        <v>0</v>
      </c>
      <c r="O80" t="n">
        <v>0</v>
      </c>
      <c r="P80" t="n">
        <v>0</v>
      </c>
      <c r="Q80" t="n">
        <v>0</v>
      </c>
      <c r="R80" s="2" t="inlineStr"/>
    </row>
    <row r="81" ht="15" customHeight="1">
      <c r="A81" t="inlineStr">
        <is>
          <t>A 55405-2021</t>
        </is>
      </c>
      <c r="B81" s="1" t="n">
        <v>44475.53733796296</v>
      </c>
      <c r="C81" s="1" t="n">
        <v>46030</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56905-2025</t>
        </is>
      </c>
      <c r="B82" s="1" t="n">
        <v>45978.57502314815</v>
      </c>
      <c r="C82" s="1" t="n">
        <v>46030</v>
      </c>
      <c r="D82" t="inlineStr">
        <is>
          <t>VÄSTRA GÖTALANDS LÄN</t>
        </is>
      </c>
      <c r="E82" t="inlineStr">
        <is>
          <t>ALE</t>
        </is>
      </c>
      <c r="G82" t="n">
        <v>5.2</v>
      </c>
      <c r="H82" t="n">
        <v>0</v>
      </c>
      <c r="I82" t="n">
        <v>0</v>
      </c>
      <c r="J82" t="n">
        <v>0</v>
      </c>
      <c r="K82" t="n">
        <v>0</v>
      </c>
      <c r="L82" t="n">
        <v>0</v>
      </c>
      <c r="M82" t="n">
        <v>0</v>
      </c>
      <c r="N82" t="n">
        <v>0</v>
      </c>
      <c r="O82" t="n">
        <v>0</v>
      </c>
      <c r="P82" t="n">
        <v>0</v>
      </c>
      <c r="Q82" t="n">
        <v>0</v>
      </c>
      <c r="R82" s="2" t="inlineStr"/>
    </row>
    <row r="83" ht="15" customHeight="1">
      <c r="A83" t="inlineStr">
        <is>
          <t>A 51164-2024</t>
        </is>
      </c>
      <c r="B83" s="1" t="n">
        <v>45603.5830787037</v>
      </c>
      <c r="C83" s="1" t="n">
        <v>46030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46030</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18637-2023</t>
        </is>
      </c>
      <c r="B85" s="1" t="n">
        <v>45043</v>
      </c>
      <c r="C85" s="1" t="n">
        <v>46030</v>
      </c>
      <c r="D85" t="inlineStr">
        <is>
          <t>VÄSTRA GÖTALANDS LÄN</t>
        </is>
      </c>
      <c r="E85" t="inlineStr">
        <is>
          <t>ALE</t>
        </is>
      </c>
      <c r="G85" t="n">
        <v>3.6</v>
      </c>
      <c r="H85" t="n">
        <v>0</v>
      </c>
      <c r="I85" t="n">
        <v>0</v>
      </c>
      <c r="J85" t="n">
        <v>0</v>
      </c>
      <c r="K85" t="n">
        <v>0</v>
      </c>
      <c r="L85" t="n">
        <v>0</v>
      </c>
      <c r="M85" t="n">
        <v>0</v>
      </c>
      <c r="N85" t="n">
        <v>0</v>
      </c>
      <c r="O85" t="n">
        <v>0</v>
      </c>
      <c r="P85" t="n">
        <v>0</v>
      </c>
      <c r="Q85" t="n">
        <v>0</v>
      </c>
      <c r="R85" s="2" t="inlineStr"/>
    </row>
    <row r="86" ht="15" customHeight="1">
      <c r="A86" t="inlineStr">
        <is>
          <t>A 59933-2023</t>
        </is>
      </c>
      <c r="B86" s="1" t="n">
        <v>45257</v>
      </c>
      <c r="C86" s="1" t="n">
        <v>46030</v>
      </c>
      <c r="D86" t="inlineStr">
        <is>
          <t>VÄSTRA GÖTALANDS LÄN</t>
        </is>
      </c>
      <c r="E86" t="inlineStr">
        <is>
          <t>ALE</t>
        </is>
      </c>
      <c r="G86" t="n">
        <v>2.7</v>
      </c>
      <c r="H86" t="n">
        <v>0</v>
      </c>
      <c r="I86" t="n">
        <v>0</v>
      </c>
      <c r="J86" t="n">
        <v>0</v>
      </c>
      <c r="K86" t="n">
        <v>0</v>
      </c>
      <c r="L86" t="n">
        <v>0</v>
      </c>
      <c r="M86" t="n">
        <v>0</v>
      </c>
      <c r="N86" t="n">
        <v>0</v>
      </c>
      <c r="O86" t="n">
        <v>0</v>
      </c>
      <c r="P86" t="n">
        <v>0</v>
      </c>
      <c r="Q86" t="n">
        <v>0</v>
      </c>
      <c r="R86" s="2" t="inlineStr"/>
    </row>
    <row r="87" ht="15" customHeight="1">
      <c r="A87" t="inlineStr">
        <is>
          <t>A 56493-2021</t>
        </is>
      </c>
      <c r="B87" s="1" t="n">
        <v>44480.57173611111</v>
      </c>
      <c r="C87" s="1" t="n">
        <v>46030</v>
      </c>
      <c r="D87" t="inlineStr">
        <is>
          <t>VÄSTRA GÖTALANDS LÄN</t>
        </is>
      </c>
      <c r="E87" t="inlineStr">
        <is>
          <t>ALE</t>
        </is>
      </c>
      <c r="G87" t="n">
        <v>1.7</v>
      </c>
      <c r="H87" t="n">
        <v>0</v>
      </c>
      <c r="I87" t="n">
        <v>0</v>
      </c>
      <c r="J87" t="n">
        <v>0</v>
      </c>
      <c r="K87" t="n">
        <v>0</v>
      </c>
      <c r="L87" t="n">
        <v>0</v>
      </c>
      <c r="M87" t="n">
        <v>0</v>
      </c>
      <c r="N87" t="n">
        <v>0</v>
      </c>
      <c r="O87" t="n">
        <v>0</v>
      </c>
      <c r="P87" t="n">
        <v>0</v>
      </c>
      <c r="Q87" t="n">
        <v>0</v>
      </c>
      <c r="R87" s="2" t="inlineStr"/>
    </row>
    <row r="88" ht="15" customHeight="1">
      <c r="A88" t="inlineStr">
        <is>
          <t>A 8659-2025</t>
        </is>
      </c>
      <c r="B88" s="1" t="n">
        <v>45712</v>
      </c>
      <c r="C88" s="1" t="n">
        <v>46030</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24642-2022</t>
        </is>
      </c>
      <c r="B89" s="1" t="n">
        <v>44727.59578703704</v>
      </c>
      <c r="C89" s="1" t="n">
        <v>46030</v>
      </c>
      <c r="D89" t="inlineStr">
        <is>
          <t>VÄSTRA GÖTALANDS LÄN</t>
        </is>
      </c>
      <c r="E89" t="inlineStr">
        <is>
          <t>ALE</t>
        </is>
      </c>
      <c r="G89" t="n">
        <v>10</v>
      </c>
      <c r="H89" t="n">
        <v>0</v>
      </c>
      <c r="I89" t="n">
        <v>0</v>
      </c>
      <c r="J89" t="n">
        <v>0</v>
      </c>
      <c r="K89" t="n">
        <v>0</v>
      </c>
      <c r="L89" t="n">
        <v>0</v>
      </c>
      <c r="M89" t="n">
        <v>0</v>
      </c>
      <c r="N89" t="n">
        <v>0</v>
      </c>
      <c r="O89" t="n">
        <v>0</v>
      </c>
      <c r="P89" t="n">
        <v>0</v>
      </c>
      <c r="Q89" t="n">
        <v>0</v>
      </c>
      <c r="R89" s="2" t="inlineStr"/>
    </row>
    <row r="90" ht="15" customHeight="1">
      <c r="A90" t="inlineStr">
        <is>
          <t>A 5344-2024</t>
        </is>
      </c>
      <c r="B90" s="1" t="n">
        <v>45331</v>
      </c>
      <c r="C90" s="1" t="n">
        <v>46030</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32762-2023</t>
        </is>
      </c>
      <c r="B91" s="1" t="n">
        <v>45123.46649305556</v>
      </c>
      <c r="C91" s="1" t="n">
        <v>46030</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29373-2025</t>
        </is>
      </c>
      <c r="B92" s="1" t="n">
        <v>45824.579375</v>
      </c>
      <c r="C92" s="1" t="n">
        <v>46030</v>
      </c>
      <c r="D92" t="inlineStr">
        <is>
          <t>VÄSTRA GÖTALANDS LÄN</t>
        </is>
      </c>
      <c r="E92" t="inlineStr">
        <is>
          <t>ALE</t>
        </is>
      </c>
      <c r="G92" t="n">
        <v>4.6</v>
      </c>
      <c r="H92" t="n">
        <v>0</v>
      </c>
      <c r="I92" t="n">
        <v>0</v>
      </c>
      <c r="J92" t="n">
        <v>0</v>
      </c>
      <c r="K92" t="n">
        <v>0</v>
      </c>
      <c r="L92" t="n">
        <v>0</v>
      </c>
      <c r="M92" t="n">
        <v>0</v>
      </c>
      <c r="N92" t="n">
        <v>0</v>
      </c>
      <c r="O92" t="n">
        <v>0</v>
      </c>
      <c r="P92" t="n">
        <v>0</v>
      </c>
      <c r="Q92" t="n">
        <v>0</v>
      </c>
      <c r="R92" s="2" t="inlineStr"/>
    </row>
    <row r="93" ht="15" customHeight="1">
      <c r="A93" t="inlineStr">
        <is>
          <t>A 13382-2025</t>
        </is>
      </c>
      <c r="B93" s="1" t="n">
        <v>45735.67928240741</v>
      </c>
      <c r="C93" s="1" t="n">
        <v>46030</v>
      </c>
      <c r="D93" t="inlineStr">
        <is>
          <t>VÄSTRA GÖTALANDS LÄN</t>
        </is>
      </c>
      <c r="E93" t="inlineStr">
        <is>
          <t>ALE</t>
        </is>
      </c>
      <c r="G93" t="n">
        <v>0.9</v>
      </c>
      <c r="H93" t="n">
        <v>0</v>
      </c>
      <c r="I93" t="n">
        <v>0</v>
      </c>
      <c r="J93" t="n">
        <v>0</v>
      </c>
      <c r="K93" t="n">
        <v>0</v>
      </c>
      <c r="L93" t="n">
        <v>0</v>
      </c>
      <c r="M93" t="n">
        <v>0</v>
      </c>
      <c r="N93" t="n">
        <v>0</v>
      </c>
      <c r="O93" t="n">
        <v>0</v>
      </c>
      <c r="P93" t="n">
        <v>0</v>
      </c>
      <c r="Q93" t="n">
        <v>0</v>
      </c>
      <c r="R93" s="2" t="inlineStr"/>
    </row>
    <row r="94" ht="15" customHeight="1">
      <c r="A94" t="inlineStr">
        <is>
          <t>A 58414-2025</t>
        </is>
      </c>
      <c r="B94" s="1" t="n">
        <v>45985.57778935185</v>
      </c>
      <c r="C94" s="1" t="n">
        <v>46030</v>
      </c>
      <c r="D94" t="inlineStr">
        <is>
          <t>VÄSTRA GÖTALANDS LÄN</t>
        </is>
      </c>
      <c r="E94" t="inlineStr">
        <is>
          <t>ALE</t>
        </is>
      </c>
      <c r="G94" t="n">
        <v>4.3</v>
      </c>
      <c r="H94" t="n">
        <v>0</v>
      </c>
      <c r="I94" t="n">
        <v>0</v>
      </c>
      <c r="J94" t="n">
        <v>0</v>
      </c>
      <c r="K94" t="n">
        <v>0</v>
      </c>
      <c r="L94" t="n">
        <v>0</v>
      </c>
      <c r="M94" t="n">
        <v>0</v>
      </c>
      <c r="N94" t="n">
        <v>0</v>
      </c>
      <c r="O94" t="n">
        <v>0</v>
      </c>
      <c r="P94" t="n">
        <v>0</v>
      </c>
      <c r="Q94" t="n">
        <v>0</v>
      </c>
      <c r="R94" s="2" t="inlineStr"/>
    </row>
    <row r="95" ht="15" customHeight="1">
      <c r="A95" t="inlineStr">
        <is>
          <t>A 46226-2025</t>
        </is>
      </c>
      <c r="B95" s="1" t="n">
        <v>45924</v>
      </c>
      <c r="C95" s="1" t="n">
        <v>46030</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13903-2025</t>
        </is>
      </c>
      <c r="B96" s="1" t="n">
        <v>45737.63481481482</v>
      </c>
      <c r="C96" s="1" t="n">
        <v>46030</v>
      </c>
      <c r="D96" t="inlineStr">
        <is>
          <t>VÄSTRA GÖTALANDS LÄN</t>
        </is>
      </c>
      <c r="E96" t="inlineStr">
        <is>
          <t>ALE</t>
        </is>
      </c>
      <c r="G96" t="n">
        <v>0.5</v>
      </c>
      <c r="H96" t="n">
        <v>0</v>
      </c>
      <c r="I96" t="n">
        <v>0</v>
      </c>
      <c r="J96" t="n">
        <v>0</v>
      </c>
      <c r="K96" t="n">
        <v>0</v>
      </c>
      <c r="L96" t="n">
        <v>0</v>
      </c>
      <c r="M96" t="n">
        <v>0</v>
      </c>
      <c r="N96" t="n">
        <v>0</v>
      </c>
      <c r="O96" t="n">
        <v>0</v>
      </c>
      <c r="P96" t="n">
        <v>0</v>
      </c>
      <c r="Q96" t="n">
        <v>0</v>
      </c>
      <c r="R96" s="2" t="inlineStr"/>
    </row>
    <row r="97" ht="15" customHeight="1">
      <c r="A97" t="inlineStr">
        <is>
          <t>A 46227-2025</t>
        </is>
      </c>
      <c r="B97" s="1" t="n">
        <v>45924.90386574074</v>
      </c>
      <c r="C97" s="1" t="n">
        <v>46030</v>
      </c>
      <c r="D97" t="inlineStr">
        <is>
          <t>VÄSTRA GÖTALANDS LÄN</t>
        </is>
      </c>
      <c r="E97" t="inlineStr">
        <is>
          <t>ALE</t>
        </is>
      </c>
      <c r="G97" t="n">
        <v>0.3</v>
      </c>
      <c r="H97" t="n">
        <v>0</v>
      </c>
      <c r="I97" t="n">
        <v>0</v>
      </c>
      <c r="J97" t="n">
        <v>0</v>
      </c>
      <c r="K97" t="n">
        <v>0</v>
      </c>
      <c r="L97" t="n">
        <v>0</v>
      </c>
      <c r="M97" t="n">
        <v>0</v>
      </c>
      <c r="N97" t="n">
        <v>0</v>
      </c>
      <c r="O97" t="n">
        <v>0</v>
      </c>
      <c r="P97" t="n">
        <v>0</v>
      </c>
      <c r="Q97" t="n">
        <v>0</v>
      </c>
      <c r="R97" s="2" t="inlineStr"/>
    </row>
    <row r="98" ht="15" customHeight="1">
      <c r="A98" t="inlineStr">
        <is>
          <t>A 51564-2023</t>
        </is>
      </c>
      <c r="B98" s="1" t="n">
        <v>45222</v>
      </c>
      <c r="C98" s="1" t="n">
        <v>46030</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31407-2025</t>
        </is>
      </c>
      <c r="B99" s="1" t="n">
        <v>45833</v>
      </c>
      <c r="C99" s="1" t="n">
        <v>46030</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31409-2025</t>
        </is>
      </c>
      <c r="B100" s="1" t="n">
        <v>45833</v>
      </c>
      <c r="C100" s="1" t="n">
        <v>46030</v>
      </c>
      <c r="D100" t="inlineStr">
        <is>
          <t>VÄSTRA GÖTALANDS LÄN</t>
        </is>
      </c>
      <c r="E100" t="inlineStr">
        <is>
          <t>ALE</t>
        </is>
      </c>
      <c r="G100" t="n">
        <v>0.8</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46030</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31533-2025</t>
        </is>
      </c>
      <c r="B102" s="1" t="n">
        <v>45833</v>
      </c>
      <c r="C102" s="1" t="n">
        <v>46030</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47592-2025</t>
        </is>
      </c>
      <c r="B103" s="1" t="n">
        <v>45931.44649305556</v>
      </c>
      <c r="C103" s="1" t="n">
        <v>46030</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47330-2025</t>
        </is>
      </c>
      <c r="B104" s="1" t="n">
        <v>45930.56170138889</v>
      </c>
      <c r="C104" s="1" t="n">
        <v>46030</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47593-2025</t>
        </is>
      </c>
      <c r="B105" s="1" t="n">
        <v>45931.4480787037</v>
      </c>
      <c r="C105" s="1" t="n">
        <v>46030</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47728-2025</t>
        </is>
      </c>
      <c r="B106" s="1" t="n">
        <v>45931.63186342592</v>
      </c>
      <c r="C106" s="1" t="n">
        <v>46030</v>
      </c>
      <c r="D106" t="inlineStr">
        <is>
          <t>VÄSTRA GÖTALANDS LÄN</t>
        </is>
      </c>
      <c r="E106" t="inlineStr">
        <is>
          <t>ALE</t>
        </is>
      </c>
      <c r="G106" t="n">
        <v>1.1</v>
      </c>
      <c r="H106" t="n">
        <v>0</v>
      </c>
      <c r="I106" t="n">
        <v>0</v>
      </c>
      <c r="J106" t="n">
        <v>0</v>
      </c>
      <c r="K106" t="n">
        <v>0</v>
      </c>
      <c r="L106" t="n">
        <v>0</v>
      </c>
      <c r="M106" t="n">
        <v>0</v>
      </c>
      <c r="N106" t="n">
        <v>0</v>
      </c>
      <c r="O106" t="n">
        <v>0</v>
      </c>
      <c r="P106" t="n">
        <v>0</v>
      </c>
      <c r="Q106" t="n">
        <v>0</v>
      </c>
      <c r="R106" s="2" t="inlineStr"/>
    </row>
    <row r="107" ht="15" customHeight="1">
      <c r="A107" t="inlineStr">
        <is>
          <t>A 1566-2022</t>
        </is>
      </c>
      <c r="B107" s="1" t="n">
        <v>44573</v>
      </c>
      <c r="C107" s="1" t="n">
        <v>46030</v>
      </c>
      <c r="D107" t="inlineStr">
        <is>
          <t>VÄSTRA GÖTALANDS LÄN</t>
        </is>
      </c>
      <c r="E107" t="inlineStr">
        <is>
          <t>ALE</t>
        </is>
      </c>
      <c r="G107" t="n">
        <v>3</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46030</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57473-2022</t>
        </is>
      </c>
      <c r="B109" s="1" t="n">
        <v>44896</v>
      </c>
      <c r="C109" s="1" t="n">
        <v>46030</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48213-2025</t>
        </is>
      </c>
      <c r="B110" s="1" t="n">
        <v>45933</v>
      </c>
      <c r="C110" s="1" t="n">
        <v>46030</v>
      </c>
      <c r="D110" t="inlineStr">
        <is>
          <t>VÄSTRA GÖTALANDS LÄN</t>
        </is>
      </c>
      <c r="E110" t="inlineStr">
        <is>
          <t>ALE</t>
        </is>
      </c>
      <c r="G110" t="n">
        <v>3.3</v>
      </c>
      <c r="H110" t="n">
        <v>0</v>
      </c>
      <c r="I110" t="n">
        <v>0</v>
      </c>
      <c r="J110" t="n">
        <v>0</v>
      </c>
      <c r="K110" t="n">
        <v>0</v>
      </c>
      <c r="L110" t="n">
        <v>0</v>
      </c>
      <c r="M110" t="n">
        <v>0</v>
      </c>
      <c r="N110" t="n">
        <v>0</v>
      </c>
      <c r="O110" t="n">
        <v>0</v>
      </c>
      <c r="P110" t="n">
        <v>0</v>
      </c>
      <c r="Q110" t="n">
        <v>0</v>
      </c>
      <c r="R110" s="2" t="inlineStr"/>
    </row>
    <row r="111" ht="15" customHeight="1">
      <c r="A111" t="inlineStr">
        <is>
          <t>A 48218-2025</t>
        </is>
      </c>
      <c r="B111" s="1" t="n">
        <v>45933</v>
      </c>
      <c r="C111" s="1" t="n">
        <v>46030</v>
      </c>
      <c r="D111" t="inlineStr">
        <is>
          <t>VÄSTRA GÖTALANDS LÄN</t>
        </is>
      </c>
      <c r="E111" t="inlineStr">
        <is>
          <t>ALE</t>
        </is>
      </c>
      <c r="G111" t="n">
        <v>1.4</v>
      </c>
      <c r="H111" t="n">
        <v>0</v>
      </c>
      <c r="I111" t="n">
        <v>0</v>
      </c>
      <c r="J111" t="n">
        <v>0</v>
      </c>
      <c r="K111" t="n">
        <v>0</v>
      </c>
      <c r="L111" t="n">
        <v>0</v>
      </c>
      <c r="M111" t="n">
        <v>0</v>
      </c>
      <c r="N111" t="n">
        <v>0</v>
      </c>
      <c r="O111" t="n">
        <v>0</v>
      </c>
      <c r="P111" t="n">
        <v>0</v>
      </c>
      <c r="Q111" t="n">
        <v>0</v>
      </c>
      <c r="R111" s="2" t="inlineStr"/>
    </row>
    <row r="112" ht="15" customHeight="1">
      <c r="A112" t="inlineStr">
        <is>
          <t>A 26157-2023</t>
        </is>
      </c>
      <c r="B112" s="1" t="n">
        <v>45091.50479166667</v>
      </c>
      <c r="C112" s="1" t="n">
        <v>46030</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50189-2025</t>
        </is>
      </c>
      <c r="B113" s="1" t="n">
        <v>45943.63476851852</v>
      </c>
      <c r="C113" s="1" t="n">
        <v>46030</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47087-2023</t>
        </is>
      </c>
      <c r="B114" s="1" t="n">
        <v>45196</v>
      </c>
      <c r="C114" s="1" t="n">
        <v>46030</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59409-2025</t>
        </is>
      </c>
      <c r="B115" s="1" t="n">
        <v>45989.49545138889</v>
      </c>
      <c r="C115" s="1" t="n">
        <v>46030</v>
      </c>
      <c r="D115" t="inlineStr">
        <is>
          <t>VÄSTRA GÖTALANDS LÄN</t>
        </is>
      </c>
      <c r="E115" t="inlineStr">
        <is>
          <t>ALE</t>
        </is>
      </c>
      <c r="G115" t="n">
        <v>0.3</v>
      </c>
      <c r="H115" t="n">
        <v>0</v>
      </c>
      <c r="I115" t="n">
        <v>0</v>
      </c>
      <c r="J115" t="n">
        <v>0</v>
      </c>
      <c r="K115" t="n">
        <v>0</v>
      </c>
      <c r="L115" t="n">
        <v>0</v>
      </c>
      <c r="M115" t="n">
        <v>0</v>
      </c>
      <c r="N115" t="n">
        <v>0</v>
      </c>
      <c r="O115" t="n">
        <v>0</v>
      </c>
      <c r="P115" t="n">
        <v>0</v>
      </c>
      <c r="Q115" t="n">
        <v>0</v>
      </c>
      <c r="R115" s="2" t="inlineStr"/>
    </row>
    <row r="116" ht="15" customHeight="1">
      <c r="A116" t="inlineStr">
        <is>
          <t>A 50973-2025</t>
        </is>
      </c>
      <c r="B116" s="1" t="n">
        <v>45947.31263888889</v>
      </c>
      <c r="C116" s="1" t="n">
        <v>46030</v>
      </c>
      <c r="D116" t="inlineStr">
        <is>
          <t>VÄSTRA GÖTALANDS LÄN</t>
        </is>
      </c>
      <c r="E116" t="inlineStr">
        <is>
          <t>ALE</t>
        </is>
      </c>
      <c r="G116" t="n">
        <v>12</v>
      </c>
      <c r="H116" t="n">
        <v>0</v>
      </c>
      <c r="I116" t="n">
        <v>0</v>
      </c>
      <c r="J116" t="n">
        <v>0</v>
      </c>
      <c r="K116" t="n">
        <v>0</v>
      </c>
      <c r="L116" t="n">
        <v>0</v>
      </c>
      <c r="M116" t="n">
        <v>0</v>
      </c>
      <c r="N116" t="n">
        <v>0</v>
      </c>
      <c r="O116" t="n">
        <v>0</v>
      </c>
      <c r="P116" t="n">
        <v>0</v>
      </c>
      <c r="Q116" t="n">
        <v>0</v>
      </c>
      <c r="R116" s="2" t="inlineStr"/>
    </row>
    <row r="117" ht="15" customHeight="1">
      <c r="A117" t="inlineStr">
        <is>
          <t>A 27314-2021</t>
        </is>
      </c>
      <c r="B117" s="1" t="n">
        <v>44351.36537037037</v>
      </c>
      <c r="C117" s="1" t="n">
        <v>46030</v>
      </c>
      <c r="D117" t="inlineStr">
        <is>
          <t>VÄSTRA GÖTALANDS LÄN</t>
        </is>
      </c>
      <c r="E117" t="inlineStr">
        <is>
          <t>ALE</t>
        </is>
      </c>
      <c r="G117" t="n">
        <v>11.3</v>
      </c>
      <c r="H117" t="n">
        <v>0</v>
      </c>
      <c r="I117" t="n">
        <v>0</v>
      </c>
      <c r="J117" t="n">
        <v>0</v>
      </c>
      <c r="K117" t="n">
        <v>0</v>
      </c>
      <c r="L117" t="n">
        <v>0</v>
      </c>
      <c r="M117" t="n">
        <v>0</v>
      </c>
      <c r="N117" t="n">
        <v>0</v>
      </c>
      <c r="O117" t="n">
        <v>0</v>
      </c>
      <c r="P117" t="n">
        <v>0</v>
      </c>
      <c r="Q117" t="n">
        <v>0</v>
      </c>
      <c r="R117" s="2" t="inlineStr"/>
    </row>
    <row r="118" ht="15" customHeight="1">
      <c r="A118" t="inlineStr">
        <is>
          <t>A 60287-2025</t>
        </is>
      </c>
      <c r="B118" s="1" t="n">
        <v>45994.64711805555</v>
      </c>
      <c r="C118" s="1" t="n">
        <v>46030</v>
      </c>
      <c r="D118" t="inlineStr">
        <is>
          <t>VÄSTRA GÖTALANDS LÄN</t>
        </is>
      </c>
      <c r="E118" t="inlineStr">
        <is>
          <t>ALE</t>
        </is>
      </c>
      <c r="G118" t="n">
        <v>1.2</v>
      </c>
      <c r="H118" t="n">
        <v>0</v>
      </c>
      <c r="I118" t="n">
        <v>0</v>
      </c>
      <c r="J118" t="n">
        <v>0</v>
      </c>
      <c r="K118" t="n">
        <v>0</v>
      </c>
      <c r="L118" t="n">
        <v>0</v>
      </c>
      <c r="M118" t="n">
        <v>0</v>
      </c>
      <c r="N118" t="n">
        <v>0</v>
      </c>
      <c r="O118" t="n">
        <v>0</v>
      </c>
      <c r="P118" t="n">
        <v>0</v>
      </c>
      <c r="Q118" t="n">
        <v>0</v>
      </c>
      <c r="R118" s="2" t="inlineStr"/>
    </row>
    <row r="119" ht="15" customHeight="1">
      <c r="A119" t="inlineStr">
        <is>
          <t>A 5875-2023</t>
        </is>
      </c>
      <c r="B119" s="1" t="n">
        <v>44963</v>
      </c>
      <c r="C119" s="1" t="n">
        <v>46030</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51976-2025</t>
        </is>
      </c>
      <c r="B120" s="1" t="n">
        <v>45952.56412037037</v>
      </c>
      <c r="C120" s="1" t="n">
        <v>46030</v>
      </c>
      <c r="D120" t="inlineStr">
        <is>
          <t>VÄSTRA GÖTALANDS LÄN</t>
        </is>
      </c>
      <c r="E120" t="inlineStr">
        <is>
          <t>ALE</t>
        </is>
      </c>
      <c r="G120" t="n">
        <v>5.2</v>
      </c>
      <c r="H120" t="n">
        <v>0</v>
      </c>
      <c r="I120" t="n">
        <v>0</v>
      </c>
      <c r="J120" t="n">
        <v>0</v>
      </c>
      <c r="K120" t="n">
        <v>0</v>
      </c>
      <c r="L120" t="n">
        <v>0</v>
      </c>
      <c r="M120" t="n">
        <v>0</v>
      </c>
      <c r="N120" t="n">
        <v>0</v>
      </c>
      <c r="O120" t="n">
        <v>0</v>
      </c>
      <c r="P120" t="n">
        <v>0</v>
      </c>
      <c r="Q120" t="n">
        <v>0</v>
      </c>
      <c r="R120" s="2" t="inlineStr"/>
    </row>
    <row r="121" ht="15" customHeight="1">
      <c r="A121" t="inlineStr">
        <is>
          <t>A 64199-2021</t>
        </is>
      </c>
      <c r="B121" s="1" t="n">
        <v>44510</v>
      </c>
      <c r="C121" s="1" t="n">
        <v>46030</v>
      </c>
      <c r="D121" t="inlineStr">
        <is>
          <t>VÄSTRA GÖTALANDS LÄN</t>
        </is>
      </c>
      <c r="E121" t="inlineStr">
        <is>
          <t>ALE</t>
        </is>
      </c>
      <c r="G121" t="n">
        <v>5.7</v>
      </c>
      <c r="H121" t="n">
        <v>0</v>
      </c>
      <c r="I121" t="n">
        <v>0</v>
      </c>
      <c r="J121" t="n">
        <v>0</v>
      </c>
      <c r="K121" t="n">
        <v>0</v>
      </c>
      <c r="L121" t="n">
        <v>0</v>
      </c>
      <c r="M121" t="n">
        <v>0</v>
      </c>
      <c r="N121" t="n">
        <v>0</v>
      </c>
      <c r="O121" t="n">
        <v>0</v>
      </c>
      <c r="P121" t="n">
        <v>0</v>
      </c>
      <c r="Q121" t="n">
        <v>0</v>
      </c>
      <c r="R121" s="2" t="inlineStr"/>
    </row>
    <row r="122" ht="15" customHeight="1">
      <c r="A122" t="inlineStr">
        <is>
          <t>A 52423-2025</t>
        </is>
      </c>
      <c r="B122" s="1" t="n">
        <v>45954.37650462963</v>
      </c>
      <c r="C122" s="1" t="n">
        <v>46030</v>
      </c>
      <c r="D122" t="inlineStr">
        <is>
          <t>VÄSTRA GÖTALANDS LÄN</t>
        </is>
      </c>
      <c r="E122" t="inlineStr">
        <is>
          <t>ALE</t>
        </is>
      </c>
      <c r="G122" t="n">
        <v>4.1</v>
      </c>
      <c r="H122" t="n">
        <v>0</v>
      </c>
      <c r="I122" t="n">
        <v>0</v>
      </c>
      <c r="J122" t="n">
        <v>0</v>
      </c>
      <c r="K122" t="n">
        <v>0</v>
      </c>
      <c r="L122" t="n">
        <v>0</v>
      </c>
      <c r="M122" t="n">
        <v>0</v>
      </c>
      <c r="N122" t="n">
        <v>0</v>
      </c>
      <c r="O122" t="n">
        <v>0</v>
      </c>
      <c r="P122" t="n">
        <v>0</v>
      </c>
      <c r="Q122" t="n">
        <v>0</v>
      </c>
      <c r="R122" s="2" t="inlineStr"/>
    </row>
    <row r="123" ht="15" customHeight="1">
      <c r="A123" t="inlineStr">
        <is>
          <t>A 52391-2025</t>
        </is>
      </c>
      <c r="B123" s="1" t="n">
        <v>45954.34305555555</v>
      </c>
      <c r="C123" s="1" t="n">
        <v>46030</v>
      </c>
      <c r="D123" t="inlineStr">
        <is>
          <t>VÄSTRA GÖTALANDS LÄN</t>
        </is>
      </c>
      <c r="E123" t="inlineStr">
        <is>
          <t>ALE</t>
        </is>
      </c>
      <c r="G123" t="n">
        <v>10.6</v>
      </c>
      <c r="H123" t="n">
        <v>0</v>
      </c>
      <c r="I123" t="n">
        <v>0</v>
      </c>
      <c r="J123" t="n">
        <v>0</v>
      </c>
      <c r="K123" t="n">
        <v>0</v>
      </c>
      <c r="L123" t="n">
        <v>0</v>
      </c>
      <c r="M123" t="n">
        <v>0</v>
      </c>
      <c r="N123" t="n">
        <v>0</v>
      </c>
      <c r="O123" t="n">
        <v>0</v>
      </c>
      <c r="P123" t="n">
        <v>0</v>
      </c>
      <c r="Q123" t="n">
        <v>0</v>
      </c>
      <c r="R123" s="2" t="inlineStr"/>
    </row>
    <row r="124" ht="15" customHeight="1">
      <c r="A124" t="inlineStr">
        <is>
          <t>A 67160-2021</t>
        </is>
      </c>
      <c r="B124" s="1" t="n">
        <v>44523</v>
      </c>
      <c r="C124" s="1" t="n">
        <v>46030</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61819-2025</t>
        </is>
      </c>
      <c r="B125" s="1" t="n">
        <v>46003.3241087963</v>
      </c>
      <c r="C125" s="1" t="n">
        <v>46030</v>
      </c>
      <c r="D125" t="inlineStr">
        <is>
          <t>VÄSTRA GÖTALANDS LÄN</t>
        </is>
      </c>
      <c r="E125" t="inlineStr">
        <is>
          <t>ALE</t>
        </is>
      </c>
      <c r="G125" t="n">
        <v>5.1</v>
      </c>
      <c r="H125" t="n">
        <v>0</v>
      </c>
      <c r="I125" t="n">
        <v>0</v>
      </c>
      <c r="J125" t="n">
        <v>0</v>
      </c>
      <c r="K125" t="n">
        <v>0</v>
      </c>
      <c r="L125" t="n">
        <v>0</v>
      </c>
      <c r="M125" t="n">
        <v>0</v>
      </c>
      <c r="N125" t="n">
        <v>0</v>
      </c>
      <c r="O125" t="n">
        <v>0</v>
      </c>
      <c r="P125" t="n">
        <v>0</v>
      </c>
      <c r="Q125" t="n">
        <v>0</v>
      </c>
      <c r="R125" s="2" t="inlineStr"/>
    </row>
    <row r="126" ht="15" customHeight="1">
      <c r="A126" t="inlineStr">
        <is>
          <t>A 61771-2025</t>
        </is>
      </c>
      <c r="B126" s="1" t="n">
        <v>46002.6478587963</v>
      </c>
      <c r="C126" s="1" t="n">
        <v>46030</v>
      </c>
      <c r="D126" t="inlineStr">
        <is>
          <t>VÄSTRA GÖTALANDS LÄN</t>
        </is>
      </c>
      <c r="E126" t="inlineStr">
        <is>
          <t>ALE</t>
        </is>
      </c>
      <c r="G126" t="n">
        <v>3.9</v>
      </c>
      <c r="H126" t="n">
        <v>0</v>
      </c>
      <c r="I126" t="n">
        <v>0</v>
      </c>
      <c r="J126" t="n">
        <v>0</v>
      </c>
      <c r="K126" t="n">
        <v>0</v>
      </c>
      <c r="L126" t="n">
        <v>0</v>
      </c>
      <c r="M126" t="n">
        <v>0</v>
      </c>
      <c r="N126" t="n">
        <v>0</v>
      </c>
      <c r="O126" t="n">
        <v>0</v>
      </c>
      <c r="P126" t="n">
        <v>0</v>
      </c>
      <c r="Q126" t="n">
        <v>0</v>
      </c>
      <c r="R126" s="2" t="inlineStr"/>
    </row>
    <row r="127" ht="15" customHeight="1">
      <c r="A127" t="inlineStr">
        <is>
          <t>A 61744-2025</t>
        </is>
      </c>
      <c r="B127" s="1" t="n">
        <v>46002.60298611111</v>
      </c>
      <c r="C127" s="1" t="n">
        <v>46030</v>
      </c>
      <c r="D127" t="inlineStr">
        <is>
          <t>VÄSTRA GÖTALANDS LÄN</t>
        </is>
      </c>
      <c r="E127" t="inlineStr">
        <is>
          <t>ALE</t>
        </is>
      </c>
      <c r="G127" t="n">
        <v>3.1</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44585.72818287037</v>
      </c>
      <c r="C128" s="1" t="n">
        <v>46030</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65226-2021</t>
        </is>
      </c>
      <c r="B129" s="1" t="n">
        <v>44515</v>
      </c>
      <c r="C129" s="1" t="n">
        <v>46030</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62828-2025</t>
        </is>
      </c>
      <c r="B130" s="1" t="n">
        <v>46008.66553240741</v>
      </c>
      <c r="C130" s="1" t="n">
        <v>46030</v>
      </c>
      <c r="D130" t="inlineStr">
        <is>
          <t>VÄSTRA GÖTALANDS LÄN</t>
        </is>
      </c>
      <c r="E130" t="inlineStr">
        <is>
          <t>ALE</t>
        </is>
      </c>
      <c r="G130" t="n">
        <v>2.6</v>
      </c>
      <c r="H130" t="n">
        <v>0</v>
      </c>
      <c r="I130" t="n">
        <v>0</v>
      </c>
      <c r="J130" t="n">
        <v>0</v>
      </c>
      <c r="K130" t="n">
        <v>0</v>
      </c>
      <c r="L130" t="n">
        <v>0</v>
      </c>
      <c r="M130" t="n">
        <v>0</v>
      </c>
      <c r="N130" t="n">
        <v>0</v>
      </c>
      <c r="O130" t="n">
        <v>0</v>
      </c>
      <c r="P130" t="n">
        <v>0</v>
      </c>
      <c r="Q130" t="n">
        <v>0</v>
      </c>
      <c r="R130" s="2" t="inlineStr"/>
    </row>
    <row r="131" ht="15" customHeight="1">
      <c r="A131" t="inlineStr">
        <is>
          <t>A 18999-2021</t>
        </is>
      </c>
      <c r="B131" s="1" t="n">
        <v>44308</v>
      </c>
      <c r="C131" s="1" t="n">
        <v>46030</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17044-2025</t>
        </is>
      </c>
      <c r="B132" s="1" t="n">
        <v>45755.58891203703</v>
      </c>
      <c r="C132" s="1" t="n">
        <v>46030</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46030</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46030</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46030</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200-2022</t>
        </is>
      </c>
      <c r="B136" s="1" t="n">
        <v>44564</v>
      </c>
      <c r="C136" s="1" t="n">
        <v>46030</v>
      </c>
      <c r="D136" t="inlineStr">
        <is>
          <t>VÄSTRA GÖTALANDS LÄN</t>
        </is>
      </c>
      <c r="E136" t="inlineStr">
        <is>
          <t>ALE</t>
        </is>
      </c>
      <c r="G136" t="n">
        <v>6.8</v>
      </c>
      <c r="H136" t="n">
        <v>0</v>
      </c>
      <c r="I136" t="n">
        <v>0</v>
      </c>
      <c r="J136" t="n">
        <v>0</v>
      </c>
      <c r="K136" t="n">
        <v>0</v>
      </c>
      <c r="L136" t="n">
        <v>0</v>
      </c>
      <c r="M136" t="n">
        <v>0</v>
      </c>
      <c r="N136" t="n">
        <v>0</v>
      </c>
      <c r="O136" t="n">
        <v>0</v>
      </c>
      <c r="P136" t="n">
        <v>0</v>
      </c>
      <c r="Q136" t="n">
        <v>0</v>
      </c>
      <c r="R136" s="2" t="inlineStr"/>
    </row>
    <row r="137" ht="15" customHeight="1">
      <c r="A137" t="inlineStr">
        <is>
          <t>A 15582-2025</t>
        </is>
      </c>
      <c r="B137" s="1" t="n">
        <v>45747.81394675926</v>
      </c>
      <c r="C137" s="1" t="n">
        <v>46030</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7892-2024</t>
        </is>
      </c>
      <c r="B138" s="1" t="n">
        <v>45350.40921296296</v>
      </c>
      <c r="C138" s="1" t="n">
        <v>46030</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6947-2024</t>
        </is>
      </c>
      <c r="B139" s="1" t="n">
        <v>45343</v>
      </c>
      <c r="C139" s="1" t="n">
        <v>46030</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4444-2024</t>
        </is>
      </c>
      <c r="B140" s="1" t="n">
        <v>45327</v>
      </c>
      <c r="C140" s="1" t="n">
        <v>46030</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72801-2021</t>
        </is>
      </c>
      <c r="B141" s="1" t="n">
        <v>44546</v>
      </c>
      <c r="C141" s="1" t="n">
        <v>46030</v>
      </c>
      <c r="D141" t="inlineStr">
        <is>
          <t>VÄSTRA GÖTALANDS LÄN</t>
        </is>
      </c>
      <c r="E141" t="inlineStr">
        <is>
          <t>ALE</t>
        </is>
      </c>
      <c r="F141" t="inlineStr">
        <is>
          <t>Naturvårdsverket</t>
        </is>
      </c>
      <c r="G141" t="n">
        <v>1.4</v>
      </c>
      <c r="H141" t="n">
        <v>0</v>
      </c>
      <c r="I141" t="n">
        <v>0</v>
      </c>
      <c r="J141" t="n">
        <v>0</v>
      </c>
      <c r="K141" t="n">
        <v>0</v>
      </c>
      <c r="L141" t="n">
        <v>0</v>
      </c>
      <c r="M141" t="n">
        <v>0</v>
      </c>
      <c r="N141" t="n">
        <v>0</v>
      </c>
      <c r="O141" t="n">
        <v>0</v>
      </c>
      <c r="P141" t="n">
        <v>0</v>
      </c>
      <c r="Q141" t="n">
        <v>0</v>
      </c>
      <c r="R141" s="2" t="inlineStr"/>
    </row>
    <row r="142" ht="15" customHeight="1">
      <c r="A142" t="inlineStr">
        <is>
          <t>A 26083-2023</t>
        </is>
      </c>
      <c r="B142" s="1" t="n">
        <v>45091</v>
      </c>
      <c r="C142" s="1" t="n">
        <v>46030</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46030</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4363-2024</t>
        </is>
      </c>
      <c r="B144" s="1" t="n">
        <v>45325</v>
      </c>
      <c r="C144" s="1" t="n">
        <v>46030</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45988-2021</t>
        </is>
      </c>
      <c r="B145" s="1" t="n">
        <v>44441</v>
      </c>
      <c r="C145" s="1" t="n">
        <v>46030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20067-2023</t>
        </is>
      </c>
      <c r="B146" s="1" t="n">
        <v>45054</v>
      </c>
      <c r="C146" s="1" t="n">
        <v>46030</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48257-2022</t>
        </is>
      </c>
      <c r="B147" s="1" t="n">
        <v>44858.47591435185</v>
      </c>
      <c r="C147" s="1" t="n">
        <v>46030</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41309-2024</t>
        </is>
      </c>
      <c r="B148" s="1" t="n">
        <v>45559</v>
      </c>
      <c r="C148" s="1" t="n">
        <v>46030</v>
      </c>
      <c r="D148" t="inlineStr">
        <is>
          <t>VÄSTRA GÖTALANDS LÄN</t>
        </is>
      </c>
      <c r="E148" t="inlineStr">
        <is>
          <t>ALE</t>
        </is>
      </c>
      <c r="G148" t="n">
        <v>8.4</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46030</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3413-2023</t>
        </is>
      </c>
      <c r="B150" s="1" t="n">
        <v>44949</v>
      </c>
      <c r="C150" s="1" t="n">
        <v>46030</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35959-2022</t>
        </is>
      </c>
      <c r="B151" s="1" t="n">
        <v>44802.57002314815</v>
      </c>
      <c r="C151" s="1" t="n">
        <v>46030</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14493-2024</t>
        </is>
      </c>
      <c r="B152" s="1" t="n">
        <v>45394.58491898148</v>
      </c>
      <c r="C152" s="1" t="n">
        <v>46030</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1500-2024</t>
        </is>
      </c>
      <c r="B153" s="1" t="n">
        <v>45306</v>
      </c>
      <c r="C153" s="1" t="n">
        <v>46030</v>
      </c>
      <c r="D153" t="inlineStr">
        <is>
          <t>VÄSTRA GÖTALANDS LÄN</t>
        </is>
      </c>
      <c r="E153" t="inlineStr">
        <is>
          <t>ALE</t>
        </is>
      </c>
      <c r="G153" t="n">
        <v>1.3</v>
      </c>
      <c r="H153" t="n">
        <v>0</v>
      </c>
      <c r="I153" t="n">
        <v>0</v>
      </c>
      <c r="J153" t="n">
        <v>0</v>
      </c>
      <c r="K153" t="n">
        <v>0</v>
      </c>
      <c r="L153" t="n">
        <v>0</v>
      </c>
      <c r="M153" t="n">
        <v>0</v>
      </c>
      <c r="N153" t="n">
        <v>0</v>
      </c>
      <c r="O153" t="n">
        <v>0</v>
      </c>
      <c r="P153" t="n">
        <v>0</v>
      </c>
      <c r="Q153" t="n">
        <v>0</v>
      </c>
      <c r="R153" s="2" t="inlineStr"/>
    </row>
    <row r="154" ht="15" customHeight="1">
      <c r="A154" t="inlineStr">
        <is>
          <t>A 1687-2024</t>
        </is>
      </c>
      <c r="B154" s="1" t="n">
        <v>45306</v>
      </c>
      <c r="C154" s="1" t="n">
        <v>46030</v>
      </c>
      <c r="D154" t="inlineStr">
        <is>
          <t>VÄSTRA GÖTALANDS LÄN</t>
        </is>
      </c>
      <c r="E154" t="inlineStr">
        <is>
          <t>ALE</t>
        </is>
      </c>
      <c r="G154" t="n">
        <v>3.4</v>
      </c>
      <c r="H154" t="n">
        <v>0</v>
      </c>
      <c r="I154" t="n">
        <v>0</v>
      </c>
      <c r="J154" t="n">
        <v>0</v>
      </c>
      <c r="K154" t="n">
        <v>0</v>
      </c>
      <c r="L154" t="n">
        <v>0</v>
      </c>
      <c r="M154" t="n">
        <v>0</v>
      </c>
      <c r="N154" t="n">
        <v>0</v>
      </c>
      <c r="O154" t="n">
        <v>0</v>
      </c>
      <c r="P154" t="n">
        <v>0</v>
      </c>
      <c r="Q154" t="n">
        <v>0</v>
      </c>
      <c r="R154" s="2" t="inlineStr"/>
    </row>
    <row r="155" ht="15" customHeight="1">
      <c r="A155" t="inlineStr">
        <is>
          <t>A 14458-2024</t>
        </is>
      </c>
      <c r="B155" s="1" t="n">
        <v>45394</v>
      </c>
      <c r="C155" s="1" t="n">
        <v>46030</v>
      </c>
      <c r="D155" t="inlineStr">
        <is>
          <t>VÄSTRA GÖTALANDS LÄN</t>
        </is>
      </c>
      <c r="E155" t="inlineStr">
        <is>
          <t>ALE</t>
        </is>
      </c>
      <c r="G155" t="n">
        <v>0.5</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46030</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33237-2024</t>
        </is>
      </c>
      <c r="B157" s="1" t="n">
        <v>45518.59173611111</v>
      </c>
      <c r="C157" s="1" t="n">
        <v>46030</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12055-2022</t>
        </is>
      </c>
      <c r="B158" s="1" t="n">
        <v>44636</v>
      </c>
      <c r="C158" s="1" t="n">
        <v>46030</v>
      </c>
      <c r="D158" t="inlineStr">
        <is>
          <t>VÄSTRA GÖTALANDS LÄN</t>
        </is>
      </c>
      <c r="E158" t="inlineStr">
        <is>
          <t>ALE</t>
        </is>
      </c>
      <c r="G158" t="n">
        <v>0.2</v>
      </c>
      <c r="H158" t="n">
        <v>0</v>
      </c>
      <c r="I158" t="n">
        <v>0</v>
      </c>
      <c r="J158" t="n">
        <v>0</v>
      </c>
      <c r="K158" t="n">
        <v>0</v>
      </c>
      <c r="L158" t="n">
        <v>0</v>
      </c>
      <c r="M158" t="n">
        <v>0</v>
      </c>
      <c r="N158" t="n">
        <v>0</v>
      </c>
      <c r="O158" t="n">
        <v>0</v>
      </c>
      <c r="P158" t="n">
        <v>0</v>
      </c>
      <c r="Q158" t="n">
        <v>0</v>
      </c>
      <c r="R158" s="2" t="inlineStr"/>
    </row>
    <row r="159" ht="15" customHeight="1">
      <c r="A159" t="inlineStr">
        <is>
          <t>A 36763-2022</t>
        </is>
      </c>
      <c r="B159" s="1" t="n">
        <v>44805</v>
      </c>
      <c r="C159" s="1" t="n">
        <v>46030</v>
      </c>
      <c r="D159" t="inlineStr">
        <is>
          <t>VÄSTRA GÖTALANDS LÄN</t>
        </is>
      </c>
      <c r="E159" t="inlineStr">
        <is>
          <t>ALE</t>
        </is>
      </c>
      <c r="G159" t="n">
        <v>6.1</v>
      </c>
      <c r="H159" t="n">
        <v>0</v>
      </c>
      <c r="I159" t="n">
        <v>0</v>
      </c>
      <c r="J159" t="n">
        <v>0</v>
      </c>
      <c r="K159" t="n">
        <v>0</v>
      </c>
      <c r="L159" t="n">
        <v>0</v>
      </c>
      <c r="M159" t="n">
        <v>0</v>
      </c>
      <c r="N159" t="n">
        <v>0</v>
      </c>
      <c r="O159" t="n">
        <v>0</v>
      </c>
      <c r="P159" t="n">
        <v>0</v>
      </c>
      <c r="Q159" t="n">
        <v>0</v>
      </c>
      <c r="R159" s="2" t="inlineStr"/>
    </row>
    <row r="160" ht="15" customHeight="1">
      <c r="A160" t="inlineStr">
        <is>
          <t>A 3407-2023</t>
        </is>
      </c>
      <c r="B160" s="1" t="n">
        <v>44949.54909722223</v>
      </c>
      <c r="C160" s="1" t="n">
        <v>46030</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15241-2025</t>
        </is>
      </c>
      <c r="B161" s="1" t="n">
        <v>45744.61255787037</v>
      </c>
      <c r="C161" s="1" t="n">
        <v>46030</v>
      </c>
      <c r="D161" t="inlineStr">
        <is>
          <t>VÄSTRA GÖTALANDS LÄN</t>
        </is>
      </c>
      <c r="E161" t="inlineStr">
        <is>
          <t>ALE</t>
        </is>
      </c>
      <c r="G161" t="n">
        <v>2.2</v>
      </c>
      <c r="H161" t="n">
        <v>0</v>
      </c>
      <c r="I161" t="n">
        <v>0</v>
      </c>
      <c r="J161" t="n">
        <v>0</v>
      </c>
      <c r="K161" t="n">
        <v>0</v>
      </c>
      <c r="L161" t="n">
        <v>0</v>
      </c>
      <c r="M161" t="n">
        <v>0</v>
      </c>
      <c r="N161" t="n">
        <v>0</v>
      </c>
      <c r="O161" t="n">
        <v>0</v>
      </c>
      <c r="P161" t="n">
        <v>0</v>
      </c>
      <c r="Q161" t="n">
        <v>0</v>
      </c>
      <c r="R161" s="2" t="inlineStr"/>
    </row>
    <row r="162" ht="15" customHeight="1">
      <c r="A162" t="inlineStr">
        <is>
          <t>A 49680-2024</t>
        </is>
      </c>
      <c r="B162" s="1" t="n">
        <v>45596.66880787037</v>
      </c>
      <c r="C162" s="1" t="n">
        <v>46030</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34153-2024</t>
        </is>
      </c>
      <c r="B163" s="1" t="n">
        <v>45524.38400462963</v>
      </c>
      <c r="C163" s="1" t="n">
        <v>46030</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14731-2022</t>
        </is>
      </c>
      <c r="B164" s="1" t="n">
        <v>44656</v>
      </c>
      <c r="C164" s="1" t="n">
        <v>46030</v>
      </c>
      <c r="D164" t="inlineStr">
        <is>
          <t>VÄSTRA GÖTALANDS LÄN</t>
        </is>
      </c>
      <c r="E164" t="inlineStr">
        <is>
          <t>ALE</t>
        </is>
      </c>
      <c r="G164" t="n">
        <v>1.8</v>
      </c>
      <c r="H164" t="n">
        <v>0</v>
      </c>
      <c r="I164" t="n">
        <v>0</v>
      </c>
      <c r="J164" t="n">
        <v>0</v>
      </c>
      <c r="K164" t="n">
        <v>0</v>
      </c>
      <c r="L164" t="n">
        <v>0</v>
      </c>
      <c r="M164" t="n">
        <v>0</v>
      </c>
      <c r="N164" t="n">
        <v>0</v>
      </c>
      <c r="O164" t="n">
        <v>0</v>
      </c>
      <c r="P164" t="n">
        <v>0</v>
      </c>
      <c r="Q164" t="n">
        <v>0</v>
      </c>
      <c r="R164" s="2" t="inlineStr"/>
    </row>
    <row r="165" ht="15" customHeight="1">
      <c r="A165" t="inlineStr">
        <is>
          <t>A 41598-2022</t>
        </is>
      </c>
      <c r="B165" s="1" t="n">
        <v>44827.4609837963</v>
      </c>
      <c r="C165" s="1" t="n">
        <v>46030</v>
      </c>
      <c r="D165" t="inlineStr">
        <is>
          <t>VÄSTRA GÖTALANDS LÄN</t>
        </is>
      </c>
      <c r="E165" t="inlineStr">
        <is>
          <t>ALE</t>
        </is>
      </c>
      <c r="G165" t="n">
        <v>2</v>
      </c>
      <c r="H165" t="n">
        <v>0</v>
      </c>
      <c r="I165" t="n">
        <v>0</v>
      </c>
      <c r="J165" t="n">
        <v>0</v>
      </c>
      <c r="K165" t="n">
        <v>0</v>
      </c>
      <c r="L165" t="n">
        <v>0</v>
      </c>
      <c r="M165" t="n">
        <v>0</v>
      </c>
      <c r="N165" t="n">
        <v>0</v>
      </c>
      <c r="O165" t="n">
        <v>0</v>
      </c>
      <c r="P165" t="n">
        <v>0</v>
      </c>
      <c r="Q165" t="n">
        <v>0</v>
      </c>
      <c r="R165" s="2" t="inlineStr"/>
    </row>
    <row r="166" ht="15" customHeight="1">
      <c r="A166" t="inlineStr">
        <is>
          <t>A 4642-2024</t>
        </is>
      </c>
      <c r="B166" s="1" t="n">
        <v>45328.43502314815</v>
      </c>
      <c r="C166" s="1" t="n">
        <v>46030</v>
      </c>
      <c r="D166" t="inlineStr">
        <is>
          <t>VÄSTRA GÖTALANDS LÄN</t>
        </is>
      </c>
      <c r="E166" t="inlineStr">
        <is>
          <t>ALE</t>
        </is>
      </c>
      <c r="G166" t="n">
        <v>7.1</v>
      </c>
      <c r="H166" t="n">
        <v>0</v>
      </c>
      <c r="I166" t="n">
        <v>0</v>
      </c>
      <c r="J166" t="n">
        <v>0</v>
      </c>
      <c r="K166" t="n">
        <v>0</v>
      </c>
      <c r="L166" t="n">
        <v>0</v>
      </c>
      <c r="M166" t="n">
        <v>0</v>
      </c>
      <c r="N166" t="n">
        <v>0</v>
      </c>
      <c r="O166" t="n">
        <v>0</v>
      </c>
      <c r="P166" t="n">
        <v>0</v>
      </c>
      <c r="Q166" t="n">
        <v>0</v>
      </c>
      <c r="R166" s="2" t="inlineStr"/>
    </row>
    <row r="167" ht="15" customHeight="1">
      <c r="A167" t="inlineStr">
        <is>
          <t>A 5916-2023</t>
        </is>
      </c>
      <c r="B167" s="1" t="n">
        <v>44963</v>
      </c>
      <c r="C167" s="1" t="n">
        <v>46030</v>
      </c>
      <c r="D167" t="inlineStr">
        <is>
          <t>VÄSTRA GÖTALANDS LÄN</t>
        </is>
      </c>
      <c r="E167" t="inlineStr">
        <is>
          <t>ALE</t>
        </is>
      </c>
      <c r="G167" t="n">
        <v>4.2</v>
      </c>
      <c r="H167" t="n">
        <v>0</v>
      </c>
      <c r="I167" t="n">
        <v>0</v>
      </c>
      <c r="J167" t="n">
        <v>0</v>
      </c>
      <c r="K167" t="n">
        <v>0</v>
      </c>
      <c r="L167" t="n">
        <v>0</v>
      </c>
      <c r="M167" t="n">
        <v>0</v>
      </c>
      <c r="N167" t="n">
        <v>0</v>
      </c>
      <c r="O167" t="n">
        <v>0</v>
      </c>
      <c r="P167" t="n">
        <v>0</v>
      </c>
      <c r="Q167" t="n">
        <v>0</v>
      </c>
      <c r="R167" s="2" t="inlineStr"/>
    </row>
    <row r="168" ht="15" customHeight="1">
      <c r="A168" t="inlineStr">
        <is>
          <t>A 3457-2022</t>
        </is>
      </c>
      <c r="B168" s="1" t="n">
        <v>44585</v>
      </c>
      <c r="C168" s="1" t="n">
        <v>46030</v>
      </c>
      <c r="D168" t="inlineStr">
        <is>
          <t>VÄSTRA GÖTALANDS LÄN</t>
        </is>
      </c>
      <c r="E168" t="inlineStr">
        <is>
          <t>ALE</t>
        </is>
      </c>
      <c r="G168" t="n">
        <v>5.1</v>
      </c>
      <c r="H168" t="n">
        <v>0</v>
      </c>
      <c r="I168" t="n">
        <v>0</v>
      </c>
      <c r="J168" t="n">
        <v>0</v>
      </c>
      <c r="K168" t="n">
        <v>0</v>
      </c>
      <c r="L168" t="n">
        <v>0</v>
      </c>
      <c r="M168" t="n">
        <v>0</v>
      </c>
      <c r="N168" t="n">
        <v>0</v>
      </c>
      <c r="O168" t="n">
        <v>0</v>
      </c>
      <c r="P168" t="n">
        <v>0</v>
      </c>
      <c r="Q168" t="n">
        <v>0</v>
      </c>
      <c r="R168" s="2" t="inlineStr"/>
    </row>
    <row r="169" ht="15" customHeight="1">
      <c r="A169" t="inlineStr">
        <is>
          <t>A 8956-2025</t>
        </is>
      </c>
      <c r="B169" s="1" t="n">
        <v>45713.46825231481</v>
      </c>
      <c r="C169" s="1" t="n">
        <v>46030</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c r="A170" t="inlineStr">
        <is>
          <t>A 50451-2024</t>
        </is>
      </c>
      <c r="B170" s="1" t="n">
        <v>45601.44248842593</v>
      </c>
      <c r="C170" s="1" t="n">
        <v>46030</v>
      </c>
      <c r="D170" t="inlineStr">
        <is>
          <t>VÄSTRA GÖTALANDS LÄN</t>
        </is>
      </c>
      <c r="E170" t="inlineStr">
        <is>
          <t>ALE</t>
        </is>
      </c>
      <c r="G170" t="n">
        <v>2.9</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2026-01-08T10:48:26Z</dcterms:created>
  <dcterms:modified xmlns:dcterms="http://purl.org/dc/terms/" xmlns:xsi="http://www.w3.org/2001/XMLSchema-instance" xsi:type="dcterms:W3CDTF">2026-01-08T10:48:27Z</dcterms:modified>
</cp:coreProperties>
</file>