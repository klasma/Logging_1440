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46158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46158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46158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46158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46158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46158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46158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15890-2026</t>
        </is>
      </c>
      <c r="B9" s="1" t="n">
        <v>46107.61537037037</v>
      </c>
      <c r="C9" s="1" t="n">
        <v>46158</v>
      </c>
      <c r="D9" t="inlineStr">
        <is>
          <t>VÄSTRA GÖTALANDS LÄN</t>
        </is>
      </c>
      <c r="E9" t="inlineStr">
        <is>
          <t>ALE</t>
        </is>
      </c>
      <c r="G9" t="n">
        <v>6.1</v>
      </c>
      <c r="H9" t="n">
        <v>6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Gulsparv
Spillkråka
Talltita
Björksplintborre
Kungsfågel
Lopplummer (aggregat)
Revlummer</t>
        </is>
      </c>
      <c r="S9">
        <f>HYPERLINK("https://klasma.github.io/Logging_1440/artfynd/A 15890-2026 artfynd.xlsx", "A 15890-2026")</f>
        <v/>
      </c>
      <c r="T9">
        <f>HYPERLINK("https://klasma.github.io/Logging_1440/kartor/A 15890-2026 karta.png", "A 15890-2026")</f>
        <v/>
      </c>
      <c r="V9">
        <f>HYPERLINK("https://klasma.github.io/Logging_1440/klagomål/A 15890-2026 FSC-klagomål.docx", "A 15890-2026")</f>
        <v/>
      </c>
      <c r="W9">
        <f>HYPERLINK("https://klasma.github.io/Logging_1440/klagomålsmail/A 15890-2026 FSC-klagomål mail.docx", "A 15890-2026")</f>
        <v/>
      </c>
      <c r="X9">
        <f>HYPERLINK("https://klasma.github.io/Logging_1440/tillsyn/A 15890-2026 tillsynsbegäran.docx", "A 15890-2026")</f>
        <v/>
      </c>
      <c r="Y9">
        <f>HYPERLINK("https://klasma.github.io/Logging_1440/tillsynsmail/A 15890-2026 tillsynsbegäran mail.docx", "A 15890-2026")</f>
        <v/>
      </c>
      <c r="Z9">
        <f>HYPERLINK("https://klasma.github.io/Logging_1440/fåglar/A 15890-2026 prioriterade fågelarter.docx", "A 15890-2026")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46158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Brunpudrad nållav
Kattfotslav
Kornig nållav
Stor revmossa
Vågbandad barkbock
Kungsfågel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  <c r="Z10">
        <f>HYPERLINK("https://klasma.github.io/Logging_1440/fåglar/A 8113-2026 prioriterade fågelarter.docx", "A 8113-2026")</f>
        <v/>
      </c>
    </row>
    <row r="11" ht="15" customHeight="1">
      <c r="A11" t="inlineStr">
        <is>
          <t>A 24162-2025</t>
        </is>
      </c>
      <c r="B11" s="1" t="n">
        <v>45796</v>
      </c>
      <c r="C11" s="1" t="n">
        <v>46158</v>
      </c>
      <c r="D11" t="inlineStr">
        <is>
          <t>VÄSTRA GÖTALANDS LÄN</t>
        </is>
      </c>
      <c r="E11" t="inlineStr">
        <is>
          <t>ALE</t>
        </is>
      </c>
      <c r="G11" t="n">
        <v>5.5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Spillkråka
Blanksvart trämyra
Blåmossa
Kungsfågel
Trana
Revlummer</t>
        </is>
      </c>
      <c r="S11">
        <f>HYPERLINK("https://klasma.github.io/Logging_1440/artfynd/A 24162-2025 artfynd.xlsx", "A 24162-2025")</f>
        <v/>
      </c>
      <c r="T11">
        <f>HYPERLINK("https://klasma.github.io/Logging_1440/kartor/A 24162-2025 karta.png", "A 24162-2025")</f>
        <v/>
      </c>
      <c r="V11">
        <f>HYPERLINK("https://klasma.github.io/Logging_1440/klagomål/A 24162-2025 FSC-klagomål.docx", "A 24162-2025")</f>
        <v/>
      </c>
      <c r="W11">
        <f>HYPERLINK("https://klasma.github.io/Logging_1440/klagomålsmail/A 24162-2025 FSC-klagomål mail.docx", "A 24162-2025")</f>
        <v/>
      </c>
      <c r="X11">
        <f>HYPERLINK("https://klasma.github.io/Logging_1440/tillsyn/A 24162-2025 tillsynsbegäran.docx", "A 24162-2025")</f>
        <v/>
      </c>
      <c r="Y11">
        <f>HYPERLINK("https://klasma.github.io/Logging_1440/tillsynsmail/A 24162-2025 tillsynsbegäran mail.docx", "A 24162-2025")</f>
        <v/>
      </c>
      <c r="Z11">
        <f>HYPERLINK("https://klasma.github.io/Logging_1440/fåglar/A 24162-2025 prioriterade fågelarter.docx", "A 24162-2025")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46158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46158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46158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60293-2025</t>
        </is>
      </c>
      <c r="B15" s="1" t="n">
        <v>45994</v>
      </c>
      <c r="C15" s="1" t="n">
        <v>46158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46158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14048-2026</t>
        </is>
      </c>
      <c r="B17" s="1" t="n">
        <v>46099.27685185185</v>
      </c>
      <c r="C17" s="1" t="n">
        <v>46158</v>
      </c>
      <c r="D17" t="inlineStr">
        <is>
          <t>VÄSTRA GÖTALANDS LÄN</t>
        </is>
      </c>
      <c r="E17" t="inlineStr">
        <is>
          <t>ALE</t>
        </is>
      </c>
      <c r="G17" t="n">
        <v>1.5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Klippfrullania
Västlig hakmossa</t>
        </is>
      </c>
      <c r="S17">
        <f>HYPERLINK("https://klasma.github.io/Logging_1440/artfynd/A 14048-2026 artfynd.xlsx", "A 14048-2026")</f>
        <v/>
      </c>
      <c r="T17">
        <f>HYPERLINK("https://klasma.github.io/Logging_1440/kartor/A 14048-2026 karta.png", "A 14048-2026")</f>
        <v/>
      </c>
      <c r="V17">
        <f>HYPERLINK("https://klasma.github.io/Logging_1440/klagomål/A 14048-2026 FSC-klagomål.docx", "A 14048-2026")</f>
        <v/>
      </c>
      <c r="W17">
        <f>HYPERLINK("https://klasma.github.io/Logging_1440/klagomålsmail/A 14048-2026 FSC-klagomål mail.docx", "A 14048-2026")</f>
        <v/>
      </c>
      <c r="X17">
        <f>HYPERLINK("https://klasma.github.io/Logging_1440/tillsyn/A 14048-2026 tillsynsbegäran.docx", "A 14048-2026")</f>
        <v/>
      </c>
      <c r="Y17">
        <f>HYPERLINK("https://klasma.github.io/Logging_1440/tillsynsmail/A 14048-2026 tillsynsbegäran mail.docx", "A 14048-2026")</f>
        <v/>
      </c>
      <c r="Z17">
        <f>HYPERLINK("https://klasma.github.io/Logging_1440/fåglar/A 14048-2026 prioriterade fågelarter.docx", "A 14048-2026")</f>
        <v/>
      </c>
    </row>
    <row r="18" ht="15" customHeight="1">
      <c r="A18" t="inlineStr">
        <is>
          <t>A 58954-2022</t>
        </is>
      </c>
      <c r="B18" s="1" t="n">
        <v>44903</v>
      </c>
      <c r="C18" s="1" t="n">
        <v>46158</v>
      </c>
      <c r="D18" t="inlineStr">
        <is>
          <t>VÄSTRA GÖTALANDS LÄN</t>
        </is>
      </c>
      <c r="E18" t="inlineStr">
        <is>
          <t>ALE</t>
        </is>
      </c>
      <c r="G18" t="n">
        <v>2.3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HYPERLINK("https://klasma.github.io/Logging_1440/artfynd/A 58954-2022 artfynd.xlsx", "A 58954-2022")</f>
        <v/>
      </c>
      <c r="T18">
        <f>HYPERLINK("https://klasma.github.io/Logging_1440/kartor/A 58954-2022 karta.png", "A 58954-2022")</f>
        <v/>
      </c>
      <c r="V18">
        <f>HYPERLINK("https://klasma.github.io/Logging_1440/klagomål/A 58954-2022 FSC-klagomål.docx", "A 58954-2022")</f>
        <v/>
      </c>
      <c r="W18">
        <f>HYPERLINK("https://klasma.github.io/Logging_1440/klagomålsmail/A 58954-2022 FSC-klagomål mail.docx", "A 58954-2022")</f>
        <v/>
      </c>
      <c r="X18">
        <f>HYPERLINK("https://klasma.github.io/Logging_1440/tillsyn/A 58954-2022 tillsynsbegäran.docx", "A 58954-2022")</f>
        <v/>
      </c>
      <c r="Y18">
        <f>HYPERLINK("https://klasma.github.io/Logging_1440/tillsynsmail/A 58954-2022 tillsynsbegäran mail.docx", "A 58954-2022")</f>
        <v/>
      </c>
      <c r="Z18">
        <f>HYPERLINK("https://klasma.github.io/Logging_1440/fåglar/A 58954-2022 prioriterade fågelarter.docx", "A 58954-2022")</f>
        <v/>
      </c>
    </row>
    <row r="19" ht="15" customHeight="1">
      <c r="A19" t="inlineStr">
        <is>
          <t>A 40931-2025</t>
        </is>
      </c>
      <c r="B19" s="1" t="n">
        <v>45897.64783564815</v>
      </c>
      <c r="C19" s="1" t="n">
        <v>46158</v>
      </c>
      <c r="D19" t="inlineStr">
        <is>
          <t>VÄSTRA GÖTALANDS LÄN</t>
        </is>
      </c>
      <c r="E19" t="inlineStr">
        <is>
          <t>ALE</t>
        </is>
      </c>
      <c r="G19" t="n">
        <v>4.3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HYPERLINK("https://klasma.github.io/Logging_1440/artfynd/A 40931-2025 artfynd.xlsx", "A 40931-2025")</f>
        <v/>
      </c>
      <c r="T19">
        <f>HYPERLINK("https://klasma.github.io/Logging_1440/kartor/A 40931-2025 karta.png", "A 40931-2025")</f>
        <v/>
      </c>
      <c r="V19">
        <f>HYPERLINK("https://klasma.github.io/Logging_1440/klagomål/A 40931-2025 FSC-klagomål.docx", "A 40931-2025")</f>
        <v/>
      </c>
      <c r="W19">
        <f>HYPERLINK("https://klasma.github.io/Logging_1440/klagomålsmail/A 40931-2025 FSC-klagomål mail.docx", "A 40931-2025")</f>
        <v/>
      </c>
      <c r="X19">
        <f>HYPERLINK("https://klasma.github.io/Logging_1440/tillsyn/A 40931-2025 tillsynsbegäran.docx", "A 40931-2025")</f>
        <v/>
      </c>
      <c r="Y19">
        <f>HYPERLINK("https://klasma.github.io/Logging_1440/tillsynsmail/A 40931-2025 tillsynsbegäran mail.docx", "A 40931-2025")</f>
        <v/>
      </c>
      <c r="Z19">
        <f>HYPERLINK("https://klasma.github.io/Logging_1440/fåglar/A 40931-2025 prioriterade fågelarter.docx", "A 40931-2025")</f>
        <v/>
      </c>
    </row>
    <row r="20" ht="15" customHeight="1">
      <c r="A20" t="inlineStr">
        <is>
          <t>A 2270-2025</t>
        </is>
      </c>
      <c r="B20" s="1" t="n">
        <v>45673.54403935185</v>
      </c>
      <c r="C20" s="1" t="n">
        <v>46158</v>
      </c>
      <c r="D20" t="inlineStr">
        <is>
          <t>VÄSTRA GÖTALANDS LÄN</t>
        </is>
      </c>
      <c r="E20" t="inlineStr">
        <is>
          <t>ALE</t>
        </is>
      </c>
      <c r="G20" t="n">
        <v>4.1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2270-2025 artfynd.xlsx", "A 2270-2025")</f>
        <v/>
      </c>
      <c r="T20">
        <f>HYPERLINK("https://klasma.github.io/Logging_1440/kartor/A 2270-2025 karta.png", "A 2270-2025")</f>
        <v/>
      </c>
      <c r="V20">
        <f>HYPERLINK("https://klasma.github.io/Logging_1440/klagomål/A 2270-2025 FSC-klagomål.docx", "A 2270-2025")</f>
        <v/>
      </c>
      <c r="W20">
        <f>HYPERLINK("https://klasma.github.io/Logging_1440/klagomålsmail/A 2270-2025 FSC-klagomål mail.docx", "A 2270-2025")</f>
        <v/>
      </c>
      <c r="X20">
        <f>HYPERLINK("https://klasma.github.io/Logging_1440/tillsyn/A 2270-2025 tillsynsbegäran.docx", "A 2270-2025")</f>
        <v/>
      </c>
      <c r="Y20">
        <f>HYPERLINK("https://klasma.github.io/Logging_1440/tillsynsmail/A 2270-2025 tillsynsbegäran mail.docx", "A 2270-2025")</f>
        <v/>
      </c>
      <c r="Z20">
        <f>HYPERLINK("https://klasma.github.io/Logging_1440/fåglar/A 2270-2025 prioriterade fågelarter.docx", "A 2270-2025")</f>
        <v/>
      </c>
    </row>
    <row r="21" ht="15" customHeight="1">
      <c r="A21" t="inlineStr">
        <is>
          <t>A 1503-2024</t>
        </is>
      </c>
      <c r="B21" s="1" t="n">
        <v>45306.35041666667</v>
      </c>
      <c r="C21" s="1" t="n">
        <v>46158</v>
      </c>
      <c r="D21" t="inlineStr">
        <is>
          <t>VÄSTRA GÖTALANDS LÄN</t>
        </is>
      </c>
      <c r="E21" t="inlineStr">
        <is>
          <t>ALE</t>
        </is>
      </c>
      <c r="G21" t="n">
        <v>6.6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1503-2024 artfynd.xlsx", "A 1503-2024")</f>
        <v/>
      </c>
      <c r="T21">
        <f>HYPERLINK("https://klasma.github.io/Logging_1440/kartor/A 1503-2024 karta.png", "A 1503-2024")</f>
        <v/>
      </c>
      <c r="V21">
        <f>HYPERLINK("https://klasma.github.io/Logging_1440/klagomål/A 1503-2024 FSC-klagomål.docx", "A 1503-2024")</f>
        <v/>
      </c>
      <c r="W21">
        <f>HYPERLINK("https://klasma.github.io/Logging_1440/klagomålsmail/A 1503-2024 FSC-klagomål mail.docx", "A 1503-2024")</f>
        <v/>
      </c>
      <c r="X21">
        <f>HYPERLINK("https://klasma.github.io/Logging_1440/tillsyn/A 1503-2024 tillsynsbegäran.docx", "A 1503-2024")</f>
        <v/>
      </c>
      <c r="Y21">
        <f>HYPERLINK("https://klasma.github.io/Logging_1440/tillsynsmail/A 1503-2024 tillsynsbegäran mail.docx", "A 1503-2024")</f>
        <v/>
      </c>
      <c r="Z21">
        <f>HYPERLINK("https://klasma.github.io/Logging_1440/fåglar/A 1503-2024 prioriterade fågelarter.docx", "A 1503-2024")</f>
        <v/>
      </c>
    </row>
    <row r="22" ht="15" customHeight="1">
      <c r="A22" t="inlineStr">
        <is>
          <t>A 13380-2025</t>
        </is>
      </c>
      <c r="B22" s="1" t="n">
        <v>45735.6765162037</v>
      </c>
      <c r="C22" s="1" t="n">
        <v>46158</v>
      </c>
      <c r="D22" t="inlineStr">
        <is>
          <t>VÄSTRA GÖTALANDS LÄN</t>
        </is>
      </c>
      <c r="E22" t="inlineStr">
        <is>
          <t>ALE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Entita
Spillkråka</t>
        </is>
      </c>
      <c r="S22">
        <f>HYPERLINK("https://klasma.github.io/Logging_1440/artfynd/A 13380-2025 artfynd.xlsx", "A 13380-2025")</f>
        <v/>
      </c>
      <c r="T22">
        <f>HYPERLINK("https://klasma.github.io/Logging_1440/kartor/A 13380-2025 karta.png", "A 13380-2025")</f>
        <v/>
      </c>
      <c r="V22">
        <f>HYPERLINK("https://klasma.github.io/Logging_1440/klagomål/A 13380-2025 FSC-klagomål.docx", "A 13380-2025")</f>
        <v/>
      </c>
      <c r="W22">
        <f>HYPERLINK("https://klasma.github.io/Logging_1440/klagomålsmail/A 13380-2025 FSC-klagomål mail.docx", "A 13380-2025")</f>
        <v/>
      </c>
      <c r="X22">
        <f>HYPERLINK("https://klasma.github.io/Logging_1440/tillsyn/A 13380-2025 tillsynsbegäran.docx", "A 13380-2025")</f>
        <v/>
      </c>
      <c r="Y22">
        <f>HYPERLINK("https://klasma.github.io/Logging_1440/tillsynsmail/A 13380-2025 tillsynsbegäran mail.docx", "A 13380-2025")</f>
        <v/>
      </c>
      <c r="Z22">
        <f>HYPERLINK("https://klasma.github.io/Logging_1440/fåglar/A 13380-2025 prioriterade fågelarter.docx", "A 13380-2025")</f>
        <v/>
      </c>
    </row>
    <row r="23" ht="15" customHeight="1">
      <c r="A23" t="inlineStr">
        <is>
          <t>A 16534-2025</t>
        </is>
      </c>
      <c r="B23" s="1" t="n">
        <v>45751.65315972222</v>
      </c>
      <c r="C23" s="1" t="n">
        <v>46158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16534-2025 artfynd.xlsx", "A 16534-2025")</f>
        <v/>
      </c>
      <c r="T23">
        <f>HYPERLINK("https://klasma.github.io/Logging_1440/kartor/A 16534-2025 karta.png", "A 16534-2025")</f>
        <v/>
      </c>
      <c r="V23">
        <f>HYPERLINK("https://klasma.github.io/Logging_1440/klagomål/A 16534-2025 FSC-klagomål.docx", "A 16534-2025")</f>
        <v/>
      </c>
      <c r="W23">
        <f>HYPERLINK("https://klasma.github.io/Logging_1440/klagomålsmail/A 16534-2025 FSC-klagomål mail.docx", "A 16534-2025")</f>
        <v/>
      </c>
      <c r="X23">
        <f>HYPERLINK("https://klasma.github.io/Logging_1440/tillsyn/A 16534-2025 tillsynsbegäran.docx", "A 16534-2025")</f>
        <v/>
      </c>
      <c r="Y23">
        <f>HYPERLINK("https://klasma.github.io/Logging_1440/tillsynsmail/A 16534-2025 tillsynsbegäran mail.docx", "A 16534-2025")</f>
        <v/>
      </c>
      <c r="Z23">
        <f>HYPERLINK("https://klasma.github.io/Logging_1440/fåglar/A 16534-2025 prioriterade fågelarter.docx", "A 16534-2025")</f>
        <v/>
      </c>
    </row>
    <row r="24" ht="15" customHeight="1">
      <c r="A24" t="inlineStr">
        <is>
          <t>A 20586-2023</t>
        </is>
      </c>
      <c r="B24" s="1" t="n">
        <v>45057</v>
      </c>
      <c r="C24" s="1" t="n">
        <v>46158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20586-2023 artfynd.xlsx", "A 20586-2023")</f>
        <v/>
      </c>
      <c r="T24">
        <f>HYPERLINK("https://klasma.github.io/Logging_1440/kartor/A 20586-2023 karta.png", "A 20586-2023")</f>
        <v/>
      </c>
      <c r="V24">
        <f>HYPERLINK("https://klasma.github.io/Logging_1440/klagomål/A 20586-2023 FSC-klagomål.docx", "A 20586-2023")</f>
        <v/>
      </c>
      <c r="W24">
        <f>HYPERLINK("https://klasma.github.io/Logging_1440/klagomålsmail/A 20586-2023 FSC-klagomål mail.docx", "A 20586-2023")</f>
        <v/>
      </c>
      <c r="X24">
        <f>HYPERLINK("https://klasma.github.io/Logging_1440/tillsyn/A 20586-2023 tillsynsbegäran.docx", "A 20586-2023")</f>
        <v/>
      </c>
      <c r="Y24">
        <f>HYPERLINK("https://klasma.github.io/Logging_1440/tillsynsmail/A 20586-2023 tillsynsbegäran mail.docx", "A 20586-2023")</f>
        <v/>
      </c>
      <c r="Z24">
        <f>HYPERLINK("https://klasma.github.io/Logging_1440/fåglar/A 20586-2023 prioriterade fågelarter.docx", "A 20586-2023")</f>
        <v/>
      </c>
    </row>
    <row r="25" ht="15" customHeight="1">
      <c r="A25" t="inlineStr">
        <is>
          <t>A 380-2025</t>
        </is>
      </c>
      <c r="B25" s="1" t="n">
        <v>45662.43456018518</v>
      </c>
      <c r="C25" s="1" t="n">
        <v>46158</v>
      </c>
      <c r="D25" t="inlineStr">
        <is>
          <t>VÄSTRA GÖTALANDS LÄN</t>
        </is>
      </c>
      <c r="E25" t="inlineStr">
        <is>
          <t>ALE</t>
        </is>
      </c>
      <c r="G25" t="n">
        <v>8.6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HYPERLINK("https://klasma.github.io/Logging_1440/artfynd/A 380-2025 artfynd.xlsx", "A 380-2025")</f>
        <v/>
      </c>
      <c r="T25">
        <f>HYPERLINK("https://klasma.github.io/Logging_1440/kartor/A 380-2025 karta.png", "A 380-2025")</f>
        <v/>
      </c>
      <c r="V25">
        <f>HYPERLINK("https://klasma.github.io/Logging_1440/klagomål/A 380-2025 FSC-klagomål.docx", "A 380-2025")</f>
        <v/>
      </c>
      <c r="W25">
        <f>HYPERLINK("https://klasma.github.io/Logging_1440/klagomålsmail/A 380-2025 FSC-klagomål mail.docx", "A 380-2025")</f>
        <v/>
      </c>
      <c r="X25">
        <f>HYPERLINK("https://klasma.github.io/Logging_1440/tillsyn/A 380-2025 tillsynsbegäran.docx", "A 380-2025")</f>
        <v/>
      </c>
      <c r="Y25">
        <f>HYPERLINK("https://klasma.github.io/Logging_1440/tillsynsmail/A 380-2025 tillsynsbegäran mail.docx", "A 380-2025")</f>
        <v/>
      </c>
      <c r="Z25">
        <f>HYPERLINK("https://klasma.github.io/Logging_1440/fåglar/A 380-2025 prioriterade fågelarter.docx", "A 380-2025")</f>
        <v/>
      </c>
    </row>
    <row r="26" ht="15" customHeight="1">
      <c r="A26" t="inlineStr">
        <is>
          <t>A 63569-2023</t>
        </is>
      </c>
      <c r="B26" s="1" t="n">
        <v>45275</v>
      </c>
      <c r="C26" s="1" t="n">
        <v>46158</v>
      </c>
      <c r="D26" t="inlineStr">
        <is>
          <t>VÄSTRA GÖTALANDS LÄN</t>
        </is>
      </c>
      <c r="E26" t="inlineStr">
        <is>
          <t>ALE</t>
        </is>
      </c>
      <c r="G26" t="n">
        <v>2.4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HYPERLINK("https://klasma.github.io/Logging_1440/artfynd/A 63569-2023 artfynd.xlsx", "A 63569-2023")</f>
        <v/>
      </c>
      <c r="T26">
        <f>HYPERLINK("https://klasma.github.io/Logging_1440/kartor/A 63569-2023 karta.png", "A 63569-2023")</f>
        <v/>
      </c>
      <c r="V26">
        <f>HYPERLINK("https://klasma.github.io/Logging_1440/klagomål/A 63569-2023 FSC-klagomål.docx", "A 63569-2023")</f>
        <v/>
      </c>
      <c r="W26">
        <f>HYPERLINK("https://klasma.github.io/Logging_1440/klagomålsmail/A 63569-2023 FSC-klagomål mail.docx", "A 63569-2023")</f>
        <v/>
      </c>
      <c r="X26">
        <f>HYPERLINK("https://klasma.github.io/Logging_1440/tillsyn/A 63569-2023 tillsynsbegäran.docx", "A 63569-2023")</f>
        <v/>
      </c>
      <c r="Y26">
        <f>HYPERLINK("https://klasma.github.io/Logging_1440/tillsynsmail/A 63569-2023 tillsynsbegäran mail.docx", "A 63569-2023")</f>
        <v/>
      </c>
      <c r="Z26">
        <f>HYPERLINK("https://klasma.github.io/Logging_1440/fåglar/A 63569-2023 prioriterade fågelarter.docx", "A 63569-2023")</f>
        <v/>
      </c>
    </row>
    <row r="27" ht="15" customHeight="1">
      <c r="A27" t="inlineStr">
        <is>
          <t>A 12084-2025</t>
        </is>
      </c>
      <c r="B27" s="1" t="n">
        <v>45728.95387731482</v>
      </c>
      <c r="C27" s="1" t="n">
        <v>46158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Lopplummer (aggregat)</t>
        </is>
      </c>
      <c r="S27">
        <f>HYPERLINK("https://klasma.github.io/Logging_1440/artfynd/A 12084-2025 artfynd.xlsx", "A 12084-2025")</f>
        <v/>
      </c>
      <c r="T27">
        <f>HYPERLINK("https://klasma.github.io/Logging_1440/kartor/A 12084-2025 karta.png", "A 12084-2025")</f>
        <v/>
      </c>
      <c r="V27">
        <f>HYPERLINK("https://klasma.github.io/Logging_1440/klagomål/A 12084-2025 FSC-klagomål.docx", "A 12084-2025")</f>
        <v/>
      </c>
      <c r="W27">
        <f>HYPERLINK("https://klasma.github.io/Logging_1440/klagomålsmail/A 12084-2025 FSC-klagomål mail.docx", "A 12084-2025")</f>
        <v/>
      </c>
      <c r="X27">
        <f>HYPERLINK("https://klasma.github.io/Logging_1440/tillsyn/A 12084-2025 tillsynsbegäran.docx", "A 12084-2025")</f>
        <v/>
      </c>
      <c r="Y27">
        <f>HYPERLINK("https://klasma.github.io/Logging_1440/tillsynsmail/A 12084-2025 tillsynsbegäran mail.docx", "A 12084-2025")</f>
        <v/>
      </c>
      <c r="Z27">
        <f>HYPERLINK("https://klasma.github.io/Logging_1440/fåglar/A 12084-2025 prioriterade fågelarter.docx", "A 12084-2025")</f>
        <v/>
      </c>
    </row>
    <row r="28" ht="15" customHeight="1">
      <c r="A28" t="inlineStr">
        <is>
          <t>A 11516-2026</t>
        </is>
      </c>
      <c r="B28" s="1" t="n">
        <v>46083.66444444445</v>
      </c>
      <c r="C28" s="1" t="n">
        <v>46158</v>
      </c>
      <c r="D28" t="inlineStr">
        <is>
          <t>VÄSTRA GÖTALANDS LÄN</t>
        </is>
      </c>
      <c r="E28" t="inlineStr">
        <is>
          <t>ALE</t>
        </is>
      </c>
      <c r="G28" t="n">
        <v>1.2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11516-2026 artfynd.xlsx", "A 11516-2026")</f>
        <v/>
      </c>
      <c r="T28">
        <f>HYPERLINK("https://klasma.github.io/Logging_1440/kartor/A 11516-2026 karta.png", "A 11516-2026")</f>
        <v/>
      </c>
      <c r="V28">
        <f>HYPERLINK("https://klasma.github.io/Logging_1440/klagomål/A 11516-2026 FSC-klagomål.docx", "A 11516-2026")</f>
        <v/>
      </c>
      <c r="W28">
        <f>HYPERLINK("https://klasma.github.io/Logging_1440/klagomålsmail/A 11516-2026 FSC-klagomål mail.docx", "A 11516-2026")</f>
        <v/>
      </c>
      <c r="X28">
        <f>HYPERLINK("https://klasma.github.io/Logging_1440/tillsyn/A 11516-2026 tillsynsbegäran.docx", "A 11516-2026")</f>
        <v/>
      </c>
      <c r="Y28">
        <f>HYPERLINK("https://klasma.github.io/Logging_1440/tillsynsmail/A 11516-2026 tillsynsbegäran mail.docx", "A 11516-2026")</f>
        <v/>
      </c>
      <c r="Z28">
        <f>HYPERLINK("https://klasma.github.io/Logging_1440/fåglar/A 11516-2026 prioriterade fågelarter.docx", "A 11516-2026")</f>
        <v/>
      </c>
    </row>
    <row r="29" ht="15" customHeight="1">
      <c r="A29" t="inlineStr">
        <is>
          <t>A 8955-2025</t>
        </is>
      </c>
      <c r="B29" s="1" t="n">
        <v>45713.46528935185</v>
      </c>
      <c r="C29" s="1" t="n">
        <v>46158</v>
      </c>
      <c r="D29" t="inlineStr">
        <is>
          <t>VÄSTRA GÖTALANDS LÄN</t>
        </is>
      </c>
      <c r="E29" t="inlineStr">
        <is>
          <t>ALE</t>
        </is>
      </c>
      <c r="G29" t="n">
        <v>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HYPERLINK("https://klasma.github.io/Logging_1440/artfynd/A 8955-2025 artfynd.xlsx", "A 8955-2025")</f>
        <v/>
      </c>
      <c r="T29">
        <f>HYPERLINK("https://klasma.github.io/Logging_1440/kartor/A 8955-2025 karta.png", "A 8955-2025")</f>
        <v/>
      </c>
      <c r="V29">
        <f>HYPERLINK("https://klasma.github.io/Logging_1440/klagomål/A 8955-2025 FSC-klagomål.docx", "A 8955-2025")</f>
        <v/>
      </c>
      <c r="W29">
        <f>HYPERLINK("https://klasma.github.io/Logging_1440/klagomålsmail/A 8955-2025 FSC-klagomål mail.docx", "A 8955-2025")</f>
        <v/>
      </c>
      <c r="X29">
        <f>HYPERLINK("https://klasma.github.io/Logging_1440/tillsyn/A 8955-2025 tillsynsbegäran.docx", "A 8955-2025")</f>
        <v/>
      </c>
      <c r="Y29">
        <f>HYPERLINK("https://klasma.github.io/Logging_1440/tillsynsmail/A 8955-2025 tillsynsbegäran mail.docx", "A 8955-2025")</f>
        <v/>
      </c>
      <c r="Z29">
        <f>HYPERLINK("https://klasma.github.io/Logging_1440/fåglar/A 8955-2025 prioriterade fågelarter.docx", "A 8955-2025")</f>
        <v/>
      </c>
    </row>
    <row r="30" ht="15" customHeight="1">
      <c r="A30" t="inlineStr">
        <is>
          <t>A 17684-2026</t>
        </is>
      </c>
      <c r="B30" s="1" t="n">
        <v>46121</v>
      </c>
      <c r="C30" s="1" t="n">
        <v>46158</v>
      </c>
      <c r="D30" t="inlineStr">
        <is>
          <t>VÄSTRA GÖTALANDS LÄN</t>
        </is>
      </c>
      <c r="E30" t="inlineStr">
        <is>
          <t>ALE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Revlummer</t>
        </is>
      </c>
      <c r="S30">
        <f>HYPERLINK("https://klasma.github.io/Logging_1440/artfynd/A 17684-2026 artfynd.xlsx", "A 17684-2026")</f>
        <v/>
      </c>
      <c r="T30">
        <f>HYPERLINK("https://klasma.github.io/Logging_1440/kartor/A 17684-2026 karta.png", "A 17684-2026")</f>
        <v/>
      </c>
      <c r="V30">
        <f>HYPERLINK("https://klasma.github.io/Logging_1440/klagomål/A 17684-2026 FSC-klagomål.docx", "A 17684-2026")</f>
        <v/>
      </c>
      <c r="W30">
        <f>HYPERLINK("https://klasma.github.io/Logging_1440/klagomålsmail/A 17684-2026 FSC-klagomål mail.docx", "A 17684-2026")</f>
        <v/>
      </c>
      <c r="X30">
        <f>HYPERLINK("https://klasma.github.io/Logging_1440/tillsyn/A 17684-2026 tillsynsbegäran.docx", "A 17684-2026")</f>
        <v/>
      </c>
      <c r="Y30">
        <f>HYPERLINK("https://klasma.github.io/Logging_1440/tillsynsmail/A 17684-2026 tillsynsbegäran mail.docx", "A 17684-2026")</f>
        <v/>
      </c>
    </row>
    <row r="31" ht="15" customHeight="1">
      <c r="A31" t="inlineStr">
        <is>
          <t>A 42660-2024</t>
        </is>
      </c>
      <c r="B31" s="1" t="n">
        <v>45566.33841435185</v>
      </c>
      <c r="C31" s="1" t="n">
        <v>46158</v>
      </c>
      <c r="D31" t="inlineStr">
        <is>
          <t>VÄSTRA GÖTALANDS LÄN</t>
        </is>
      </c>
      <c r="E31" t="inlineStr">
        <is>
          <t>ALE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HYPERLINK("https://klasma.github.io/Logging_1440/artfynd/A 42660-2024 artfynd.xlsx", "A 42660-2024")</f>
        <v/>
      </c>
      <c r="T31">
        <f>HYPERLINK("https://klasma.github.io/Logging_1440/kartor/A 42660-2024 karta.png", "A 42660-2024")</f>
        <v/>
      </c>
      <c r="V31">
        <f>HYPERLINK("https://klasma.github.io/Logging_1440/klagomål/A 42660-2024 FSC-klagomål.docx", "A 42660-2024")</f>
        <v/>
      </c>
      <c r="W31">
        <f>HYPERLINK("https://klasma.github.io/Logging_1440/klagomålsmail/A 42660-2024 FSC-klagomål mail.docx", "A 42660-2024")</f>
        <v/>
      </c>
      <c r="X31">
        <f>HYPERLINK("https://klasma.github.io/Logging_1440/tillsyn/A 42660-2024 tillsynsbegäran.docx", "A 42660-2024")</f>
        <v/>
      </c>
      <c r="Y31">
        <f>HYPERLINK("https://klasma.github.io/Logging_1440/tillsynsmail/A 42660-2024 tillsynsbegäran mail.docx", "A 42660-2024")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46158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46158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9783-2026</t>
        </is>
      </c>
      <c r="B34" s="1" t="n">
        <v>46072.58835648148</v>
      </c>
      <c r="C34" s="1" t="n">
        <v>46158</v>
      </c>
      <c r="D34" t="inlineStr">
        <is>
          <t>VÄSTRA GÖTALANDS LÄN</t>
        </is>
      </c>
      <c r="E34" t="inlineStr">
        <is>
          <t>ALE</t>
        </is>
      </c>
      <c r="G34" t="n">
        <v>4.9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HYPERLINK("https://klasma.github.io/Logging_1440/artfynd/A 9783-2026 artfynd.xlsx", "A 9783-2026")</f>
        <v/>
      </c>
      <c r="T34">
        <f>HYPERLINK("https://klasma.github.io/Logging_1440/kartor/A 9783-2026 karta.png", "A 9783-2026")</f>
        <v/>
      </c>
      <c r="V34">
        <f>HYPERLINK("https://klasma.github.io/Logging_1440/klagomål/A 9783-2026 FSC-klagomål.docx", "A 9783-2026")</f>
        <v/>
      </c>
      <c r="W34">
        <f>HYPERLINK("https://klasma.github.io/Logging_1440/klagomålsmail/A 9783-2026 FSC-klagomål mail.docx", "A 9783-2026")</f>
        <v/>
      </c>
      <c r="X34">
        <f>HYPERLINK("https://klasma.github.io/Logging_1440/tillsyn/A 9783-2026 tillsynsbegäran.docx", "A 9783-2026")</f>
        <v/>
      </c>
      <c r="Y34">
        <f>HYPERLINK("https://klasma.github.io/Logging_1440/tillsynsmail/A 9783-2026 tillsynsbegäran mail.docx", "A 9783-2026")</f>
        <v/>
      </c>
    </row>
    <row r="35" ht="15" customHeight="1">
      <c r="A35" t="inlineStr">
        <is>
          <t>A 58412-2025</t>
        </is>
      </c>
      <c r="B35" s="1" t="n">
        <v>45985.57564814815</v>
      </c>
      <c r="C35" s="1" t="n">
        <v>46158</v>
      </c>
      <c r="D35" t="inlineStr">
        <is>
          <t>VÄSTRA GÖTALANDS LÄN</t>
        </is>
      </c>
      <c r="E35" t="inlineStr">
        <is>
          <t>ALE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HYPERLINK("https://klasma.github.io/Logging_1440/artfynd/A 58412-2025 artfynd.xlsx", "A 58412-2025")</f>
        <v/>
      </c>
      <c r="T35">
        <f>HYPERLINK("https://klasma.github.io/Logging_1440/kartor/A 58412-2025 karta.png", "A 58412-2025")</f>
        <v/>
      </c>
      <c r="V35">
        <f>HYPERLINK("https://klasma.github.io/Logging_1440/klagomål/A 58412-2025 FSC-klagomål.docx", "A 58412-2025")</f>
        <v/>
      </c>
      <c r="W35">
        <f>HYPERLINK("https://klasma.github.io/Logging_1440/klagomålsmail/A 58412-2025 FSC-klagomål mail.docx", "A 58412-2025")</f>
        <v/>
      </c>
      <c r="X35">
        <f>HYPERLINK("https://klasma.github.io/Logging_1440/tillsyn/A 58412-2025 tillsynsbegäran.docx", "A 58412-2025")</f>
        <v/>
      </c>
      <c r="Y35">
        <f>HYPERLINK("https://klasma.github.io/Logging_1440/tillsynsmail/A 58412-2025 tillsynsbegäran mail.docx", "A 58412-2025")</f>
        <v/>
      </c>
    </row>
    <row r="36" ht="15" customHeight="1">
      <c r="A36" t="inlineStr">
        <is>
          <t>A 62524-2025</t>
        </is>
      </c>
      <c r="B36" s="1" t="n">
        <v>46007.6247337963</v>
      </c>
      <c r="C36" s="1" t="n">
        <v>46158</v>
      </c>
      <c r="D36" t="inlineStr">
        <is>
          <t>VÄSTRA GÖTALANDS LÄN</t>
        </is>
      </c>
      <c r="E36" t="inlineStr">
        <is>
          <t>ALE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HYPERLINK("https://klasma.github.io/Logging_1440/artfynd/A 62524-2025 artfynd.xlsx", "A 62524-2025")</f>
        <v/>
      </c>
      <c r="T36">
        <f>HYPERLINK("https://klasma.github.io/Logging_1440/kartor/A 62524-2025 karta.png", "A 62524-2025")</f>
        <v/>
      </c>
      <c r="V36">
        <f>HYPERLINK("https://klasma.github.io/Logging_1440/klagomål/A 62524-2025 FSC-klagomål.docx", "A 62524-2025")</f>
        <v/>
      </c>
      <c r="W36">
        <f>HYPERLINK("https://klasma.github.io/Logging_1440/klagomålsmail/A 62524-2025 FSC-klagomål mail.docx", "A 62524-2025")</f>
        <v/>
      </c>
      <c r="X36">
        <f>HYPERLINK("https://klasma.github.io/Logging_1440/tillsyn/A 62524-2025 tillsynsbegäran.docx", "A 62524-2025")</f>
        <v/>
      </c>
      <c r="Y36">
        <f>HYPERLINK("https://klasma.github.io/Logging_1440/tillsynsmail/A 62524-2025 tillsynsbegäran mail.docx", "A 62524-2025")</f>
        <v/>
      </c>
    </row>
    <row r="37" ht="15" customHeight="1">
      <c r="A37" t="inlineStr">
        <is>
          <t>A 47330-2025</t>
        </is>
      </c>
      <c r="B37" s="1" t="n">
        <v>45930.56170138889</v>
      </c>
      <c r="C37" s="1" t="n">
        <v>46158</v>
      </c>
      <c r="D37" t="inlineStr">
        <is>
          <t>VÄSTRA GÖTALANDS LÄN</t>
        </is>
      </c>
      <c r="E37" t="inlineStr">
        <is>
          <t>ALE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HYPERLINK("https://klasma.github.io/Logging_1440/artfynd/A 47330-2025 artfynd.xlsx", "A 47330-2025")</f>
        <v/>
      </c>
      <c r="T37">
        <f>HYPERLINK("https://klasma.github.io/Logging_1440/kartor/A 47330-2025 karta.png", "A 47330-2025")</f>
        <v/>
      </c>
      <c r="V37">
        <f>HYPERLINK("https://klasma.github.io/Logging_1440/klagomål/A 47330-2025 FSC-klagomål.docx", "A 47330-2025")</f>
        <v/>
      </c>
      <c r="W37">
        <f>HYPERLINK("https://klasma.github.io/Logging_1440/klagomålsmail/A 47330-2025 FSC-klagomål mail.docx", "A 47330-2025")</f>
        <v/>
      </c>
      <c r="X37">
        <f>HYPERLINK("https://klasma.github.io/Logging_1440/tillsyn/A 47330-2025 tillsynsbegäran.docx", "A 47330-2025")</f>
        <v/>
      </c>
      <c r="Y37">
        <f>HYPERLINK("https://klasma.github.io/Logging_1440/tillsynsmail/A 47330-2025 tillsynsbegäran mail.docx", "A 47330-2025")</f>
        <v/>
      </c>
      <c r="Z37">
        <f>HYPERLINK("https://klasma.github.io/Logging_1440/fåglar/A 47330-2025 prioriterade fågelarter.docx", "A 47330-2025")</f>
        <v/>
      </c>
    </row>
    <row r="38" ht="15" customHeight="1">
      <c r="A38" t="inlineStr">
        <is>
          <t>A 26493-2024</t>
        </is>
      </c>
      <c r="B38" s="1" t="n">
        <v>45469</v>
      </c>
      <c r="C38" s="1" t="n">
        <v>46158</v>
      </c>
      <c r="D38" t="inlineStr">
        <is>
          <t>VÄSTRA GÖTALANDS LÄN</t>
        </is>
      </c>
      <c r="E38" t="inlineStr">
        <is>
          <t>ALE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HYPERLINK("https://klasma.github.io/Logging_1440/artfynd/A 26493-2024 artfynd.xlsx", "A 26493-2024")</f>
        <v/>
      </c>
      <c r="T38">
        <f>HYPERLINK("https://klasma.github.io/Logging_1440/kartor/A 26493-2024 karta.png", "A 26493-2024")</f>
        <v/>
      </c>
      <c r="V38">
        <f>HYPERLINK("https://klasma.github.io/Logging_1440/klagomål/A 26493-2024 FSC-klagomål.docx", "A 26493-2024")</f>
        <v/>
      </c>
      <c r="W38">
        <f>HYPERLINK("https://klasma.github.io/Logging_1440/klagomålsmail/A 26493-2024 FSC-klagomål mail.docx", "A 26493-2024")</f>
        <v/>
      </c>
      <c r="X38">
        <f>HYPERLINK("https://klasma.github.io/Logging_1440/tillsyn/A 26493-2024 tillsynsbegäran.docx", "A 26493-2024")</f>
        <v/>
      </c>
      <c r="Y38">
        <f>HYPERLINK("https://klasma.github.io/Logging_1440/tillsynsmail/A 26493-2024 tillsynsbegäran mail.docx", "A 26493-2024")</f>
        <v/>
      </c>
    </row>
    <row r="39" ht="15" customHeight="1">
      <c r="A39" t="inlineStr">
        <is>
          <t>A 12982-2024</t>
        </is>
      </c>
      <c r="B39" s="1" t="n">
        <v>45385.53569444444</v>
      </c>
      <c r="C39" s="1" t="n">
        <v>46158</v>
      </c>
      <c r="D39" t="inlineStr">
        <is>
          <t>VÄSTRA GÖTALANDS LÄN</t>
        </is>
      </c>
      <c r="E39" t="inlineStr">
        <is>
          <t>ALE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HYPERLINK("https://klasma.github.io/Logging_1440/artfynd/A 12982-2024 artfynd.xlsx", "A 12982-2024")</f>
        <v/>
      </c>
      <c r="T39">
        <f>HYPERLINK("https://klasma.github.io/Logging_1440/kartor/A 12982-2024 karta.png", "A 12982-2024")</f>
        <v/>
      </c>
      <c r="V39">
        <f>HYPERLINK("https://klasma.github.io/Logging_1440/klagomål/A 12982-2024 FSC-klagomål.docx", "A 12982-2024")</f>
        <v/>
      </c>
      <c r="W39">
        <f>HYPERLINK("https://klasma.github.io/Logging_1440/klagomålsmail/A 12982-2024 FSC-klagomål mail.docx", "A 12982-2024")</f>
        <v/>
      </c>
      <c r="X39">
        <f>HYPERLINK("https://klasma.github.io/Logging_1440/tillsyn/A 12982-2024 tillsynsbegäran.docx", "A 12982-2024")</f>
        <v/>
      </c>
      <c r="Y39">
        <f>HYPERLINK("https://klasma.github.io/Logging_1440/tillsynsmail/A 12982-2024 tillsynsbegäran mail.docx", "A 12982-2024")</f>
        <v/>
      </c>
    </row>
    <row r="40" ht="15" customHeight="1">
      <c r="A40" t="inlineStr">
        <is>
          <t>A 62855-2021</t>
        </is>
      </c>
      <c r="B40" s="1" t="n">
        <v>44504.58171296296</v>
      </c>
      <c r="C40" s="1" t="n">
        <v>46158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46158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46158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46158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46158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46158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46158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35148-2021</t>
        </is>
      </c>
      <c r="B47" s="1" t="n">
        <v>44384</v>
      </c>
      <c r="C47" s="1" t="n">
        <v>46158</v>
      </c>
      <c r="D47" t="inlineStr">
        <is>
          <t>VÄSTRA GÖTALANDS LÄN</t>
        </is>
      </c>
      <c r="E47" t="inlineStr">
        <is>
          <t>ALE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66893-2021</t>
        </is>
      </c>
      <c r="B48" s="1" t="n">
        <v>44522.49439814815</v>
      </c>
      <c r="C48" s="1" t="n">
        <v>46158</v>
      </c>
      <c r="D48" t="inlineStr">
        <is>
          <t>VÄSTRA GÖTALANDS LÄN</t>
        </is>
      </c>
      <c r="E48" t="inlineStr">
        <is>
          <t>ALE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15508-2022</t>
        </is>
      </c>
      <c r="B49" s="1" t="n">
        <v>44662.39761574074</v>
      </c>
      <c r="C49" s="1" t="n">
        <v>46158</v>
      </c>
      <c r="D49" t="inlineStr">
        <is>
          <t>VÄSTRA GÖTALANDS LÄN</t>
        </is>
      </c>
      <c r="E49" t="inlineStr">
        <is>
          <t>ALE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31566-2021</t>
        </is>
      </c>
      <c r="B50" s="1" t="n">
        <v>44369</v>
      </c>
      <c r="C50" s="1" t="n">
        <v>46158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46391-2021</t>
        </is>
      </c>
      <c r="B51" s="1" t="n">
        <v>44443</v>
      </c>
      <c r="C51" s="1" t="n">
        <v>46158</v>
      </c>
      <c r="D51" t="inlineStr">
        <is>
          <t>VÄSTRA GÖTALANDS LÄN</t>
        </is>
      </c>
      <c r="E51" t="inlineStr">
        <is>
          <t>ALE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45986-2021</t>
        </is>
      </c>
      <c r="B52" s="1" t="n">
        <v>44441</v>
      </c>
      <c r="C52" s="1" t="n">
        <v>46158</v>
      </c>
      <c r="D52" t="inlineStr">
        <is>
          <t>VÄSTRA GÖTALANDS LÄN</t>
        </is>
      </c>
      <c r="E52" t="inlineStr">
        <is>
          <t>ALE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14751-2022</t>
        </is>
      </c>
      <c r="B53" s="1" t="n">
        <v>44656.3837037037</v>
      </c>
      <c r="C53" s="1" t="n">
        <v>46158</v>
      </c>
      <c r="D53" t="inlineStr">
        <is>
          <t>VÄSTRA GÖTALANDS LÄN</t>
        </is>
      </c>
      <c r="E53" t="inlineStr">
        <is>
          <t>ALE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53144-2021</t>
        </is>
      </c>
      <c r="B54" s="1" t="n">
        <v>44468</v>
      </c>
      <c r="C54" s="1" t="n">
        <v>46158</v>
      </c>
      <c r="D54" t="inlineStr">
        <is>
          <t>VÄSTRA GÖTALANDS LÄN</t>
        </is>
      </c>
      <c r="E54" t="inlineStr">
        <is>
          <t>ALE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20285-2022</t>
        </is>
      </c>
      <c r="B55" s="1" t="n">
        <v>44698.76347222222</v>
      </c>
      <c r="C55" s="1" t="n">
        <v>46158</v>
      </c>
      <c r="D55" t="inlineStr">
        <is>
          <t>VÄSTRA GÖTALANDS LÄN</t>
        </is>
      </c>
      <c r="E55" t="inlineStr">
        <is>
          <t>ALE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53476-2023</t>
        </is>
      </c>
      <c r="B56" s="1" t="n">
        <v>45230.33737268519</v>
      </c>
      <c r="C56" s="1" t="n">
        <v>46158</v>
      </c>
      <c r="D56" t="inlineStr">
        <is>
          <t>VÄSTRA GÖTALANDS LÄN</t>
        </is>
      </c>
      <c r="E56" t="inlineStr">
        <is>
          <t>ALE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26157-2023</t>
        </is>
      </c>
      <c r="B57" s="1" t="n">
        <v>45091.50479166667</v>
      </c>
      <c r="C57" s="1" t="n">
        <v>46158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41607-2022</t>
        </is>
      </c>
      <c r="B58" s="1" t="n">
        <v>44827.46658564815</v>
      </c>
      <c r="C58" s="1" t="n">
        <v>46158</v>
      </c>
      <c r="D58" t="inlineStr">
        <is>
          <t>VÄSTRA GÖTALANDS LÄN</t>
        </is>
      </c>
      <c r="E58" t="inlineStr">
        <is>
          <t>ALE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14493-2024</t>
        </is>
      </c>
      <c r="B59" s="1" t="n">
        <v>45394.58491898148</v>
      </c>
      <c r="C59" s="1" t="n">
        <v>46158</v>
      </c>
      <c r="D59" t="inlineStr">
        <is>
          <t>VÄSTRA GÖTALANDS LÄN</t>
        </is>
      </c>
      <c r="E59" t="inlineStr">
        <is>
          <t>ALE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36763-2022</t>
        </is>
      </c>
      <c r="B60" s="1" t="n">
        <v>44805</v>
      </c>
      <c r="C60" s="1" t="n">
        <v>46158</v>
      </c>
      <c r="D60" t="inlineStr">
        <is>
          <t>VÄSTRA GÖTALANDS LÄN</t>
        </is>
      </c>
      <c r="E60" t="inlineStr">
        <is>
          <t>ALE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56493-2021</t>
        </is>
      </c>
      <c r="B61" s="1" t="n">
        <v>44480.57173611111</v>
      </c>
      <c r="C61" s="1" t="n">
        <v>46158</v>
      </c>
      <c r="D61" t="inlineStr">
        <is>
          <t>VÄSTRA GÖTALANDS LÄN</t>
        </is>
      </c>
      <c r="E61" t="inlineStr">
        <is>
          <t>ALE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45988-2021</t>
        </is>
      </c>
      <c r="B62" s="1" t="n">
        <v>44441</v>
      </c>
      <c r="C62" s="1" t="n">
        <v>46158</v>
      </c>
      <c r="D62" t="inlineStr">
        <is>
          <t>VÄSTRA GÖTALANDS LÄN</t>
        </is>
      </c>
      <c r="E62" t="inlineStr">
        <is>
          <t>ALE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4971-2024</t>
        </is>
      </c>
      <c r="B63" s="1" t="n">
        <v>45329</v>
      </c>
      <c r="C63" s="1" t="n">
        <v>46158</v>
      </c>
      <c r="D63" t="inlineStr">
        <is>
          <t>VÄSTRA GÖTALANDS LÄN</t>
        </is>
      </c>
      <c r="E63" t="inlineStr">
        <is>
          <t>ALE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8659-2025</t>
        </is>
      </c>
      <c r="B64" s="1" t="n">
        <v>45712</v>
      </c>
      <c r="C64" s="1" t="n">
        <v>46158</v>
      </c>
      <c r="D64" t="inlineStr">
        <is>
          <t>VÄSTRA GÖTALANDS LÄN</t>
        </is>
      </c>
      <c r="E64" t="inlineStr">
        <is>
          <t>ALE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5875-2023</t>
        </is>
      </c>
      <c r="B65" s="1" t="n">
        <v>44963</v>
      </c>
      <c r="C65" s="1" t="n">
        <v>46158</v>
      </c>
      <c r="D65" t="inlineStr">
        <is>
          <t>VÄSTRA GÖTALANDS LÄN</t>
        </is>
      </c>
      <c r="E65" t="inlineStr">
        <is>
          <t>ALE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37461-2024</t>
        </is>
      </c>
      <c r="B66" s="1" t="n">
        <v>45540.72516203704</v>
      </c>
      <c r="C66" s="1" t="n">
        <v>46158</v>
      </c>
      <c r="D66" t="inlineStr">
        <is>
          <t>VÄSTRA GÖTALANDS LÄN</t>
        </is>
      </c>
      <c r="E66" t="inlineStr">
        <is>
          <t>ALE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3407-2023</t>
        </is>
      </c>
      <c r="B67" s="1" t="n">
        <v>44949.54909722223</v>
      </c>
      <c r="C67" s="1" t="n">
        <v>46158</v>
      </c>
      <c r="D67" t="inlineStr">
        <is>
          <t>VÄSTRA GÖTALANDS LÄN</t>
        </is>
      </c>
      <c r="E67" t="inlineStr">
        <is>
          <t>ALE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51564-2023</t>
        </is>
      </c>
      <c r="B68" s="1" t="n">
        <v>45222</v>
      </c>
      <c r="C68" s="1" t="n">
        <v>46158</v>
      </c>
      <c r="D68" t="inlineStr">
        <is>
          <t>VÄSTRA GÖTALANDS LÄN</t>
        </is>
      </c>
      <c r="E68" t="inlineStr">
        <is>
          <t>ALE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40074-2025</t>
        </is>
      </c>
      <c r="B69" s="1" t="n">
        <v>45894.44685185186</v>
      </c>
      <c r="C69" s="1" t="n">
        <v>46158</v>
      </c>
      <c r="D69" t="inlineStr">
        <is>
          <t>VÄSTRA GÖTALANDS LÄN</t>
        </is>
      </c>
      <c r="E69" t="inlineStr">
        <is>
          <t>ALE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25849-2025</t>
        </is>
      </c>
      <c r="B70" s="1" t="n">
        <v>45804</v>
      </c>
      <c r="C70" s="1" t="n">
        <v>46158</v>
      </c>
      <c r="D70" t="inlineStr">
        <is>
          <t>VÄSTRA GÖTALANDS LÄN</t>
        </is>
      </c>
      <c r="E70" t="inlineStr">
        <is>
          <t>ALE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25848-2025</t>
        </is>
      </c>
      <c r="B71" s="1" t="n">
        <v>45804</v>
      </c>
      <c r="C71" s="1" t="n">
        <v>46158</v>
      </c>
      <c r="D71" t="inlineStr">
        <is>
          <t>VÄSTRA GÖTALANDS LÄN</t>
        </is>
      </c>
      <c r="E71" t="inlineStr">
        <is>
          <t>ALE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25840-2025</t>
        </is>
      </c>
      <c r="B72" s="1" t="n">
        <v>45804</v>
      </c>
      <c r="C72" s="1" t="n">
        <v>46158</v>
      </c>
      <c r="D72" t="inlineStr">
        <is>
          <t>VÄSTRA GÖTALANDS LÄN</t>
        </is>
      </c>
      <c r="E72" t="inlineStr">
        <is>
          <t>ALE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36403-2024</t>
        </is>
      </c>
      <c r="B73" s="1" t="n">
        <v>45535.69445601852</v>
      </c>
      <c r="C73" s="1" t="n">
        <v>46158</v>
      </c>
      <c r="D73" t="inlineStr">
        <is>
          <t>VÄSTRA GÖTALANDS LÄN</t>
        </is>
      </c>
      <c r="E73" t="inlineStr">
        <is>
          <t>ALE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55405-2021</t>
        </is>
      </c>
      <c r="B74" s="1" t="n">
        <v>44475.53733796296</v>
      </c>
      <c r="C74" s="1" t="n">
        <v>46158</v>
      </c>
      <c r="D74" t="inlineStr">
        <is>
          <t>VÄSTRA GÖTALANDS LÄN</t>
        </is>
      </c>
      <c r="E74" t="inlineStr">
        <is>
          <t>ALE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5344-2024</t>
        </is>
      </c>
      <c r="B75" s="1" t="n">
        <v>45331</v>
      </c>
      <c r="C75" s="1" t="n">
        <v>46158</v>
      </c>
      <c r="D75" t="inlineStr">
        <is>
          <t>VÄSTRA GÖTALANDS LÄN</t>
        </is>
      </c>
      <c r="E75" t="inlineStr">
        <is>
          <t>ALE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18637-2023</t>
        </is>
      </c>
      <c r="B76" s="1" t="n">
        <v>45043</v>
      </c>
      <c r="C76" s="1" t="n">
        <v>46158</v>
      </c>
      <c r="D76" t="inlineStr">
        <is>
          <t>VÄSTRA GÖTALANDS LÄN</t>
        </is>
      </c>
      <c r="E76" t="inlineStr">
        <is>
          <t>ALE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59933-2023</t>
        </is>
      </c>
      <c r="B77" s="1" t="n">
        <v>45257</v>
      </c>
      <c r="C77" s="1" t="n">
        <v>46158</v>
      </c>
      <c r="D77" t="inlineStr">
        <is>
          <t>VÄSTRA GÖTALANDS LÄN</t>
        </is>
      </c>
      <c r="E77" t="inlineStr">
        <is>
          <t>ALE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1291-2026</t>
        </is>
      </c>
      <c r="B78" s="1" t="n">
        <v>46031.50569444444</v>
      </c>
      <c r="C78" s="1" t="n">
        <v>46158</v>
      </c>
      <c r="D78" t="inlineStr">
        <is>
          <t>VÄSTRA GÖTALANDS LÄN</t>
        </is>
      </c>
      <c r="E78" t="inlineStr">
        <is>
          <t>ALE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13426-2025</t>
        </is>
      </c>
      <c r="B79" s="1" t="n">
        <v>45736.32780092592</v>
      </c>
      <c r="C79" s="1" t="n">
        <v>46158</v>
      </c>
      <c r="D79" t="inlineStr">
        <is>
          <t>VÄSTRA GÖTALANDS LÄN</t>
        </is>
      </c>
      <c r="E79" t="inlineStr">
        <is>
          <t>ALE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2414-2026</t>
        </is>
      </c>
      <c r="B80" s="1" t="n">
        <v>46036.74319444445</v>
      </c>
      <c r="C80" s="1" t="n">
        <v>46158</v>
      </c>
      <c r="D80" t="inlineStr">
        <is>
          <t>VÄSTRA GÖTALANDS LÄN</t>
        </is>
      </c>
      <c r="E80" t="inlineStr">
        <is>
          <t>ALE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29373-2025</t>
        </is>
      </c>
      <c r="B81" s="1" t="n">
        <v>45824.579375</v>
      </c>
      <c r="C81" s="1" t="n">
        <v>46158</v>
      </c>
      <c r="D81" t="inlineStr">
        <is>
          <t>VÄSTRA GÖTALANDS LÄN</t>
        </is>
      </c>
      <c r="E81" t="inlineStr">
        <is>
          <t>ALE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24642-2022</t>
        </is>
      </c>
      <c r="B82" s="1" t="n">
        <v>44727.59578703704</v>
      </c>
      <c r="C82" s="1" t="n">
        <v>46158</v>
      </c>
      <c r="D82" t="inlineStr">
        <is>
          <t>VÄSTRA GÖTALANDS LÄN</t>
        </is>
      </c>
      <c r="E82" t="inlineStr">
        <is>
          <t>ALE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3261-2026</t>
        </is>
      </c>
      <c r="B83" s="1" t="n">
        <v>46041.5952662037</v>
      </c>
      <c r="C83" s="1" t="n">
        <v>46158</v>
      </c>
      <c r="D83" t="inlineStr">
        <is>
          <t>VÄSTRA GÖTALANDS LÄN</t>
        </is>
      </c>
      <c r="E83" t="inlineStr">
        <is>
          <t>ALE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13382-2025</t>
        </is>
      </c>
      <c r="B84" s="1" t="n">
        <v>45735.67928240741</v>
      </c>
      <c r="C84" s="1" t="n">
        <v>46158</v>
      </c>
      <c r="D84" t="inlineStr">
        <is>
          <t>VÄSTRA GÖTALANDS LÄN</t>
        </is>
      </c>
      <c r="E84" t="inlineStr">
        <is>
          <t>ALE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13903-2025</t>
        </is>
      </c>
      <c r="B85" s="1" t="n">
        <v>45737.63481481482</v>
      </c>
      <c r="C85" s="1" t="n">
        <v>46158</v>
      </c>
      <c r="D85" t="inlineStr">
        <is>
          <t>VÄSTRA GÖTALANDS LÄN</t>
        </is>
      </c>
      <c r="E85" t="inlineStr">
        <is>
          <t>ALE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31409-2025</t>
        </is>
      </c>
      <c r="B86" s="1" t="n">
        <v>45833</v>
      </c>
      <c r="C86" s="1" t="n">
        <v>46158</v>
      </c>
      <c r="D86" t="inlineStr">
        <is>
          <t>VÄSTRA GÖTALANDS LÄN</t>
        </is>
      </c>
      <c r="E86" t="inlineStr">
        <is>
          <t>ALE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31533-2025</t>
        </is>
      </c>
      <c r="B87" s="1" t="n">
        <v>45833</v>
      </c>
      <c r="C87" s="1" t="n">
        <v>46158</v>
      </c>
      <c r="D87" t="inlineStr">
        <is>
          <t>VÄSTRA GÖTALANDS LÄN</t>
        </is>
      </c>
      <c r="E87" t="inlineStr">
        <is>
          <t>ALE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31488-2025</t>
        </is>
      </c>
      <c r="B88" s="1" t="n">
        <v>45833</v>
      </c>
      <c r="C88" s="1" t="n">
        <v>46158</v>
      </c>
      <c r="D88" t="inlineStr">
        <is>
          <t>VÄSTRA GÖTALANDS LÄN</t>
        </is>
      </c>
      <c r="E88" t="inlineStr">
        <is>
          <t>ALE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46226-2025</t>
        </is>
      </c>
      <c r="B89" s="1" t="n">
        <v>45924</v>
      </c>
      <c r="C89" s="1" t="n">
        <v>46158</v>
      </c>
      <c r="D89" t="inlineStr">
        <is>
          <t>VÄSTRA GÖTALANDS LÄN</t>
        </is>
      </c>
      <c r="E89" t="inlineStr">
        <is>
          <t>ALE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46227-2025</t>
        </is>
      </c>
      <c r="B90" s="1" t="n">
        <v>45924.90386574074</v>
      </c>
      <c r="C90" s="1" t="n">
        <v>46158</v>
      </c>
      <c r="D90" t="inlineStr">
        <is>
          <t>VÄSTRA GÖTALANDS LÄN</t>
        </is>
      </c>
      <c r="E90" t="inlineStr">
        <is>
          <t>ALE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26083-2023</t>
        </is>
      </c>
      <c r="B91" s="1" t="n">
        <v>45091</v>
      </c>
      <c r="C91" s="1" t="n">
        <v>46158</v>
      </c>
      <c r="D91" t="inlineStr">
        <is>
          <t>VÄSTRA GÖTALANDS LÄN</t>
        </is>
      </c>
      <c r="E91" t="inlineStr">
        <is>
          <t>ALE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47592-2025</t>
        </is>
      </c>
      <c r="B92" s="1" t="n">
        <v>45931.44649305556</v>
      </c>
      <c r="C92" s="1" t="n">
        <v>46158</v>
      </c>
      <c r="D92" t="inlineStr">
        <is>
          <t>VÄSTRA GÖTALANDS LÄN</t>
        </is>
      </c>
      <c r="E92" t="inlineStr">
        <is>
          <t>ALE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47593-2025</t>
        </is>
      </c>
      <c r="B93" s="1" t="n">
        <v>45931.4480787037</v>
      </c>
      <c r="C93" s="1" t="n">
        <v>46158</v>
      </c>
      <c r="D93" t="inlineStr">
        <is>
          <t>VÄSTRA GÖTALANDS LÄN</t>
        </is>
      </c>
      <c r="E93" t="inlineStr">
        <is>
          <t>ALE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47728-2025</t>
        </is>
      </c>
      <c r="B94" s="1" t="n">
        <v>45931.63186342592</v>
      </c>
      <c r="C94" s="1" t="n">
        <v>46158</v>
      </c>
      <c r="D94" t="inlineStr">
        <is>
          <t>VÄSTRA GÖTALANDS LÄN</t>
        </is>
      </c>
      <c r="E94" t="inlineStr">
        <is>
          <t>ALE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57473-2022</t>
        </is>
      </c>
      <c r="B95" s="1" t="n">
        <v>44896</v>
      </c>
      <c r="C95" s="1" t="n">
        <v>46158</v>
      </c>
      <c r="D95" t="inlineStr">
        <is>
          <t>VÄSTRA GÖTALANDS LÄN</t>
        </is>
      </c>
      <c r="E95" t="inlineStr">
        <is>
          <t>ALE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1566-2022</t>
        </is>
      </c>
      <c r="B96" s="1" t="n">
        <v>44573</v>
      </c>
      <c r="C96" s="1" t="n">
        <v>46158</v>
      </c>
      <c r="D96" t="inlineStr">
        <is>
          <t>VÄSTRA GÖTALANDS LÄN</t>
        </is>
      </c>
      <c r="E96" t="inlineStr">
        <is>
          <t>ALE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12445-2022</t>
        </is>
      </c>
      <c r="B97" s="1" t="n">
        <v>44638</v>
      </c>
      <c r="C97" s="1" t="n">
        <v>46158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48213-2025</t>
        </is>
      </c>
      <c r="B98" s="1" t="n">
        <v>45933</v>
      </c>
      <c r="C98" s="1" t="n">
        <v>46158</v>
      </c>
      <c r="D98" t="inlineStr">
        <is>
          <t>VÄSTRA GÖTALANDS LÄN</t>
        </is>
      </c>
      <c r="E98" t="inlineStr">
        <is>
          <t>ALE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48218-2025</t>
        </is>
      </c>
      <c r="B99" s="1" t="n">
        <v>45933</v>
      </c>
      <c r="C99" s="1" t="n">
        <v>46158</v>
      </c>
      <c r="D99" t="inlineStr">
        <is>
          <t>VÄSTRA GÖTALANDS LÄN</t>
        </is>
      </c>
      <c r="E99" t="inlineStr">
        <is>
          <t>ALE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6621-2026</t>
        </is>
      </c>
      <c r="B100" s="1" t="n">
        <v>46056.4970949074</v>
      </c>
      <c r="C100" s="1" t="n">
        <v>46158</v>
      </c>
      <c r="D100" t="inlineStr">
        <is>
          <t>VÄSTRA GÖTALANDS LÄN</t>
        </is>
      </c>
      <c r="E100" t="inlineStr">
        <is>
          <t>ALE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50189-2025</t>
        </is>
      </c>
      <c r="B101" s="1" t="n">
        <v>45943.63476851852</v>
      </c>
      <c r="C101" s="1" t="n">
        <v>46158</v>
      </c>
      <c r="D101" t="inlineStr">
        <is>
          <t>VÄSTRA GÖTALANDS LÄN</t>
        </is>
      </c>
      <c r="E101" t="inlineStr">
        <is>
          <t>ALE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7296-2026</t>
        </is>
      </c>
      <c r="B102" s="1" t="n">
        <v>46058.64341435185</v>
      </c>
      <c r="C102" s="1" t="n">
        <v>46158</v>
      </c>
      <c r="D102" t="inlineStr">
        <is>
          <t>VÄSTRA GÖTALANDS LÄN</t>
        </is>
      </c>
      <c r="E102" t="inlineStr">
        <is>
          <t>ALE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50973-2025</t>
        </is>
      </c>
      <c r="B103" s="1" t="n">
        <v>45947.31263888889</v>
      </c>
      <c r="C103" s="1" t="n">
        <v>46158</v>
      </c>
      <c r="D103" t="inlineStr">
        <is>
          <t>VÄSTRA GÖTALANDS LÄN</t>
        </is>
      </c>
      <c r="E103" t="inlineStr">
        <is>
          <t>ALE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51976-2025</t>
        </is>
      </c>
      <c r="B104" s="1" t="n">
        <v>45952.56412037037</v>
      </c>
      <c r="C104" s="1" t="n">
        <v>46158</v>
      </c>
      <c r="D104" t="inlineStr">
        <is>
          <t>VÄSTRA GÖTALANDS LÄN</t>
        </is>
      </c>
      <c r="E104" t="inlineStr">
        <is>
          <t>ALE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35959-2022</t>
        </is>
      </c>
      <c r="B105" s="1" t="n">
        <v>44802.57002314815</v>
      </c>
      <c r="C105" s="1" t="n">
        <v>46158</v>
      </c>
      <c r="D105" t="inlineStr">
        <is>
          <t>VÄSTRA GÖTALANDS LÄN</t>
        </is>
      </c>
      <c r="E105" t="inlineStr">
        <is>
          <t>ALE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52391-2025</t>
        </is>
      </c>
      <c r="B106" s="1" t="n">
        <v>45954.34305555555</v>
      </c>
      <c r="C106" s="1" t="n">
        <v>46158</v>
      </c>
      <c r="D106" t="inlineStr">
        <is>
          <t>VÄSTRA GÖTALANDS LÄN</t>
        </is>
      </c>
      <c r="E106" t="inlineStr">
        <is>
          <t>ALE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52423-2025</t>
        </is>
      </c>
      <c r="B107" s="1" t="n">
        <v>45954.37650462963</v>
      </c>
      <c r="C107" s="1" t="n">
        <v>46158</v>
      </c>
      <c r="D107" t="inlineStr">
        <is>
          <t>VÄSTRA GÖTALANDS LÄN</t>
        </is>
      </c>
      <c r="E107" t="inlineStr">
        <is>
          <t>ALE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200-2022</t>
        </is>
      </c>
      <c r="B108" s="1" t="n">
        <v>44564</v>
      </c>
      <c r="C108" s="1" t="n">
        <v>46158</v>
      </c>
      <c r="D108" t="inlineStr">
        <is>
          <t>VÄSTRA GÖTALANDS LÄN</t>
        </is>
      </c>
      <c r="E108" t="inlineStr">
        <is>
          <t>ALE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17044-2025</t>
        </is>
      </c>
      <c r="B109" s="1" t="n">
        <v>45755.58891203703</v>
      </c>
      <c r="C109" s="1" t="n">
        <v>46158</v>
      </c>
      <c r="D109" t="inlineStr">
        <is>
          <t>VÄSTRA GÖTALANDS LÄN</t>
        </is>
      </c>
      <c r="E109" t="inlineStr">
        <is>
          <t>ALE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8110-2026</t>
        </is>
      </c>
      <c r="B110" s="1" t="n">
        <v>46062</v>
      </c>
      <c r="C110" s="1" t="n">
        <v>46158</v>
      </c>
      <c r="D110" t="inlineStr">
        <is>
          <t>VÄSTRA GÖTALANDS LÄN</t>
        </is>
      </c>
      <c r="E110" t="inlineStr">
        <is>
          <t>ALE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8112-2026</t>
        </is>
      </c>
      <c r="B111" s="1" t="n">
        <v>46062</v>
      </c>
      <c r="C111" s="1" t="n">
        <v>46158</v>
      </c>
      <c r="D111" t="inlineStr">
        <is>
          <t>VÄSTRA GÖTALANDS LÄN</t>
        </is>
      </c>
      <c r="E111" t="inlineStr">
        <is>
          <t>ALE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8111-2026</t>
        </is>
      </c>
      <c r="B112" s="1" t="n">
        <v>46062</v>
      </c>
      <c r="C112" s="1" t="n">
        <v>46158</v>
      </c>
      <c r="D112" t="inlineStr">
        <is>
          <t>VÄSTRA GÖTALANDS LÄN</t>
        </is>
      </c>
      <c r="E112" t="inlineStr">
        <is>
          <t>ALE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49955-2021</t>
        </is>
      </c>
      <c r="B113" s="1" t="n">
        <v>44456</v>
      </c>
      <c r="C113" s="1" t="n">
        <v>46158</v>
      </c>
      <c r="D113" t="inlineStr">
        <is>
          <t>VÄSTRA GÖTALANDS LÄN</t>
        </is>
      </c>
      <c r="E113" t="inlineStr">
        <is>
          <t>ALE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34104-2024</t>
        </is>
      </c>
      <c r="B114" s="1" t="n">
        <v>45523.79202546296</v>
      </c>
      <c r="C114" s="1" t="n">
        <v>46158</v>
      </c>
      <c r="D114" t="inlineStr">
        <is>
          <t>VÄSTRA GÖTALANDS LÄN</t>
        </is>
      </c>
      <c r="E114" t="inlineStr">
        <is>
          <t>ALE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56905-2025</t>
        </is>
      </c>
      <c r="B115" s="1" t="n">
        <v>45978.57502314815</v>
      </c>
      <c r="C115" s="1" t="n">
        <v>46158</v>
      </c>
      <c r="D115" t="inlineStr">
        <is>
          <t>VÄSTRA GÖTALANDS LÄN</t>
        </is>
      </c>
      <c r="E115" t="inlineStr">
        <is>
          <t>ALE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48257-2022</t>
        </is>
      </c>
      <c r="B116" s="1" t="n">
        <v>44858.47591435185</v>
      </c>
      <c r="C116" s="1" t="n">
        <v>46158</v>
      </c>
      <c r="D116" t="inlineStr">
        <is>
          <t>VÄSTRA GÖTALANDS LÄN</t>
        </is>
      </c>
      <c r="E116" t="inlineStr">
        <is>
          <t>ALE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17355-2026</t>
        </is>
      </c>
      <c r="B117" s="1" t="n">
        <v>46119.67001157408</v>
      </c>
      <c r="C117" s="1" t="n">
        <v>46158</v>
      </c>
      <c r="D117" t="inlineStr">
        <is>
          <t>VÄSTRA GÖTALANDS LÄN</t>
        </is>
      </c>
      <c r="E117" t="inlineStr">
        <is>
          <t>ALE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1687-2024</t>
        </is>
      </c>
      <c r="B118" s="1" t="n">
        <v>45306</v>
      </c>
      <c r="C118" s="1" t="n">
        <v>46158</v>
      </c>
      <c r="D118" t="inlineStr">
        <is>
          <t>VÄSTRA GÖTALANDS LÄN</t>
        </is>
      </c>
      <c r="E118" t="inlineStr">
        <is>
          <t>ALE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10459-2026</t>
        </is>
      </c>
      <c r="B119" s="1" t="n">
        <v>46077.45564814815</v>
      </c>
      <c r="C119" s="1" t="n">
        <v>46158</v>
      </c>
      <c r="D119" t="inlineStr">
        <is>
          <t>VÄSTRA GÖTALANDS LÄN</t>
        </is>
      </c>
      <c r="E119" t="inlineStr">
        <is>
          <t>ALE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58414-2025</t>
        </is>
      </c>
      <c r="B120" s="1" t="n">
        <v>45985.57778935185</v>
      </c>
      <c r="C120" s="1" t="n">
        <v>46158</v>
      </c>
      <c r="D120" t="inlineStr">
        <is>
          <t>VÄSTRA GÖTALANDS LÄN</t>
        </is>
      </c>
      <c r="E120" t="inlineStr">
        <is>
          <t>ALE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50451-2024</t>
        </is>
      </c>
      <c r="B121" s="1" t="n">
        <v>45601.44248842593</v>
      </c>
      <c r="C121" s="1" t="n">
        <v>46158</v>
      </c>
      <c r="D121" t="inlineStr">
        <is>
          <t>VÄSTRA GÖTALANDS LÄN</t>
        </is>
      </c>
      <c r="E121" t="inlineStr">
        <is>
          <t>ALE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49680-2024</t>
        </is>
      </c>
      <c r="B122" s="1" t="n">
        <v>45596.66880787037</v>
      </c>
      <c r="C122" s="1" t="n">
        <v>46158</v>
      </c>
      <c r="D122" t="inlineStr">
        <is>
          <t>VÄSTRA GÖTALANDS LÄN</t>
        </is>
      </c>
      <c r="E122" t="inlineStr">
        <is>
          <t>ALE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31407-2025</t>
        </is>
      </c>
      <c r="B123" s="1" t="n">
        <v>45833</v>
      </c>
      <c r="C123" s="1" t="n">
        <v>46158</v>
      </c>
      <c r="D123" t="inlineStr">
        <is>
          <t>VÄSTRA GÖTALANDS LÄN</t>
        </is>
      </c>
      <c r="E123" t="inlineStr">
        <is>
          <t>ALE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59409-2025</t>
        </is>
      </c>
      <c r="B124" s="1" t="n">
        <v>45989.49545138889</v>
      </c>
      <c r="C124" s="1" t="n">
        <v>46158</v>
      </c>
      <c r="D124" t="inlineStr">
        <is>
          <t>VÄSTRA GÖTALANDS LÄN</t>
        </is>
      </c>
      <c r="E124" t="inlineStr">
        <is>
          <t>ALE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60287-2025</t>
        </is>
      </c>
      <c r="B125" s="1" t="n">
        <v>45994.64711805555</v>
      </c>
      <c r="C125" s="1" t="n">
        <v>46158</v>
      </c>
      <c r="D125" t="inlineStr">
        <is>
          <t>VÄSTRA GÖTALANDS LÄN</t>
        </is>
      </c>
      <c r="E125" t="inlineStr">
        <is>
          <t>ALE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61744-2025</t>
        </is>
      </c>
      <c r="B126" s="1" t="n">
        <v>46002.60298611111</v>
      </c>
      <c r="C126" s="1" t="n">
        <v>46158</v>
      </c>
      <c r="D126" t="inlineStr">
        <is>
          <t>VÄSTRA GÖTALANDS LÄN</t>
        </is>
      </c>
      <c r="E126" t="inlineStr">
        <is>
          <t>ALE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61771-2025</t>
        </is>
      </c>
      <c r="B127" s="1" t="n">
        <v>46002.6478587963</v>
      </c>
      <c r="C127" s="1" t="n">
        <v>46158</v>
      </c>
      <c r="D127" t="inlineStr">
        <is>
          <t>VÄSTRA GÖTALANDS LÄN</t>
        </is>
      </c>
      <c r="E127" t="inlineStr">
        <is>
          <t>ALE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61819-2025</t>
        </is>
      </c>
      <c r="B128" s="1" t="n">
        <v>46003.3241087963</v>
      </c>
      <c r="C128" s="1" t="n">
        <v>46158</v>
      </c>
      <c r="D128" t="inlineStr">
        <is>
          <t>VÄSTRA GÖTALANDS LÄN</t>
        </is>
      </c>
      <c r="E128" t="inlineStr">
        <is>
          <t>ALE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7807-2023</t>
        </is>
      </c>
      <c r="B129" s="1" t="n">
        <v>44973</v>
      </c>
      <c r="C129" s="1" t="n">
        <v>46158</v>
      </c>
      <c r="D129" t="inlineStr">
        <is>
          <t>VÄSTRA GÖTALANDS LÄN</t>
        </is>
      </c>
      <c r="E129" t="inlineStr">
        <is>
          <t>ALE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62828-2025</t>
        </is>
      </c>
      <c r="B130" s="1" t="n">
        <v>46008.66553240741</v>
      </c>
      <c r="C130" s="1" t="n">
        <v>46158</v>
      </c>
      <c r="D130" t="inlineStr">
        <is>
          <t>VÄSTRA GÖTALANDS LÄN</t>
        </is>
      </c>
      <c r="E130" t="inlineStr">
        <is>
          <t>ALE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55488-2022</t>
        </is>
      </c>
      <c r="B131" s="1" t="n">
        <v>44887</v>
      </c>
      <c r="C131" s="1" t="n">
        <v>46158</v>
      </c>
      <c r="D131" t="inlineStr">
        <is>
          <t>VÄSTRA GÖTALANDS LÄN</t>
        </is>
      </c>
      <c r="E131" t="inlineStr">
        <is>
          <t>ALE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42446-2023</t>
        </is>
      </c>
      <c r="B132" s="1" t="n">
        <v>45180</v>
      </c>
      <c r="C132" s="1" t="n">
        <v>46158</v>
      </c>
      <c r="D132" t="inlineStr">
        <is>
          <t>VÄSTRA GÖTALANDS LÄN</t>
        </is>
      </c>
      <c r="E132" t="inlineStr">
        <is>
          <t>ALE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8956-2025</t>
        </is>
      </c>
      <c r="B133" s="1" t="n">
        <v>45713.46825231481</v>
      </c>
      <c r="C133" s="1" t="n">
        <v>46158</v>
      </c>
      <c r="D133" t="inlineStr">
        <is>
          <t>VÄSTRA GÖTALANDS LÄN</t>
        </is>
      </c>
      <c r="E133" t="inlineStr">
        <is>
          <t>ALE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67160-2021</t>
        </is>
      </c>
      <c r="B134" s="1" t="n">
        <v>44523</v>
      </c>
      <c r="C134" s="1" t="n">
        <v>46158</v>
      </c>
      <c r="D134" t="inlineStr">
        <is>
          <t>VÄSTRA GÖTALANDS LÄN</t>
        </is>
      </c>
      <c r="E134" t="inlineStr">
        <is>
          <t>ALE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16344-2023</t>
        </is>
      </c>
      <c r="B135" s="1" t="n">
        <v>45028</v>
      </c>
      <c r="C135" s="1" t="n">
        <v>46158</v>
      </c>
      <c r="D135" t="inlineStr">
        <is>
          <t>VÄSTRA GÖTALANDS LÄN</t>
        </is>
      </c>
      <c r="E135" t="inlineStr">
        <is>
          <t>ALE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32762-2023</t>
        </is>
      </c>
      <c r="B136" s="1" t="n">
        <v>45123.46649305556</v>
      </c>
      <c r="C136" s="1" t="n">
        <v>46158</v>
      </c>
      <c r="D136" t="inlineStr">
        <is>
          <t>VÄSTRA GÖTALANDS LÄN</t>
        </is>
      </c>
      <c r="E136" t="inlineStr">
        <is>
          <t>ALE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41598-2022</t>
        </is>
      </c>
      <c r="B137" s="1" t="n">
        <v>44827.4609837963</v>
      </c>
      <c r="C137" s="1" t="n">
        <v>46158</v>
      </c>
      <c r="D137" t="inlineStr">
        <is>
          <t>VÄSTRA GÖTALANDS LÄN</t>
        </is>
      </c>
      <c r="E137" t="inlineStr">
        <is>
          <t>ALE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14458-2024</t>
        </is>
      </c>
      <c r="B138" s="1" t="n">
        <v>45394</v>
      </c>
      <c r="C138" s="1" t="n">
        <v>46158</v>
      </c>
      <c r="D138" t="inlineStr">
        <is>
          <t>VÄSTRA GÖTALANDS LÄN</t>
        </is>
      </c>
      <c r="E138" t="inlineStr">
        <is>
          <t>ALE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47087-2023</t>
        </is>
      </c>
      <c r="B139" s="1" t="n">
        <v>45196</v>
      </c>
      <c r="C139" s="1" t="n">
        <v>46158</v>
      </c>
      <c r="D139" t="inlineStr">
        <is>
          <t>VÄSTRA GÖTALANDS LÄN</t>
        </is>
      </c>
      <c r="E139" t="inlineStr">
        <is>
          <t>ALE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4642-2024</t>
        </is>
      </c>
      <c r="B140" s="1" t="n">
        <v>45328.43502314815</v>
      </c>
      <c r="C140" s="1" t="n">
        <v>46158</v>
      </c>
      <c r="D140" t="inlineStr">
        <is>
          <t>VÄSTRA GÖTALANDS LÄN</t>
        </is>
      </c>
      <c r="E140" t="inlineStr">
        <is>
          <t>ALE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19613-2026</t>
        </is>
      </c>
      <c r="B141" s="1" t="n">
        <v>46134.50324074074</v>
      </c>
      <c r="C141" s="1" t="n">
        <v>46158</v>
      </c>
      <c r="D141" t="inlineStr">
        <is>
          <t>VÄSTRA GÖTALANDS LÄN</t>
        </is>
      </c>
      <c r="E141" t="inlineStr">
        <is>
          <t>ALE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13306-2026</t>
        </is>
      </c>
      <c r="B142" s="1" t="n">
        <v>46094.33344907407</v>
      </c>
      <c r="C142" s="1" t="n">
        <v>46158</v>
      </c>
      <c r="D142" t="inlineStr">
        <is>
          <t>VÄSTRA GÖTALANDS LÄN</t>
        </is>
      </c>
      <c r="E142" t="inlineStr">
        <is>
          <t>ALE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14731-2022</t>
        </is>
      </c>
      <c r="B143" s="1" t="n">
        <v>44656</v>
      </c>
      <c r="C143" s="1" t="n">
        <v>46158</v>
      </c>
      <c r="D143" t="inlineStr">
        <is>
          <t>VÄSTRA GÖTALANDS LÄN</t>
        </is>
      </c>
      <c r="E143" t="inlineStr">
        <is>
          <t>ALE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17199-2026</t>
        </is>
      </c>
      <c r="B144" s="1" t="n">
        <v>46118</v>
      </c>
      <c r="C144" s="1" t="n">
        <v>46158</v>
      </c>
      <c r="D144" t="inlineStr">
        <is>
          <t>VÄSTRA GÖTALANDS LÄN</t>
        </is>
      </c>
      <c r="E144" t="inlineStr">
        <is>
          <t>ALE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3520-2022</t>
        </is>
      </c>
      <c r="B145" s="1" t="n">
        <v>44585.72818287037</v>
      </c>
      <c r="C145" s="1" t="n">
        <v>46158</v>
      </c>
      <c r="D145" t="inlineStr">
        <is>
          <t>VÄSTRA GÖTALANDS LÄN</t>
        </is>
      </c>
      <c r="E145" t="inlineStr">
        <is>
          <t>ALE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33237-2024</t>
        </is>
      </c>
      <c r="B146" s="1" t="n">
        <v>45518.59173611111</v>
      </c>
      <c r="C146" s="1" t="n">
        <v>46158</v>
      </c>
      <c r="D146" t="inlineStr">
        <is>
          <t>VÄSTRA GÖTALANDS LÄN</t>
        </is>
      </c>
      <c r="E146" t="inlineStr">
        <is>
          <t>ALE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44429-2023</t>
        </is>
      </c>
      <c r="B147" s="1" t="n">
        <v>45189.35101851852</v>
      </c>
      <c r="C147" s="1" t="n">
        <v>46158</v>
      </c>
      <c r="D147" t="inlineStr">
        <is>
          <t>VÄSTRA GÖTALANDS LÄN</t>
        </is>
      </c>
      <c r="E147" t="inlineStr">
        <is>
          <t>ALE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7892-2024</t>
        </is>
      </c>
      <c r="B148" s="1" t="n">
        <v>45350.40921296296</v>
      </c>
      <c r="C148" s="1" t="n">
        <v>46158</v>
      </c>
      <c r="D148" t="inlineStr">
        <is>
          <t>VÄSTRA GÖTALANDS LÄN</t>
        </is>
      </c>
      <c r="E148" t="inlineStr">
        <is>
          <t>ALE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51164-2024</t>
        </is>
      </c>
      <c r="B149" s="1" t="n">
        <v>45603.5830787037</v>
      </c>
      <c r="C149" s="1" t="n">
        <v>46158</v>
      </c>
      <c r="D149" t="inlineStr">
        <is>
          <t>VÄSTRA GÖTALANDS LÄN</t>
        </is>
      </c>
      <c r="E149" t="inlineStr">
        <is>
          <t>ALE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4444-2024</t>
        </is>
      </c>
      <c r="B150" s="1" t="n">
        <v>45327</v>
      </c>
      <c r="C150" s="1" t="n">
        <v>46158</v>
      </c>
      <c r="D150" t="inlineStr">
        <is>
          <t>VÄSTRA GÖTALANDS LÄN</t>
        </is>
      </c>
      <c r="E150" t="inlineStr">
        <is>
          <t>ALE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72801-2021</t>
        </is>
      </c>
      <c r="B151" s="1" t="n">
        <v>44546</v>
      </c>
      <c r="C151" s="1" t="n">
        <v>46158</v>
      </c>
      <c r="D151" t="inlineStr">
        <is>
          <t>VÄSTRA GÖTALANDS LÄN</t>
        </is>
      </c>
      <c r="E151" t="inlineStr">
        <is>
          <t>ALE</t>
        </is>
      </c>
      <c r="F151" t="inlineStr">
        <is>
          <t>Naturvårdsverket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17639-2026</t>
        </is>
      </c>
      <c r="B152" s="1" t="n">
        <v>46121</v>
      </c>
      <c r="C152" s="1" t="n">
        <v>46158</v>
      </c>
      <c r="D152" t="inlineStr">
        <is>
          <t>VÄSTRA GÖTALANDS LÄN</t>
        </is>
      </c>
      <c r="E152" t="inlineStr">
        <is>
          <t>ALE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22420-2026</t>
        </is>
      </c>
      <c r="B153" s="1" t="n">
        <v>46154.69827546296</v>
      </c>
      <c r="C153" s="1" t="n">
        <v>46158</v>
      </c>
      <c r="D153" t="inlineStr">
        <is>
          <t>VÄSTRA GÖTALANDS LÄN</t>
        </is>
      </c>
      <c r="E153" t="inlineStr">
        <is>
          <t>ALE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1822-2024</t>
        </is>
      </c>
      <c r="B154" s="1" t="n">
        <v>45307.6205787037</v>
      </c>
      <c r="C154" s="1" t="n">
        <v>46158</v>
      </c>
      <c r="D154" t="inlineStr">
        <is>
          <t>VÄSTRA GÖTALANDS LÄN</t>
        </is>
      </c>
      <c r="E154" t="inlineStr">
        <is>
          <t>ALE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15241-2025</t>
        </is>
      </c>
      <c r="B155" s="1" t="n">
        <v>45744.61255787037</v>
      </c>
      <c r="C155" s="1" t="n">
        <v>46158</v>
      </c>
      <c r="D155" t="inlineStr">
        <is>
          <t>VÄSTRA GÖTALANDS LÄN</t>
        </is>
      </c>
      <c r="E155" t="inlineStr">
        <is>
          <t>ALE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6947-2024</t>
        </is>
      </c>
      <c r="B156" s="1" t="n">
        <v>45343</v>
      </c>
      <c r="C156" s="1" t="n">
        <v>46158</v>
      </c>
      <c r="D156" t="inlineStr">
        <is>
          <t>VÄSTRA GÖTALANDS LÄN</t>
        </is>
      </c>
      <c r="E156" t="inlineStr">
        <is>
          <t>ALE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34153-2024</t>
        </is>
      </c>
      <c r="B157" s="1" t="n">
        <v>45524.38400462963</v>
      </c>
      <c r="C157" s="1" t="n">
        <v>46158</v>
      </c>
      <c r="D157" t="inlineStr">
        <is>
          <t>VÄSTRA GÖTALANDS LÄN</t>
        </is>
      </c>
      <c r="E157" t="inlineStr">
        <is>
          <t>ALE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41309-2024</t>
        </is>
      </c>
      <c r="B158" s="1" t="n">
        <v>45559</v>
      </c>
      <c r="C158" s="1" t="n">
        <v>46158</v>
      </c>
      <c r="D158" t="inlineStr">
        <is>
          <t>VÄSTRA GÖTALANDS LÄN</t>
        </is>
      </c>
      <c r="E158" t="inlineStr">
        <is>
          <t>ALE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15499-2022</t>
        </is>
      </c>
      <c r="B159" s="1" t="n">
        <v>44662</v>
      </c>
      <c r="C159" s="1" t="n">
        <v>46158</v>
      </c>
      <c r="D159" t="inlineStr">
        <is>
          <t>VÄSTRA GÖTALANDS LÄN</t>
        </is>
      </c>
      <c r="E159" t="inlineStr">
        <is>
          <t>ALE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3413-2023</t>
        </is>
      </c>
      <c r="B160" s="1" t="n">
        <v>44949</v>
      </c>
      <c r="C160" s="1" t="n">
        <v>46158</v>
      </c>
      <c r="D160" t="inlineStr">
        <is>
          <t>VÄSTRA GÖTALANDS LÄN</t>
        </is>
      </c>
      <c r="E160" t="inlineStr">
        <is>
          <t>ALE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27314-2021</t>
        </is>
      </c>
      <c r="B161" s="1" t="n">
        <v>44351.36537037037</v>
      </c>
      <c r="C161" s="1" t="n">
        <v>46158</v>
      </c>
      <c r="D161" t="inlineStr">
        <is>
          <t>VÄSTRA GÖTALANDS LÄN</t>
        </is>
      </c>
      <c r="E161" t="inlineStr">
        <is>
          <t>ALE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1960-2024</t>
        </is>
      </c>
      <c r="B162" s="1" t="n">
        <v>45308.50962962963</v>
      </c>
      <c r="C162" s="1" t="n">
        <v>46158</v>
      </c>
      <c r="D162" t="inlineStr">
        <is>
          <t>VÄSTRA GÖTALANDS LÄN</t>
        </is>
      </c>
      <c r="E162" t="inlineStr">
        <is>
          <t>ALE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3418-2023</t>
        </is>
      </c>
      <c r="B163" s="1" t="n">
        <v>44949.56182870371</v>
      </c>
      <c r="C163" s="1" t="n">
        <v>46158</v>
      </c>
      <c r="D163" t="inlineStr">
        <is>
          <t>VÄSTRA GÖTALANDS LÄN</t>
        </is>
      </c>
      <c r="E163" t="inlineStr">
        <is>
          <t>ALE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65226-2021</t>
        </is>
      </c>
      <c r="B164" s="1" t="n">
        <v>44515</v>
      </c>
      <c r="C164" s="1" t="n">
        <v>46158</v>
      </c>
      <c r="D164" t="inlineStr">
        <is>
          <t>VÄSTRA GÖTALANDS LÄN</t>
        </is>
      </c>
      <c r="E164" t="inlineStr">
        <is>
          <t>ALE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12055-2022</t>
        </is>
      </c>
      <c r="B165" s="1" t="n">
        <v>44636</v>
      </c>
      <c r="C165" s="1" t="n">
        <v>46158</v>
      </c>
      <c r="D165" t="inlineStr">
        <is>
          <t>VÄSTRA GÖTALANDS LÄN</t>
        </is>
      </c>
      <c r="E165" t="inlineStr">
        <is>
          <t>ALE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3457-2022</t>
        </is>
      </c>
      <c r="B166" s="1" t="n">
        <v>44585</v>
      </c>
      <c r="C166" s="1" t="n">
        <v>46158</v>
      </c>
      <c r="D166" t="inlineStr">
        <is>
          <t>VÄSTRA GÖTALANDS LÄN</t>
        </is>
      </c>
      <c r="E166" t="inlineStr">
        <is>
          <t>ALE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5916-2023</t>
        </is>
      </c>
      <c r="B167" s="1" t="n">
        <v>44963</v>
      </c>
      <c r="C167" s="1" t="n">
        <v>46158</v>
      </c>
      <c r="D167" t="inlineStr">
        <is>
          <t>VÄSTRA GÖTALANDS LÄN</t>
        </is>
      </c>
      <c r="E167" t="inlineStr">
        <is>
          <t>ALE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4363-2024</t>
        </is>
      </c>
      <c r="B168" s="1" t="n">
        <v>45325</v>
      </c>
      <c r="C168" s="1" t="n">
        <v>46158</v>
      </c>
      <c r="D168" t="inlineStr">
        <is>
          <t>VÄSTRA GÖTALANDS LÄN</t>
        </is>
      </c>
      <c r="E168" t="inlineStr">
        <is>
          <t>ALE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16601-2025</t>
        </is>
      </c>
      <c r="B169" s="1" t="n">
        <v>45753.53189814815</v>
      </c>
      <c r="C169" s="1" t="n">
        <v>46158</v>
      </c>
      <c r="D169" t="inlineStr">
        <is>
          <t>VÄSTRA GÖTALANDS LÄN</t>
        </is>
      </c>
      <c r="E169" t="inlineStr">
        <is>
          <t>ALE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20067-2023</t>
        </is>
      </c>
      <c r="B170" s="1" t="n">
        <v>45054</v>
      </c>
      <c r="C170" s="1" t="n">
        <v>46158</v>
      </c>
      <c r="D170" t="inlineStr">
        <is>
          <t>VÄSTRA GÖTALANDS LÄN</t>
        </is>
      </c>
      <c r="E170" t="inlineStr">
        <is>
          <t>ALE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1500-2024</t>
        </is>
      </c>
      <c r="B171" s="1" t="n">
        <v>45306</v>
      </c>
      <c r="C171" s="1" t="n">
        <v>46158</v>
      </c>
      <c r="D171" t="inlineStr">
        <is>
          <t>VÄSTRA GÖTALANDS LÄN</t>
        </is>
      </c>
      <c r="E171" t="inlineStr">
        <is>
          <t>ALE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6916-2023</t>
        </is>
      </c>
      <c r="B172" s="1" t="n">
        <v>44967.53349537037</v>
      </c>
      <c r="C172" s="1" t="n">
        <v>46158</v>
      </c>
      <c r="D172" t="inlineStr">
        <is>
          <t>VÄSTRA GÖTALANDS LÄN</t>
        </is>
      </c>
      <c r="E172" t="inlineStr">
        <is>
          <t>ALE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64199-2021</t>
        </is>
      </c>
      <c r="B173" s="1" t="n">
        <v>44510</v>
      </c>
      <c r="C173" s="1" t="n">
        <v>46158</v>
      </c>
      <c r="D173" t="inlineStr">
        <is>
          <t>VÄSTRA GÖTALANDS LÄN</t>
        </is>
      </c>
      <c r="E173" t="inlineStr">
        <is>
          <t>ALE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15582-2025</t>
        </is>
      </c>
      <c r="B174" s="1" t="n">
        <v>45747.81394675926</v>
      </c>
      <c r="C174" s="1" t="n">
        <v>46158</v>
      </c>
      <c r="D174" t="inlineStr">
        <is>
          <t>VÄSTRA GÖTALANDS LÄN</t>
        </is>
      </c>
      <c r="E174" t="inlineStr">
        <is>
          <t>ALE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22946-2025</t>
        </is>
      </c>
      <c r="B175" s="1" t="n">
        <v>45790.48229166667</v>
      </c>
      <c r="C175" s="1" t="n">
        <v>46158</v>
      </c>
      <c r="D175" t="inlineStr">
        <is>
          <t>VÄSTRA GÖTALANDS LÄN</t>
        </is>
      </c>
      <c r="E175" t="inlineStr">
        <is>
          <t>ALE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2026-05-16T12:12:52Z</dcterms:created>
  <dcterms:modified xmlns:dcterms="http://purl.org/dc/terms/" xmlns:xsi="http://www.w3.org/2001/XMLSchema-instance" xsi:type="dcterms:W3CDTF">2026-05-16T12:12:52Z</dcterms:modified>
</cp:coreProperties>
</file>