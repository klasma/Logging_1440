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45263</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45263</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45263</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45263</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45263</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45263</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45263</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5653-2019</t>
        </is>
      </c>
      <c r="B9" s="1" t="n">
        <v>43489</v>
      </c>
      <c r="C9" s="1" t="n">
        <v>45263</v>
      </c>
      <c r="D9" t="inlineStr">
        <is>
          <t>VÄSTRA GÖTALANDS LÄN</t>
        </is>
      </c>
      <c r="E9" t="inlineStr">
        <is>
          <t>ALE</t>
        </is>
      </c>
      <c r="G9" t="n">
        <v>4.7</v>
      </c>
      <c r="H9" t="n">
        <v>5</v>
      </c>
      <c r="I9" t="n">
        <v>1</v>
      </c>
      <c r="J9" t="n">
        <v>1</v>
      </c>
      <c r="K9" t="n">
        <v>1</v>
      </c>
      <c r="L9" t="n">
        <v>0</v>
      </c>
      <c r="M9" t="n">
        <v>0</v>
      </c>
      <c r="N9" t="n">
        <v>0</v>
      </c>
      <c r="O9" t="n">
        <v>2</v>
      </c>
      <c r="P9" t="n">
        <v>1</v>
      </c>
      <c r="Q9" t="n">
        <v>5</v>
      </c>
      <c r="R9" s="2" t="inlineStr">
        <is>
          <t>Knärot
Talltita
Plattlummer
Mattlummer
Revlummer</t>
        </is>
      </c>
      <c r="S9">
        <f>HYPERLINK("https://klasma.github.io/Logging_1440/artfynd/A 5653-2019 artfynd.xlsx", "A 5653-2019")</f>
        <v/>
      </c>
      <c r="T9">
        <f>HYPERLINK("https://klasma.github.io/Logging_1440/kartor/A 5653-2019 karta.png", "A 5653-2019")</f>
        <v/>
      </c>
      <c r="U9">
        <f>HYPERLINK("https://klasma.github.io/Logging_1440/knärot/A 5653-2019 karta knärot.png", "A 5653-2019")</f>
        <v/>
      </c>
      <c r="V9">
        <f>HYPERLINK("https://klasma.github.io/Logging_1440/klagomål/A 5653-2019 FSC-klagomål.docx", "A 5653-2019")</f>
        <v/>
      </c>
      <c r="W9">
        <f>HYPERLINK("https://klasma.github.io/Logging_1440/klagomålsmail/A 5653-2019 FSC-klagomål mail.docx", "A 5653-2019")</f>
        <v/>
      </c>
      <c r="X9">
        <f>HYPERLINK("https://klasma.github.io/Logging_1440/tillsyn/A 5653-2019 tillsynsbegäran.docx", "A 5653-2019")</f>
        <v/>
      </c>
      <c r="Y9">
        <f>HYPERLINK("https://klasma.github.io/Logging_1440/tillsynsmail/A 5653-2019 tillsynsbegäran mail.docx", "A 5653-2019")</f>
        <v/>
      </c>
    </row>
    <row r="10" ht="15" customHeight="1">
      <c r="A10" t="inlineStr">
        <is>
          <t>A 1456-2020</t>
        </is>
      </c>
      <c r="B10" s="1" t="n">
        <v>43843</v>
      </c>
      <c r="C10" s="1" t="n">
        <v>45263</v>
      </c>
      <c r="D10" t="inlineStr">
        <is>
          <t>VÄSTRA GÖTALANDS LÄN</t>
        </is>
      </c>
      <c r="E10" t="inlineStr">
        <is>
          <t>ALE</t>
        </is>
      </c>
      <c r="G10" t="n">
        <v>2</v>
      </c>
      <c r="H10" t="n">
        <v>2</v>
      </c>
      <c r="I10" t="n">
        <v>1</v>
      </c>
      <c r="J10" t="n">
        <v>2</v>
      </c>
      <c r="K10" t="n">
        <v>0</v>
      </c>
      <c r="L10" t="n">
        <v>0</v>
      </c>
      <c r="M10" t="n">
        <v>0</v>
      </c>
      <c r="N10" t="n">
        <v>0</v>
      </c>
      <c r="O10" t="n">
        <v>2</v>
      </c>
      <c r="P10" t="n">
        <v>0</v>
      </c>
      <c r="Q10" t="n">
        <v>3</v>
      </c>
      <c r="R10" s="2" t="inlineStr">
        <is>
          <t>Gulsparv
Spillkråka
Fällmossa</t>
        </is>
      </c>
      <c r="S10">
        <f>HYPERLINK("https://klasma.github.io/Logging_1440/artfynd/A 1456-2020 artfynd.xlsx", "A 1456-2020")</f>
        <v/>
      </c>
      <c r="T10">
        <f>HYPERLINK("https://klasma.github.io/Logging_1440/kartor/A 1456-2020 karta.png", "A 1456-2020")</f>
        <v/>
      </c>
      <c r="V10">
        <f>HYPERLINK("https://klasma.github.io/Logging_1440/klagomål/A 1456-2020 FSC-klagomål.docx", "A 1456-2020")</f>
        <v/>
      </c>
      <c r="W10">
        <f>HYPERLINK("https://klasma.github.io/Logging_1440/klagomålsmail/A 1456-2020 FSC-klagomål mail.docx", "A 1456-2020")</f>
        <v/>
      </c>
      <c r="X10">
        <f>HYPERLINK("https://klasma.github.io/Logging_1440/tillsyn/A 1456-2020 tillsynsbegäran.docx", "A 1456-2020")</f>
        <v/>
      </c>
      <c r="Y10">
        <f>HYPERLINK("https://klasma.github.io/Logging_1440/tillsynsmail/A 1456-2020 tillsynsbegäran mail.docx", "A 1456-2020")</f>
        <v/>
      </c>
    </row>
    <row r="11" ht="15" customHeight="1">
      <c r="A11" t="inlineStr">
        <is>
          <t>A 13029-2020</t>
        </is>
      </c>
      <c r="B11" s="1" t="n">
        <v>43900</v>
      </c>
      <c r="C11" s="1" t="n">
        <v>45263</v>
      </c>
      <c r="D11" t="inlineStr">
        <is>
          <t>VÄSTRA GÖTALANDS LÄN</t>
        </is>
      </c>
      <c r="E11" t="inlineStr">
        <is>
          <t>ALE</t>
        </is>
      </c>
      <c r="G11" t="n">
        <v>8.300000000000001</v>
      </c>
      <c r="H11" t="n">
        <v>1</v>
      </c>
      <c r="I11" t="n">
        <v>2</v>
      </c>
      <c r="J11" t="n">
        <v>0</v>
      </c>
      <c r="K11" t="n">
        <v>0</v>
      </c>
      <c r="L11" t="n">
        <v>0</v>
      </c>
      <c r="M11" t="n">
        <v>0</v>
      </c>
      <c r="N11" t="n">
        <v>0</v>
      </c>
      <c r="O11" t="n">
        <v>0</v>
      </c>
      <c r="P11" t="n">
        <v>0</v>
      </c>
      <c r="Q11" t="n">
        <v>3</v>
      </c>
      <c r="R11" s="2" t="inlineStr">
        <is>
          <t>Blåmossa
Västlig hakmossa
Revlummer</t>
        </is>
      </c>
      <c r="S11">
        <f>HYPERLINK("https://klasma.github.io/Logging_1440/artfynd/A 13029-2020 artfynd.xlsx", "A 13029-2020")</f>
        <v/>
      </c>
      <c r="T11">
        <f>HYPERLINK("https://klasma.github.io/Logging_1440/kartor/A 13029-2020 karta.png", "A 13029-2020")</f>
        <v/>
      </c>
      <c r="V11">
        <f>HYPERLINK("https://klasma.github.io/Logging_1440/klagomål/A 13029-2020 FSC-klagomål.docx", "A 13029-2020")</f>
        <v/>
      </c>
      <c r="W11">
        <f>HYPERLINK("https://klasma.github.io/Logging_1440/klagomålsmail/A 13029-2020 FSC-klagomål mail.docx", "A 13029-2020")</f>
        <v/>
      </c>
      <c r="X11">
        <f>HYPERLINK("https://klasma.github.io/Logging_1440/tillsyn/A 13029-2020 tillsynsbegäran.docx", "A 13029-2020")</f>
        <v/>
      </c>
      <c r="Y11">
        <f>HYPERLINK("https://klasma.github.io/Logging_1440/tillsynsmail/A 13029-2020 tillsynsbegäran mail.docx", "A 13029-2020")</f>
        <v/>
      </c>
    </row>
    <row r="12" ht="15" customHeight="1">
      <c r="A12" t="inlineStr">
        <is>
          <t>A 25432-2019</t>
        </is>
      </c>
      <c r="B12" s="1" t="n">
        <v>43606</v>
      </c>
      <c r="C12" s="1" t="n">
        <v>45263</v>
      </c>
      <c r="D12" t="inlineStr">
        <is>
          <t>VÄSTRA GÖTALANDS LÄN</t>
        </is>
      </c>
      <c r="E12" t="inlineStr">
        <is>
          <t>ALE</t>
        </is>
      </c>
      <c r="G12" t="n">
        <v>5</v>
      </c>
      <c r="H12" t="n">
        <v>0</v>
      </c>
      <c r="I12" t="n">
        <v>2</v>
      </c>
      <c r="J12" t="n">
        <v>0</v>
      </c>
      <c r="K12" t="n">
        <v>0</v>
      </c>
      <c r="L12" t="n">
        <v>0</v>
      </c>
      <c r="M12" t="n">
        <v>0</v>
      </c>
      <c r="N12" t="n">
        <v>0</v>
      </c>
      <c r="O12" t="n">
        <v>0</v>
      </c>
      <c r="P12" t="n">
        <v>0</v>
      </c>
      <c r="Q12" t="n">
        <v>2</v>
      </c>
      <c r="R12" s="2" t="inlineStr">
        <is>
          <t>Blåmossa
Klippfrullania</t>
        </is>
      </c>
      <c r="S12">
        <f>HYPERLINK("https://klasma.github.io/Logging_1440/artfynd/A 25432-2019 artfynd.xlsx", "A 25432-2019")</f>
        <v/>
      </c>
      <c r="T12">
        <f>HYPERLINK("https://klasma.github.io/Logging_1440/kartor/A 25432-2019 karta.png", "A 25432-2019")</f>
        <v/>
      </c>
      <c r="V12">
        <f>HYPERLINK("https://klasma.github.io/Logging_1440/klagomål/A 25432-2019 FSC-klagomål.docx", "A 25432-2019")</f>
        <v/>
      </c>
      <c r="W12">
        <f>HYPERLINK("https://klasma.github.io/Logging_1440/klagomålsmail/A 25432-2019 FSC-klagomål mail.docx", "A 25432-2019")</f>
        <v/>
      </c>
      <c r="X12">
        <f>HYPERLINK("https://klasma.github.io/Logging_1440/tillsyn/A 25432-2019 tillsynsbegäran.docx", "A 25432-2019")</f>
        <v/>
      </c>
      <c r="Y12">
        <f>HYPERLINK("https://klasma.github.io/Logging_1440/tillsynsmail/A 25432-2019 tillsynsbegäran mail.docx", "A 25432-2019")</f>
        <v/>
      </c>
    </row>
    <row r="13" ht="15" customHeight="1">
      <c r="A13" t="inlineStr">
        <is>
          <t>A 38382-2019</t>
        </is>
      </c>
      <c r="B13" s="1" t="n">
        <v>43685</v>
      </c>
      <c r="C13" s="1" t="n">
        <v>45263</v>
      </c>
      <c r="D13" t="inlineStr">
        <is>
          <t>VÄSTRA GÖTALANDS LÄN</t>
        </is>
      </c>
      <c r="E13" t="inlineStr">
        <is>
          <t>ALE</t>
        </is>
      </c>
      <c r="G13" t="n">
        <v>1.3</v>
      </c>
      <c r="H13" t="n">
        <v>2</v>
      </c>
      <c r="I13" t="n">
        <v>0</v>
      </c>
      <c r="J13" t="n">
        <v>1</v>
      </c>
      <c r="K13" t="n">
        <v>0</v>
      </c>
      <c r="L13" t="n">
        <v>0</v>
      </c>
      <c r="M13" t="n">
        <v>0</v>
      </c>
      <c r="N13" t="n">
        <v>0</v>
      </c>
      <c r="O13" t="n">
        <v>1</v>
      </c>
      <c r="P13" t="n">
        <v>0</v>
      </c>
      <c r="Q13" t="n">
        <v>2</v>
      </c>
      <c r="R13" s="2" t="inlineStr">
        <is>
          <t>Spillkråka
Revlummer</t>
        </is>
      </c>
      <c r="S13">
        <f>HYPERLINK("https://klasma.github.io/Logging_1440/artfynd/A 38382-2019 artfynd.xlsx", "A 38382-2019")</f>
        <v/>
      </c>
      <c r="T13">
        <f>HYPERLINK("https://klasma.github.io/Logging_1440/kartor/A 38382-2019 karta.png", "A 38382-2019")</f>
        <v/>
      </c>
      <c r="V13">
        <f>HYPERLINK("https://klasma.github.io/Logging_1440/klagomål/A 38382-2019 FSC-klagomål.docx", "A 38382-2019")</f>
        <v/>
      </c>
      <c r="W13">
        <f>HYPERLINK("https://klasma.github.io/Logging_1440/klagomålsmail/A 38382-2019 FSC-klagomål mail.docx", "A 38382-2019")</f>
        <v/>
      </c>
      <c r="X13">
        <f>HYPERLINK("https://klasma.github.io/Logging_1440/tillsyn/A 38382-2019 tillsynsbegäran.docx", "A 38382-2019")</f>
        <v/>
      </c>
      <c r="Y13">
        <f>HYPERLINK("https://klasma.github.io/Logging_1440/tillsynsmail/A 38382-2019 tillsynsbegäran mail.docx", "A 38382-2019")</f>
        <v/>
      </c>
    </row>
    <row r="14" ht="15" customHeight="1">
      <c r="A14" t="inlineStr">
        <is>
          <t>A 40983-2023</t>
        </is>
      </c>
      <c r="B14" s="1" t="n">
        <v>45173</v>
      </c>
      <c r="C14" s="1" t="n">
        <v>45263</v>
      </c>
      <c r="D14" t="inlineStr">
        <is>
          <t>VÄSTRA GÖTALANDS LÄN</t>
        </is>
      </c>
      <c r="E14" t="inlineStr">
        <is>
          <t>ALE</t>
        </is>
      </c>
      <c r="F14" t="inlineStr">
        <is>
          <t>Kyrkan</t>
        </is>
      </c>
      <c r="G14" t="n">
        <v>12.6</v>
      </c>
      <c r="H14" t="n">
        <v>2</v>
      </c>
      <c r="I14" t="n">
        <v>0</v>
      </c>
      <c r="J14" t="n">
        <v>2</v>
      </c>
      <c r="K14" t="n">
        <v>0</v>
      </c>
      <c r="L14" t="n">
        <v>0</v>
      </c>
      <c r="M14" t="n">
        <v>0</v>
      </c>
      <c r="N14" t="n">
        <v>0</v>
      </c>
      <c r="O14" t="n">
        <v>2</v>
      </c>
      <c r="P14" t="n">
        <v>0</v>
      </c>
      <c r="Q14" t="n">
        <v>2</v>
      </c>
      <c r="R14" s="2" t="inlineStr">
        <is>
          <t>Spillkråka
Talltita</t>
        </is>
      </c>
      <c r="S14">
        <f>HYPERLINK("https://klasma.github.io/Logging_1440/artfynd/A 40983-2023 artfynd.xlsx", "A 40983-2023")</f>
        <v/>
      </c>
      <c r="T14">
        <f>HYPERLINK("https://klasma.github.io/Logging_1440/kartor/A 40983-2023 karta.png", "A 40983-2023")</f>
        <v/>
      </c>
      <c r="V14">
        <f>HYPERLINK("https://klasma.github.io/Logging_1440/klagomål/A 40983-2023 FSC-klagomål.docx", "A 40983-2023")</f>
        <v/>
      </c>
      <c r="W14">
        <f>HYPERLINK("https://klasma.github.io/Logging_1440/klagomålsmail/A 40983-2023 FSC-klagomål mail.docx", "A 40983-2023")</f>
        <v/>
      </c>
      <c r="X14">
        <f>HYPERLINK("https://klasma.github.io/Logging_1440/tillsyn/A 40983-2023 tillsynsbegäran.docx", "A 40983-2023")</f>
        <v/>
      </c>
      <c r="Y14">
        <f>HYPERLINK("https://klasma.github.io/Logging_1440/tillsynsmail/A 40983-2023 tillsynsbegäran mail.docx", "A 40983-2023")</f>
        <v/>
      </c>
    </row>
    <row r="15" ht="15" customHeight="1">
      <c r="A15" t="inlineStr">
        <is>
          <t>A 67849-2018</t>
        </is>
      </c>
      <c r="B15" s="1" t="n">
        <v>43440</v>
      </c>
      <c r="C15" s="1" t="n">
        <v>45263</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45263</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45263</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45263</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45263</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45263</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45263</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45263</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45263</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45263</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45263</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45263</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45263</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45263</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45263</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45263</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45263</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45263</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45263</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45263</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45263</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45263</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45263</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45263</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45263</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45263</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45263</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45263</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45263</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45263</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45263</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45263</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45263</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45263</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45263</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45263</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45263</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45263</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45263</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45263</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45263</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45263</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45263</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45263</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45263</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45263</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45263</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45263</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45263</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45263</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45263</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45263</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45263</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45263</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45263</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45263</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45263</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45263</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45263</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45263</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45263</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45263</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45263</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45263</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45263</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45263</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45263</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45263</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45263</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45263</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45263</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45263</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45263</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45263</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45263</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45263</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45263</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45263</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45263</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45263</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45263</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45263</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45263</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45263</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45263</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45263</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45263</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45263</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45263</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45263</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45263</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45263</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45263</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45263</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45263</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45263</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45263</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45263</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45263</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45263</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45263</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45263</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45263</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45263</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45263</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45263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45263</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45263</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45263</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45263</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45263</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45263</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45263</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45263</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45263</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45263</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45263</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45263</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45263</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45263</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45263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45263</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45263</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45263</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45263</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45263</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45263</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45263</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45263</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45263</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45263</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45263</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45263</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45263</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45263</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45263</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45263</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45263</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45263</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45263</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45263</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45263</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45263</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45263</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45263</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45263</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45263</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45263</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45263</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45263</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45263</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45263</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45263</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45263</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45263</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45263</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45263</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45263</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45263</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c r="A174" t="inlineStr">
        <is>
          <t>A 59933-2023</t>
        </is>
      </c>
      <c r="B174" s="1" t="n">
        <v>45257</v>
      </c>
      <c r="C174" s="1" t="n">
        <v>45263</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2023-12-03T09:30:40Z</dcterms:created>
  <dcterms:modified xmlns:dcterms="http://purl.org/dc/terms/" xmlns:xsi="http://www.w3.org/2001/XMLSchema-instance" xsi:type="dcterms:W3CDTF">2023-12-03T09:30:40Z</dcterms:modified>
</cp:coreProperties>
</file>