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45904</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45904</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45904</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45904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45904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45904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45904</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45904</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45904</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45904</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45904</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19934-2025</t>
        </is>
      </c>
      <c r="B16" s="1" t="n">
        <v>45771</v>
      </c>
      <c r="C16" s="1" t="n">
        <v>45904</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45904</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37005-2025</t>
        </is>
      </c>
      <c r="B18" s="1" t="n">
        <v>45874.69311342593</v>
      </c>
      <c r="C18" s="1" t="n">
        <v>45904</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1503-2024</t>
        </is>
      </c>
      <c r="B19" s="1" t="n">
        <v>45306.35041666667</v>
      </c>
      <c r="C19" s="1" t="n">
        <v>45904</v>
      </c>
      <c r="D19" t="inlineStr">
        <is>
          <t>VÄSTRA GÖTALANDS LÄN</t>
        </is>
      </c>
      <c r="E19" t="inlineStr">
        <is>
          <t>ALE</t>
        </is>
      </c>
      <c r="G19" t="n">
        <v>6.6</v>
      </c>
      <c r="H19" t="n">
        <v>2</v>
      </c>
      <c r="I19" t="n">
        <v>0</v>
      </c>
      <c r="J19" t="n">
        <v>1</v>
      </c>
      <c r="K19" t="n">
        <v>0</v>
      </c>
      <c r="L19" t="n">
        <v>0</v>
      </c>
      <c r="M19" t="n">
        <v>0</v>
      </c>
      <c r="N19" t="n">
        <v>0</v>
      </c>
      <c r="O19" t="n">
        <v>1</v>
      </c>
      <c r="P19" t="n">
        <v>0</v>
      </c>
      <c r="Q19" t="n">
        <v>2</v>
      </c>
      <c r="R19" s="2" t="inlineStr">
        <is>
          <t>Spillkråka
Revlummer</t>
        </is>
      </c>
      <c r="S19">
        <f>HYPERLINK("https://klasma.github.io/Logging_1440/artfynd/A 1503-2024 artfynd.xlsx", "A 1503-2024")</f>
        <v/>
      </c>
      <c r="T19">
        <f>HYPERLINK("https://klasma.github.io/Logging_1440/kartor/A 1503-2024 karta.png", "A 1503-2024")</f>
        <v/>
      </c>
      <c r="V19">
        <f>HYPERLINK("https://klasma.github.io/Logging_1440/klagomål/A 1503-2024 FSC-klagomål.docx", "A 1503-2024")</f>
        <v/>
      </c>
      <c r="W19">
        <f>HYPERLINK("https://klasma.github.io/Logging_1440/klagomålsmail/A 1503-2024 FSC-klagomål mail.docx", "A 1503-2024")</f>
        <v/>
      </c>
      <c r="X19">
        <f>HYPERLINK("https://klasma.github.io/Logging_1440/tillsyn/A 1503-2024 tillsynsbegäran.docx", "A 1503-2024")</f>
        <v/>
      </c>
      <c r="Y19">
        <f>HYPERLINK("https://klasma.github.io/Logging_1440/tillsynsmail/A 1503-2024 tillsynsbegäran mail.docx", "A 1503-2024")</f>
        <v/>
      </c>
      <c r="Z19">
        <f>HYPERLINK("https://klasma.github.io/Logging_1440/fåglar/A 1503-2024 prioriterade fågelarter.docx", "A 1503-2024")</f>
        <v/>
      </c>
    </row>
    <row r="20" ht="15" customHeight="1">
      <c r="A20" t="inlineStr">
        <is>
          <t>A 2270-2025</t>
        </is>
      </c>
      <c r="B20" s="1" t="n">
        <v>45673.54403935185</v>
      </c>
      <c r="C20" s="1" t="n">
        <v>45904</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63569-2023</t>
        </is>
      </c>
      <c r="B21" s="1" t="n">
        <v>45275</v>
      </c>
      <c r="C21" s="1" t="n">
        <v>45904</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13380-2025</t>
        </is>
      </c>
      <c r="B22" s="1" t="n">
        <v>45735.6765162037</v>
      </c>
      <c r="C22" s="1" t="n">
        <v>45904</v>
      </c>
      <c r="D22" t="inlineStr">
        <is>
          <t>VÄSTRA GÖTALANDS LÄN</t>
        </is>
      </c>
      <c r="E22" t="inlineStr">
        <is>
          <t>ALE</t>
        </is>
      </c>
      <c r="G22" t="n">
        <v>1.8</v>
      </c>
      <c r="H22" t="n">
        <v>2</v>
      </c>
      <c r="I22" t="n">
        <v>0</v>
      </c>
      <c r="J22" t="n">
        <v>2</v>
      </c>
      <c r="K22" t="n">
        <v>0</v>
      </c>
      <c r="L22" t="n">
        <v>0</v>
      </c>
      <c r="M22" t="n">
        <v>0</v>
      </c>
      <c r="N22" t="n">
        <v>0</v>
      </c>
      <c r="O22" t="n">
        <v>2</v>
      </c>
      <c r="P22" t="n">
        <v>0</v>
      </c>
      <c r="Q22" t="n">
        <v>2</v>
      </c>
      <c r="R22" s="2" t="inlineStr">
        <is>
          <t>Entita
Spillkråka</t>
        </is>
      </c>
      <c r="S22">
        <f>HYPERLINK("https://klasma.github.io/Logging_1440/artfynd/A 13380-2025 artfynd.xlsx", "A 13380-2025")</f>
        <v/>
      </c>
      <c r="T22">
        <f>HYPERLINK("https://klasma.github.io/Logging_1440/kartor/A 13380-2025 karta.png", "A 13380-2025")</f>
        <v/>
      </c>
      <c r="V22">
        <f>HYPERLINK("https://klasma.github.io/Logging_1440/klagomål/A 13380-2025 FSC-klagomål.docx", "A 13380-2025")</f>
        <v/>
      </c>
      <c r="W22">
        <f>HYPERLINK("https://klasma.github.io/Logging_1440/klagomålsmail/A 13380-2025 FSC-klagomål mail.docx", "A 13380-2025")</f>
        <v/>
      </c>
      <c r="X22">
        <f>HYPERLINK("https://klasma.github.io/Logging_1440/tillsyn/A 13380-2025 tillsynsbegäran.docx", "A 13380-2025")</f>
        <v/>
      </c>
      <c r="Y22">
        <f>HYPERLINK("https://klasma.github.io/Logging_1440/tillsynsmail/A 13380-2025 tillsynsbegäran mail.docx", "A 13380-2025")</f>
        <v/>
      </c>
      <c r="Z22">
        <f>HYPERLINK("https://klasma.github.io/Logging_1440/fåglar/A 13380-2025 prioriterade fågelarter.docx", "A 13380-2025")</f>
        <v/>
      </c>
    </row>
    <row r="23" ht="15" customHeight="1">
      <c r="A23" t="inlineStr">
        <is>
          <t>A 16534-2025</t>
        </is>
      </c>
      <c r="B23" s="1" t="n">
        <v>45751.65315972222</v>
      </c>
      <c r="C23" s="1" t="n">
        <v>45904</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16534-2025 artfynd.xlsx", "A 16534-2025")</f>
        <v/>
      </c>
      <c r="T23">
        <f>HYPERLINK("https://klasma.github.io/Logging_1440/kartor/A 16534-2025 karta.png", "A 16534-2025")</f>
        <v/>
      </c>
      <c r="V23">
        <f>HYPERLINK("https://klasma.github.io/Logging_1440/klagomål/A 16534-2025 FSC-klagomål.docx", "A 16534-2025")</f>
        <v/>
      </c>
      <c r="W23">
        <f>HYPERLINK("https://klasma.github.io/Logging_1440/klagomålsmail/A 16534-2025 FSC-klagomål mail.docx", "A 16534-2025")</f>
        <v/>
      </c>
      <c r="X23">
        <f>HYPERLINK("https://klasma.github.io/Logging_1440/tillsyn/A 16534-2025 tillsynsbegäran.docx", "A 16534-2025")</f>
        <v/>
      </c>
      <c r="Y23">
        <f>HYPERLINK("https://klasma.github.io/Logging_1440/tillsynsmail/A 16534-2025 tillsynsbegäran mail.docx", "A 16534-2025")</f>
        <v/>
      </c>
      <c r="Z23">
        <f>HYPERLINK("https://klasma.github.io/Logging_1440/fåglar/A 16534-2025 prioriterade fågelarter.docx", "A 16534-2025")</f>
        <v/>
      </c>
    </row>
    <row r="24" ht="15" customHeight="1">
      <c r="A24" t="inlineStr">
        <is>
          <t>A 20586-2023</t>
        </is>
      </c>
      <c r="B24" s="1" t="n">
        <v>45057</v>
      </c>
      <c r="C24" s="1" t="n">
        <v>45904</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58954-2022</t>
        </is>
      </c>
      <c r="B25" s="1" t="n">
        <v>44903</v>
      </c>
      <c r="C25" s="1" t="n">
        <v>45904</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380-2025</t>
        </is>
      </c>
      <c r="B26" s="1" t="n">
        <v>45662.43456018518</v>
      </c>
      <c r="C26" s="1" t="n">
        <v>45904</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45904</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12084-2025</t>
        </is>
      </c>
      <c r="B28" s="1" t="n">
        <v>45728.95387731482</v>
      </c>
      <c r="C28" s="1" t="n">
        <v>45904</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26493-2024</t>
        </is>
      </c>
      <c r="B29" s="1" t="n">
        <v>45469</v>
      </c>
      <c r="C29" s="1" t="n">
        <v>45904</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26677-2025</t>
        </is>
      </c>
      <c r="B30" s="1" t="n">
        <v>45810.42446759259</v>
      </c>
      <c r="C30" s="1" t="n">
        <v>45904</v>
      </c>
      <c r="D30" t="inlineStr">
        <is>
          <t>VÄSTRA GÖTALANDS LÄN</t>
        </is>
      </c>
      <c r="E30" t="inlineStr">
        <is>
          <t>ALE</t>
        </is>
      </c>
      <c r="G30" t="n">
        <v>1.2</v>
      </c>
      <c r="H30" t="n">
        <v>0</v>
      </c>
      <c r="I30" t="n">
        <v>1</v>
      </c>
      <c r="J30" t="n">
        <v>0</v>
      </c>
      <c r="K30" t="n">
        <v>0</v>
      </c>
      <c r="L30" t="n">
        <v>0</v>
      </c>
      <c r="M30" t="n">
        <v>0</v>
      </c>
      <c r="N30" t="n">
        <v>0</v>
      </c>
      <c r="O30" t="n">
        <v>0</v>
      </c>
      <c r="P30" t="n">
        <v>0</v>
      </c>
      <c r="Q30" t="n">
        <v>1</v>
      </c>
      <c r="R30" s="2" t="inlineStr">
        <is>
          <t>Västlig hakmossa</t>
        </is>
      </c>
      <c r="S30">
        <f>HYPERLINK("https://klasma.github.io/Logging_1440/artfynd/A 26677-2025 artfynd.xlsx", "A 26677-2025")</f>
        <v/>
      </c>
      <c r="T30">
        <f>HYPERLINK("https://klasma.github.io/Logging_1440/kartor/A 26677-2025 karta.png", "A 26677-2025")</f>
        <v/>
      </c>
      <c r="V30">
        <f>HYPERLINK("https://klasma.github.io/Logging_1440/klagomål/A 26677-2025 FSC-klagomål.docx", "A 26677-2025")</f>
        <v/>
      </c>
      <c r="W30">
        <f>HYPERLINK("https://klasma.github.io/Logging_1440/klagomålsmail/A 26677-2025 FSC-klagomål mail.docx", "A 26677-2025")</f>
        <v/>
      </c>
      <c r="X30">
        <f>HYPERLINK("https://klasma.github.io/Logging_1440/tillsyn/A 26677-2025 tillsynsbegäran.docx", "A 26677-2025")</f>
        <v/>
      </c>
      <c r="Y30">
        <f>HYPERLINK("https://klasma.github.io/Logging_1440/tillsynsmail/A 26677-2025 tillsynsbegäran mail.docx", "A 26677-2025")</f>
        <v/>
      </c>
    </row>
    <row r="31" ht="15" customHeight="1">
      <c r="A31" t="inlineStr">
        <is>
          <t>A 13902-2025</t>
        </is>
      </c>
      <c r="B31" s="1" t="n">
        <v>45737.63446759259</v>
      </c>
      <c r="C31" s="1" t="n">
        <v>45904</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45904</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45904</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45904</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45904</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45904</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45904</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45904</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45904</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45904</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45904</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45904</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45904</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45904</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45904</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45904</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45904</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45904</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45904</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45904</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53144-2021</t>
        </is>
      </c>
      <c r="B51" s="1" t="n">
        <v>44468</v>
      </c>
      <c r="C51" s="1" t="n">
        <v>45904</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20285-2022</t>
        </is>
      </c>
      <c r="B52" s="1" t="n">
        <v>44698.76347222222</v>
      </c>
      <c r="C52" s="1" t="n">
        <v>45904</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45904</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45904</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45904</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45904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45904</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45904</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45904</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26083-2023</t>
        </is>
      </c>
      <c r="B60" s="1" t="n">
        <v>45091</v>
      </c>
      <c r="C60" s="1" t="n">
        <v>45904</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50451-2024</t>
        </is>
      </c>
      <c r="B61" s="1" t="n">
        <v>45601.44248842593</v>
      </c>
      <c r="C61" s="1" t="n">
        <v>45904</v>
      </c>
      <c r="D61" t="inlineStr">
        <is>
          <t>VÄSTRA GÖTALANDS LÄN</t>
        </is>
      </c>
      <c r="E61" t="inlineStr">
        <is>
          <t>ALE</t>
        </is>
      </c>
      <c r="G61" t="n">
        <v>2.9</v>
      </c>
      <c r="H61" t="n">
        <v>0</v>
      </c>
      <c r="I61" t="n">
        <v>0</v>
      </c>
      <c r="J61" t="n">
        <v>0</v>
      </c>
      <c r="K61" t="n">
        <v>0</v>
      </c>
      <c r="L61" t="n">
        <v>0</v>
      </c>
      <c r="M61" t="n">
        <v>0</v>
      </c>
      <c r="N61" t="n">
        <v>0</v>
      </c>
      <c r="O61" t="n">
        <v>0</v>
      </c>
      <c r="P61" t="n">
        <v>0</v>
      </c>
      <c r="Q61" t="n">
        <v>0</v>
      </c>
      <c r="R61" s="2" t="inlineStr"/>
    </row>
    <row r="62" ht="15" customHeight="1">
      <c r="A62" t="inlineStr">
        <is>
          <t>A 44429-2023</t>
        </is>
      </c>
      <c r="B62" s="1" t="n">
        <v>45189.35101851852</v>
      </c>
      <c r="C62" s="1" t="n">
        <v>45904</v>
      </c>
      <c r="D62" t="inlineStr">
        <is>
          <t>VÄSTRA GÖTALANDS LÄN</t>
        </is>
      </c>
      <c r="E62" t="inlineStr">
        <is>
          <t>ALE</t>
        </is>
      </c>
      <c r="G62" t="n">
        <v>0.1</v>
      </c>
      <c r="H62" t="n">
        <v>0</v>
      </c>
      <c r="I62" t="n">
        <v>0</v>
      </c>
      <c r="J62" t="n">
        <v>0</v>
      </c>
      <c r="K62" t="n">
        <v>0</v>
      </c>
      <c r="L62" t="n">
        <v>0</v>
      </c>
      <c r="M62" t="n">
        <v>0</v>
      </c>
      <c r="N62" t="n">
        <v>0</v>
      </c>
      <c r="O62" t="n">
        <v>0</v>
      </c>
      <c r="P62" t="n">
        <v>0</v>
      </c>
      <c r="Q62" t="n">
        <v>0</v>
      </c>
      <c r="R62" s="2" t="inlineStr"/>
    </row>
    <row r="63" ht="15" customHeight="1">
      <c r="A63" t="inlineStr">
        <is>
          <t>A 6916-2023</t>
        </is>
      </c>
      <c r="B63" s="1" t="n">
        <v>44967.53349537037</v>
      </c>
      <c r="C63" s="1" t="n">
        <v>45904</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16344-2023</t>
        </is>
      </c>
      <c r="B64" s="1" t="n">
        <v>45028</v>
      </c>
      <c r="C64" s="1" t="n">
        <v>45904</v>
      </c>
      <c r="D64" t="inlineStr">
        <is>
          <t>VÄSTRA GÖTALANDS LÄN</t>
        </is>
      </c>
      <c r="E64" t="inlineStr">
        <is>
          <t>ALE</t>
        </is>
      </c>
      <c r="G64" t="n">
        <v>6.6</v>
      </c>
      <c r="H64" t="n">
        <v>0</v>
      </c>
      <c r="I64" t="n">
        <v>0</v>
      </c>
      <c r="J64" t="n">
        <v>0</v>
      </c>
      <c r="K64" t="n">
        <v>0</v>
      </c>
      <c r="L64" t="n">
        <v>0</v>
      </c>
      <c r="M64" t="n">
        <v>0</v>
      </c>
      <c r="N64" t="n">
        <v>0</v>
      </c>
      <c r="O64" t="n">
        <v>0</v>
      </c>
      <c r="P64" t="n">
        <v>0</v>
      </c>
      <c r="Q64" t="n">
        <v>0</v>
      </c>
      <c r="R64" s="2" t="inlineStr"/>
    </row>
    <row r="65" ht="15" customHeight="1">
      <c r="A65" t="inlineStr">
        <is>
          <t>A 4363-2024</t>
        </is>
      </c>
      <c r="B65" s="1" t="n">
        <v>45325</v>
      </c>
      <c r="C65" s="1" t="n">
        <v>45904</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45988-2021</t>
        </is>
      </c>
      <c r="B66" s="1" t="n">
        <v>44441</v>
      </c>
      <c r="C66" s="1" t="n">
        <v>45904</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45904</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45904</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45904</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34104-2024</t>
        </is>
      </c>
      <c r="B70" s="1" t="n">
        <v>45523.79202546296</v>
      </c>
      <c r="C70" s="1" t="n">
        <v>45904</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20067-2023</t>
        </is>
      </c>
      <c r="B71" s="1" t="n">
        <v>45054</v>
      </c>
      <c r="C71" s="1" t="n">
        <v>45904</v>
      </c>
      <c r="D71" t="inlineStr">
        <is>
          <t>VÄSTRA GÖTALANDS LÄN</t>
        </is>
      </c>
      <c r="E71" t="inlineStr">
        <is>
          <t>ALE</t>
        </is>
      </c>
      <c r="G71" t="n">
        <v>0.4</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45904</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57473-2022</t>
        </is>
      </c>
      <c r="B73" s="1" t="n">
        <v>44896</v>
      </c>
      <c r="C73" s="1" t="n">
        <v>45904</v>
      </c>
      <c r="D73" t="inlineStr">
        <is>
          <t>VÄSTRA GÖTALANDS LÄN</t>
        </is>
      </c>
      <c r="E73" t="inlineStr">
        <is>
          <t>ALE</t>
        </is>
      </c>
      <c r="G73" t="n">
        <v>0.7</v>
      </c>
      <c r="H73" t="n">
        <v>0</v>
      </c>
      <c r="I73" t="n">
        <v>0</v>
      </c>
      <c r="J73" t="n">
        <v>0</v>
      </c>
      <c r="K73" t="n">
        <v>0</v>
      </c>
      <c r="L73" t="n">
        <v>0</v>
      </c>
      <c r="M73" t="n">
        <v>0</v>
      </c>
      <c r="N73" t="n">
        <v>0</v>
      </c>
      <c r="O73" t="n">
        <v>0</v>
      </c>
      <c r="P73" t="n">
        <v>0</v>
      </c>
      <c r="Q73" t="n">
        <v>0</v>
      </c>
      <c r="R73" s="2" t="inlineStr"/>
    </row>
    <row r="74" ht="15" customHeight="1">
      <c r="A74" t="inlineStr">
        <is>
          <t>A 37461-2024</t>
        </is>
      </c>
      <c r="B74" s="1" t="n">
        <v>45540.72516203704</v>
      </c>
      <c r="C74" s="1" t="n">
        <v>45904</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45904</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45904</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45904</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25848-2025</t>
        </is>
      </c>
      <c r="B78" s="1" t="n">
        <v>45804</v>
      </c>
      <c r="C78" s="1" t="n">
        <v>45904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1960-2024</t>
        </is>
      </c>
      <c r="B79" s="1" t="n">
        <v>45308.50962962963</v>
      </c>
      <c r="C79" s="1" t="n">
        <v>45904</v>
      </c>
      <c r="D79" t="inlineStr">
        <is>
          <t>VÄSTRA GÖTALANDS LÄN</t>
        </is>
      </c>
      <c r="E79" t="inlineStr">
        <is>
          <t>ALE</t>
        </is>
      </c>
      <c r="G79" t="n">
        <v>1.9</v>
      </c>
      <c r="H79" t="n">
        <v>0</v>
      </c>
      <c r="I79" t="n">
        <v>0</v>
      </c>
      <c r="J79" t="n">
        <v>0</v>
      </c>
      <c r="K79" t="n">
        <v>0</v>
      </c>
      <c r="L79" t="n">
        <v>0</v>
      </c>
      <c r="M79" t="n">
        <v>0</v>
      </c>
      <c r="N79" t="n">
        <v>0</v>
      </c>
      <c r="O79" t="n">
        <v>0</v>
      </c>
      <c r="P79" t="n">
        <v>0</v>
      </c>
      <c r="Q79" t="n">
        <v>0</v>
      </c>
      <c r="R79" s="2" t="inlineStr"/>
    </row>
    <row r="80" ht="15" customHeight="1">
      <c r="A80" t="inlineStr">
        <is>
          <t>A 41607-2022</t>
        </is>
      </c>
      <c r="B80" s="1" t="n">
        <v>44827.46658564815</v>
      </c>
      <c r="C80" s="1" t="n">
        <v>45904</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15499-2022</t>
        </is>
      </c>
      <c r="B81" s="1" t="n">
        <v>44662</v>
      </c>
      <c r="C81" s="1" t="n">
        <v>45904</v>
      </c>
      <c r="D81" t="inlineStr">
        <is>
          <t>VÄSTRA GÖTALANDS LÄN</t>
        </is>
      </c>
      <c r="E81" t="inlineStr">
        <is>
          <t>ALE</t>
        </is>
      </c>
      <c r="G81" t="n">
        <v>4.7</v>
      </c>
      <c r="H81" t="n">
        <v>0</v>
      </c>
      <c r="I81" t="n">
        <v>0</v>
      </c>
      <c r="J81" t="n">
        <v>0</v>
      </c>
      <c r="K81" t="n">
        <v>0</v>
      </c>
      <c r="L81" t="n">
        <v>0</v>
      </c>
      <c r="M81" t="n">
        <v>0</v>
      </c>
      <c r="N81" t="n">
        <v>0</v>
      </c>
      <c r="O81" t="n">
        <v>0</v>
      </c>
      <c r="P81" t="n">
        <v>0</v>
      </c>
      <c r="Q81" t="n">
        <v>0</v>
      </c>
      <c r="R81" s="2" t="inlineStr"/>
    </row>
    <row r="82" ht="15" customHeight="1">
      <c r="A82" t="inlineStr">
        <is>
          <t>A 25840-2025</t>
        </is>
      </c>
      <c r="B82" s="1" t="n">
        <v>45804</v>
      </c>
      <c r="C82" s="1" t="n">
        <v>45904</v>
      </c>
      <c r="D82" t="inlineStr">
        <is>
          <t>VÄSTRA GÖTALANDS LÄN</t>
        </is>
      </c>
      <c r="E82" t="inlineStr">
        <is>
          <t>ALE</t>
        </is>
      </c>
      <c r="G82" t="n">
        <v>3.8</v>
      </c>
      <c r="H82" t="n">
        <v>0</v>
      </c>
      <c r="I82" t="n">
        <v>0</v>
      </c>
      <c r="J82" t="n">
        <v>0</v>
      </c>
      <c r="K82" t="n">
        <v>0</v>
      </c>
      <c r="L82" t="n">
        <v>0</v>
      </c>
      <c r="M82" t="n">
        <v>0</v>
      </c>
      <c r="N82" t="n">
        <v>0</v>
      </c>
      <c r="O82" t="n">
        <v>0</v>
      </c>
      <c r="P82" t="n">
        <v>0</v>
      </c>
      <c r="Q82" t="n">
        <v>0</v>
      </c>
      <c r="R82" s="2" t="inlineStr"/>
    </row>
    <row r="83" ht="15" customHeight="1">
      <c r="A83" t="inlineStr">
        <is>
          <t>A 41309-2024</t>
        </is>
      </c>
      <c r="B83" s="1" t="n">
        <v>45559</v>
      </c>
      <c r="C83" s="1" t="n">
        <v>45904</v>
      </c>
      <c r="D83" t="inlineStr">
        <is>
          <t>VÄSTRA GÖTALANDS LÄN</t>
        </is>
      </c>
      <c r="E83" t="inlineStr">
        <is>
          <t>ALE</t>
        </is>
      </c>
      <c r="G83" t="n">
        <v>8.4</v>
      </c>
      <c r="H83" t="n">
        <v>0</v>
      </c>
      <c r="I83" t="n">
        <v>0</v>
      </c>
      <c r="J83" t="n">
        <v>0</v>
      </c>
      <c r="K83" t="n">
        <v>0</v>
      </c>
      <c r="L83" t="n">
        <v>0</v>
      </c>
      <c r="M83" t="n">
        <v>0</v>
      </c>
      <c r="N83" t="n">
        <v>0</v>
      </c>
      <c r="O83" t="n">
        <v>0</v>
      </c>
      <c r="P83" t="n">
        <v>0</v>
      </c>
      <c r="Q83" t="n">
        <v>0</v>
      </c>
      <c r="R83" s="2" t="inlineStr"/>
    </row>
    <row r="84" ht="15" customHeight="1">
      <c r="A84" t="inlineStr">
        <is>
          <t>A 53476-2023</t>
        </is>
      </c>
      <c r="B84" s="1" t="n">
        <v>45230.33737268519</v>
      </c>
      <c r="C84" s="1" t="n">
        <v>45904</v>
      </c>
      <c r="D84" t="inlineStr">
        <is>
          <t>VÄSTRA GÖTALANDS LÄN</t>
        </is>
      </c>
      <c r="E84" t="inlineStr">
        <is>
          <t>ALE</t>
        </is>
      </c>
      <c r="G84" t="n">
        <v>1.9</v>
      </c>
      <c r="H84" t="n">
        <v>0</v>
      </c>
      <c r="I84" t="n">
        <v>0</v>
      </c>
      <c r="J84" t="n">
        <v>0</v>
      </c>
      <c r="K84" t="n">
        <v>0</v>
      </c>
      <c r="L84" t="n">
        <v>0</v>
      </c>
      <c r="M84" t="n">
        <v>0</v>
      </c>
      <c r="N84" t="n">
        <v>0</v>
      </c>
      <c r="O84" t="n">
        <v>0</v>
      </c>
      <c r="P84" t="n">
        <v>0</v>
      </c>
      <c r="Q84" t="n">
        <v>0</v>
      </c>
      <c r="R84" s="2" t="inlineStr"/>
    </row>
    <row r="85" ht="15" customHeight="1">
      <c r="A85" t="inlineStr">
        <is>
          <t>A 55405-2021</t>
        </is>
      </c>
      <c r="B85" s="1" t="n">
        <v>44475.53733796296</v>
      </c>
      <c r="C85" s="1" t="n">
        <v>45904</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51164-2024</t>
        </is>
      </c>
      <c r="B86" s="1" t="n">
        <v>45603.5830787037</v>
      </c>
      <c r="C86" s="1" t="n">
        <v>45904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63575-2023</t>
        </is>
      </c>
      <c r="B87" s="1" t="n">
        <v>45275.39715277778</v>
      </c>
      <c r="C87" s="1" t="n">
        <v>45904</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7807-2023</t>
        </is>
      </c>
      <c r="B88" s="1" t="n">
        <v>44973</v>
      </c>
      <c r="C88" s="1" t="n">
        <v>45904</v>
      </c>
      <c r="D88" t="inlineStr">
        <is>
          <t>VÄSTRA GÖTALANDS LÄN</t>
        </is>
      </c>
      <c r="E88" t="inlineStr">
        <is>
          <t>ALE</t>
        </is>
      </c>
      <c r="G88" t="n">
        <v>10.5</v>
      </c>
      <c r="H88" t="n">
        <v>0</v>
      </c>
      <c r="I88" t="n">
        <v>0</v>
      </c>
      <c r="J88" t="n">
        <v>0</v>
      </c>
      <c r="K88" t="n">
        <v>0</v>
      </c>
      <c r="L88" t="n">
        <v>0</v>
      </c>
      <c r="M88" t="n">
        <v>0</v>
      </c>
      <c r="N88" t="n">
        <v>0</v>
      </c>
      <c r="O88" t="n">
        <v>0</v>
      </c>
      <c r="P88" t="n">
        <v>0</v>
      </c>
      <c r="Q88" t="n">
        <v>0</v>
      </c>
      <c r="R88" s="2" t="inlineStr"/>
    </row>
    <row r="89" ht="15" customHeight="1">
      <c r="A89" t="inlineStr">
        <is>
          <t>A 3413-2023</t>
        </is>
      </c>
      <c r="B89" s="1" t="n">
        <v>44949</v>
      </c>
      <c r="C89" s="1" t="n">
        <v>45904</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56493-2021</t>
        </is>
      </c>
      <c r="B90" s="1" t="n">
        <v>44480.57173611111</v>
      </c>
      <c r="C90" s="1" t="n">
        <v>45904</v>
      </c>
      <c r="D90" t="inlineStr">
        <is>
          <t>VÄSTRA GÖTALANDS LÄN</t>
        </is>
      </c>
      <c r="E90" t="inlineStr">
        <is>
          <t>ALE</t>
        </is>
      </c>
      <c r="G90" t="n">
        <v>1.7</v>
      </c>
      <c r="H90" t="n">
        <v>0</v>
      </c>
      <c r="I90" t="n">
        <v>0</v>
      </c>
      <c r="J90" t="n">
        <v>0</v>
      </c>
      <c r="K90" t="n">
        <v>0</v>
      </c>
      <c r="L90" t="n">
        <v>0</v>
      </c>
      <c r="M90" t="n">
        <v>0</v>
      </c>
      <c r="N90" t="n">
        <v>0</v>
      </c>
      <c r="O90" t="n">
        <v>0</v>
      </c>
      <c r="P90" t="n">
        <v>0</v>
      </c>
      <c r="Q90" t="n">
        <v>0</v>
      </c>
      <c r="R90" s="2" t="inlineStr"/>
    </row>
    <row r="91" ht="15" customHeight="1">
      <c r="A91" t="inlineStr">
        <is>
          <t>A 18637-2023</t>
        </is>
      </c>
      <c r="B91" s="1" t="n">
        <v>45043</v>
      </c>
      <c r="C91" s="1" t="n">
        <v>45904</v>
      </c>
      <c r="D91" t="inlineStr">
        <is>
          <t>VÄSTRA GÖTALANDS LÄN</t>
        </is>
      </c>
      <c r="E91" t="inlineStr">
        <is>
          <t>ALE</t>
        </is>
      </c>
      <c r="G91" t="n">
        <v>3.6</v>
      </c>
      <c r="H91" t="n">
        <v>0</v>
      </c>
      <c r="I91" t="n">
        <v>0</v>
      </c>
      <c r="J91" t="n">
        <v>0</v>
      </c>
      <c r="K91" t="n">
        <v>0</v>
      </c>
      <c r="L91" t="n">
        <v>0</v>
      </c>
      <c r="M91" t="n">
        <v>0</v>
      </c>
      <c r="N91" t="n">
        <v>0</v>
      </c>
      <c r="O91" t="n">
        <v>0</v>
      </c>
      <c r="P91" t="n">
        <v>0</v>
      </c>
      <c r="Q91" t="n">
        <v>0</v>
      </c>
      <c r="R91" s="2" t="inlineStr"/>
    </row>
    <row r="92" ht="15" customHeight="1">
      <c r="A92" t="inlineStr">
        <is>
          <t>A 59933-2023</t>
        </is>
      </c>
      <c r="B92" s="1" t="n">
        <v>45257</v>
      </c>
      <c r="C92" s="1" t="n">
        <v>45904</v>
      </c>
      <c r="D92" t="inlineStr">
        <is>
          <t>VÄSTRA GÖTALANDS LÄN</t>
        </is>
      </c>
      <c r="E92" t="inlineStr">
        <is>
          <t>ALE</t>
        </is>
      </c>
      <c r="G92" t="n">
        <v>2.7</v>
      </c>
      <c r="H92" t="n">
        <v>0</v>
      </c>
      <c r="I92" t="n">
        <v>0</v>
      </c>
      <c r="J92" t="n">
        <v>0</v>
      </c>
      <c r="K92" t="n">
        <v>0</v>
      </c>
      <c r="L92" t="n">
        <v>0</v>
      </c>
      <c r="M92" t="n">
        <v>0</v>
      </c>
      <c r="N92" t="n">
        <v>0</v>
      </c>
      <c r="O92" t="n">
        <v>0</v>
      </c>
      <c r="P92" t="n">
        <v>0</v>
      </c>
      <c r="Q92" t="n">
        <v>0</v>
      </c>
      <c r="R92" s="2" t="inlineStr"/>
    </row>
    <row r="93" ht="15" customHeight="1">
      <c r="A93" t="inlineStr">
        <is>
          <t>A 24642-2022</t>
        </is>
      </c>
      <c r="B93" s="1" t="n">
        <v>44727.59578703704</v>
      </c>
      <c r="C93" s="1" t="n">
        <v>45904</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8659-2025</t>
        </is>
      </c>
      <c r="B94" s="1" t="n">
        <v>45712</v>
      </c>
      <c r="C94" s="1" t="n">
        <v>45904</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5344-2024</t>
        </is>
      </c>
      <c r="B95" s="1" t="n">
        <v>45331</v>
      </c>
      <c r="C95" s="1" t="n">
        <v>45904</v>
      </c>
      <c r="D95" t="inlineStr">
        <is>
          <t>VÄSTRA GÖTALANDS LÄN</t>
        </is>
      </c>
      <c r="E95" t="inlineStr">
        <is>
          <t>ALE</t>
        </is>
      </c>
      <c r="G95" t="n">
        <v>2.5</v>
      </c>
      <c r="H95" t="n">
        <v>0</v>
      </c>
      <c r="I95" t="n">
        <v>0</v>
      </c>
      <c r="J95" t="n">
        <v>0</v>
      </c>
      <c r="K95" t="n">
        <v>0</v>
      </c>
      <c r="L95" t="n">
        <v>0</v>
      </c>
      <c r="M95" t="n">
        <v>0</v>
      </c>
      <c r="N95" t="n">
        <v>0</v>
      </c>
      <c r="O95" t="n">
        <v>0</v>
      </c>
      <c r="P95" t="n">
        <v>0</v>
      </c>
      <c r="Q95" t="n">
        <v>0</v>
      </c>
      <c r="R95" s="2" t="inlineStr"/>
    </row>
    <row r="96" ht="15" customHeight="1">
      <c r="A96" t="inlineStr">
        <is>
          <t>A 32762-2023</t>
        </is>
      </c>
      <c r="B96" s="1" t="n">
        <v>45123.46649305556</v>
      </c>
      <c r="C96" s="1" t="n">
        <v>45904</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29373-2025</t>
        </is>
      </c>
      <c r="B97" s="1" t="n">
        <v>45824.579375</v>
      </c>
      <c r="C97" s="1" t="n">
        <v>45904</v>
      </c>
      <c r="D97" t="inlineStr">
        <is>
          <t>VÄSTRA GÖTALANDS LÄN</t>
        </is>
      </c>
      <c r="E97" t="inlineStr">
        <is>
          <t>ALE</t>
        </is>
      </c>
      <c r="G97" t="n">
        <v>4.6</v>
      </c>
      <c r="H97" t="n">
        <v>0</v>
      </c>
      <c r="I97" t="n">
        <v>0</v>
      </c>
      <c r="J97" t="n">
        <v>0</v>
      </c>
      <c r="K97" t="n">
        <v>0</v>
      </c>
      <c r="L97" t="n">
        <v>0</v>
      </c>
      <c r="M97" t="n">
        <v>0</v>
      </c>
      <c r="N97" t="n">
        <v>0</v>
      </c>
      <c r="O97" t="n">
        <v>0</v>
      </c>
      <c r="P97" t="n">
        <v>0</v>
      </c>
      <c r="Q97" t="n">
        <v>0</v>
      </c>
      <c r="R97" s="2" t="inlineStr"/>
    </row>
    <row r="98" ht="15" customHeight="1">
      <c r="A98" t="inlineStr">
        <is>
          <t>A 13426-2025</t>
        </is>
      </c>
      <c r="B98" s="1" t="n">
        <v>45736.32780092592</v>
      </c>
      <c r="C98" s="1" t="n">
        <v>45904</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13382-2025</t>
        </is>
      </c>
      <c r="B99" s="1" t="n">
        <v>45735.67928240741</v>
      </c>
      <c r="C99" s="1" t="n">
        <v>45904</v>
      </c>
      <c r="D99" t="inlineStr">
        <is>
          <t>VÄSTRA GÖTALANDS LÄN</t>
        </is>
      </c>
      <c r="E99" t="inlineStr">
        <is>
          <t>ALE</t>
        </is>
      </c>
      <c r="G99" t="n">
        <v>0.9</v>
      </c>
      <c r="H99" t="n">
        <v>0</v>
      </c>
      <c r="I99" t="n">
        <v>0</v>
      </c>
      <c r="J99" t="n">
        <v>0</v>
      </c>
      <c r="K99" t="n">
        <v>0</v>
      </c>
      <c r="L99" t="n">
        <v>0</v>
      </c>
      <c r="M99" t="n">
        <v>0</v>
      </c>
      <c r="N99" t="n">
        <v>0</v>
      </c>
      <c r="O99" t="n">
        <v>0</v>
      </c>
      <c r="P99" t="n">
        <v>0</v>
      </c>
      <c r="Q99" t="n">
        <v>0</v>
      </c>
      <c r="R99" s="2" t="inlineStr"/>
    </row>
    <row r="100" ht="15" customHeight="1">
      <c r="A100" t="inlineStr">
        <is>
          <t>A 13903-2025</t>
        </is>
      </c>
      <c r="B100" s="1" t="n">
        <v>45737.63481481482</v>
      </c>
      <c r="C100" s="1" t="n">
        <v>45904</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51564-2023</t>
        </is>
      </c>
      <c r="B101" s="1" t="n">
        <v>45222</v>
      </c>
      <c r="C101" s="1" t="n">
        <v>45904</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31407-2025</t>
        </is>
      </c>
      <c r="B102" s="1" t="n">
        <v>45833</v>
      </c>
      <c r="C102" s="1" t="n">
        <v>45904</v>
      </c>
      <c r="D102" t="inlineStr">
        <is>
          <t>VÄSTRA GÖTALANDS LÄN</t>
        </is>
      </c>
      <c r="E102" t="inlineStr">
        <is>
          <t>ALE</t>
        </is>
      </c>
      <c r="G102" t="n">
        <v>0.8</v>
      </c>
      <c r="H102" t="n">
        <v>0</v>
      </c>
      <c r="I102" t="n">
        <v>0</v>
      </c>
      <c r="J102" t="n">
        <v>0</v>
      </c>
      <c r="K102" t="n">
        <v>0</v>
      </c>
      <c r="L102" t="n">
        <v>0</v>
      </c>
      <c r="M102" t="n">
        <v>0</v>
      </c>
      <c r="N102" t="n">
        <v>0</v>
      </c>
      <c r="O102" t="n">
        <v>0</v>
      </c>
      <c r="P102" t="n">
        <v>0</v>
      </c>
      <c r="Q102" t="n">
        <v>0</v>
      </c>
      <c r="R102" s="2" t="inlineStr"/>
    </row>
    <row r="103" ht="15" customHeight="1">
      <c r="A103" t="inlineStr">
        <is>
          <t>A 31409-2025</t>
        </is>
      </c>
      <c r="B103" s="1" t="n">
        <v>45833</v>
      </c>
      <c r="C103" s="1" t="n">
        <v>45904</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31488-2025</t>
        </is>
      </c>
      <c r="B104" s="1" t="n">
        <v>45833</v>
      </c>
      <c r="C104" s="1" t="n">
        <v>45904</v>
      </c>
      <c r="D104" t="inlineStr">
        <is>
          <t>VÄSTRA GÖTALANDS LÄN</t>
        </is>
      </c>
      <c r="E104" t="inlineStr">
        <is>
          <t>ALE</t>
        </is>
      </c>
      <c r="G104" t="n">
        <v>1.8</v>
      </c>
      <c r="H104" t="n">
        <v>0</v>
      </c>
      <c r="I104" t="n">
        <v>0</v>
      </c>
      <c r="J104" t="n">
        <v>0</v>
      </c>
      <c r="K104" t="n">
        <v>0</v>
      </c>
      <c r="L104" t="n">
        <v>0</v>
      </c>
      <c r="M104" t="n">
        <v>0</v>
      </c>
      <c r="N104" t="n">
        <v>0</v>
      </c>
      <c r="O104" t="n">
        <v>0</v>
      </c>
      <c r="P104" t="n">
        <v>0</v>
      </c>
      <c r="Q104" t="n">
        <v>0</v>
      </c>
      <c r="R104" s="2" t="inlineStr"/>
    </row>
    <row r="105" ht="15" customHeight="1">
      <c r="A105" t="inlineStr">
        <is>
          <t>A 31533-2025</t>
        </is>
      </c>
      <c r="B105" s="1" t="n">
        <v>45833</v>
      </c>
      <c r="C105" s="1" t="n">
        <v>45904</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35959-2022</t>
        </is>
      </c>
      <c r="B106" s="1" t="n">
        <v>44802.57002314815</v>
      </c>
      <c r="C106" s="1" t="n">
        <v>45904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32394-2025</t>
        </is>
      </c>
      <c r="B107" s="1" t="n">
        <v>45837.91665509259</v>
      </c>
      <c r="C107" s="1" t="n">
        <v>45904</v>
      </c>
      <c r="D107" t="inlineStr">
        <is>
          <t>VÄSTRA GÖTALANDS LÄN</t>
        </is>
      </c>
      <c r="E107" t="inlineStr">
        <is>
          <t>ALE</t>
        </is>
      </c>
      <c r="G107" t="n">
        <v>3.4</v>
      </c>
      <c r="H107" t="n">
        <v>0</v>
      </c>
      <c r="I107" t="n">
        <v>0</v>
      </c>
      <c r="J107" t="n">
        <v>0</v>
      </c>
      <c r="K107" t="n">
        <v>0</v>
      </c>
      <c r="L107" t="n">
        <v>0</v>
      </c>
      <c r="M107" t="n">
        <v>0</v>
      </c>
      <c r="N107" t="n">
        <v>0</v>
      </c>
      <c r="O107" t="n">
        <v>0</v>
      </c>
      <c r="P107" t="n">
        <v>0</v>
      </c>
      <c r="Q107" t="n">
        <v>0</v>
      </c>
      <c r="R107" s="2" t="inlineStr"/>
    </row>
    <row r="108" ht="15" customHeight="1">
      <c r="A108" t="inlineStr">
        <is>
          <t>A 35905-2025</t>
        </is>
      </c>
      <c r="B108" s="1" t="n">
        <v>45862</v>
      </c>
      <c r="C108" s="1" t="n">
        <v>45904</v>
      </c>
      <c r="D108" t="inlineStr">
        <is>
          <t>VÄSTRA GÖTALANDS LÄN</t>
        </is>
      </c>
      <c r="E108" t="inlineStr">
        <is>
          <t>ALE</t>
        </is>
      </c>
      <c r="G108" t="n">
        <v>4.2</v>
      </c>
      <c r="H108" t="n">
        <v>0</v>
      </c>
      <c r="I108" t="n">
        <v>0</v>
      </c>
      <c r="J108" t="n">
        <v>0</v>
      </c>
      <c r="K108" t="n">
        <v>0</v>
      </c>
      <c r="L108" t="n">
        <v>0</v>
      </c>
      <c r="M108" t="n">
        <v>0</v>
      </c>
      <c r="N108" t="n">
        <v>0</v>
      </c>
      <c r="O108" t="n">
        <v>0</v>
      </c>
      <c r="P108" t="n">
        <v>0</v>
      </c>
      <c r="Q108" t="n">
        <v>0</v>
      </c>
      <c r="R108" s="2" t="inlineStr"/>
    </row>
    <row r="109" ht="15" customHeight="1">
      <c r="A109" t="inlineStr">
        <is>
          <t>A 14493-2024</t>
        </is>
      </c>
      <c r="B109" s="1" t="n">
        <v>45394.58491898148</v>
      </c>
      <c r="C109" s="1" t="n">
        <v>45904</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1500-2024</t>
        </is>
      </c>
      <c r="B110" s="1" t="n">
        <v>45306</v>
      </c>
      <c r="C110" s="1" t="n">
        <v>45904</v>
      </c>
      <c r="D110" t="inlineStr">
        <is>
          <t>VÄSTRA GÖTALANDS LÄN</t>
        </is>
      </c>
      <c r="E110" t="inlineStr">
        <is>
          <t>ALE</t>
        </is>
      </c>
      <c r="G110" t="n">
        <v>1.3</v>
      </c>
      <c r="H110" t="n">
        <v>0</v>
      </c>
      <c r="I110" t="n">
        <v>0</v>
      </c>
      <c r="J110" t="n">
        <v>0</v>
      </c>
      <c r="K110" t="n">
        <v>0</v>
      </c>
      <c r="L110" t="n">
        <v>0</v>
      </c>
      <c r="M110" t="n">
        <v>0</v>
      </c>
      <c r="N110" t="n">
        <v>0</v>
      </c>
      <c r="O110" t="n">
        <v>0</v>
      </c>
      <c r="P110" t="n">
        <v>0</v>
      </c>
      <c r="Q110" t="n">
        <v>0</v>
      </c>
      <c r="R110" s="2" t="inlineStr"/>
    </row>
    <row r="111" ht="15" customHeight="1">
      <c r="A111" t="inlineStr">
        <is>
          <t>A 1687-2024</t>
        </is>
      </c>
      <c r="B111" s="1" t="n">
        <v>45306</v>
      </c>
      <c r="C111" s="1" t="n">
        <v>45904</v>
      </c>
      <c r="D111" t="inlineStr">
        <is>
          <t>VÄSTRA GÖTALANDS LÄN</t>
        </is>
      </c>
      <c r="E111" t="inlineStr">
        <is>
          <t>ALE</t>
        </is>
      </c>
      <c r="G111" t="n">
        <v>3.4</v>
      </c>
      <c r="H111" t="n">
        <v>0</v>
      </c>
      <c r="I111" t="n">
        <v>0</v>
      </c>
      <c r="J111" t="n">
        <v>0</v>
      </c>
      <c r="K111" t="n">
        <v>0</v>
      </c>
      <c r="L111" t="n">
        <v>0</v>
      </c>
      <c r="M111" t="n">
        <v>0</v>
      </c>
      <c r="N111" t="n">
        <v>0</v>
      </c>
      <c r="O111" t="n">
        <v>0</v>
      </c>
      <c r="P111" t="n">
        <v>0</v>
      </c>
      <c r="Q111" t="n">
        <v>0</v>
      </c>
      <c r="R111" s="2" t="inlineStr"/>
    </row>
    <row r="112" ht="15" customHeight="1">
      <c r="A112" t="inlineStr">
        <is>
          <t>A 26157-2023</t>
        </is>
      </c>
      <c r="B112" s="1" t="n">
        <v>45091.50479166667</v>
      </c>
      <c r="C112" s="1" t="n">
        <v>45904</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47087-2023</t>
        </is>
      </c>
      <c r="B113" s="1" t="n">
        <v>45196</v>
      </c>
      <c r="C113" s="1" t="n">
        <v>45904</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40074-2025</t>
        </is>
      </c>
      <c r="B114" s="1" t="n">
        <v>45894.44685185186</v>
      </c>
      <c r="C114" s="1" t="n">
        <v>45904</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40059-2025</t>
        </is>
      </c>
      <c r="B115" s="1" t="n">
        <v>45894.42600694444</v>
      </c>
      <c r="C115" s="1" t="n">
        <v>45904</v>
      </c>
      <c r="D115" t="inlineStr">
        <is>
          <t>VÄSTRA GÖTALANDS LÄN</t>
        </is>
      </c>
      <c r="E115" t="inlineStr">
        <is>
          <t>ALE</t>
        </is>
      </c>
      <c r="G115" t="n">
        <v>0.9</v>
      </c>
      <c r="H115" t="n">
        <v>0</v>
      </c>
      <c r="I115" t="n">
        <v>0</v>
      </c>
      <c r="J115" t="n">
        <v>0</v>
      </c>
      <c r="K115" t="n">
        <v>0</v>
      </c>
      <c r="L115" t="n">
        <v>0</v>
      </c>
      <c r="M115" t="n">
        <v>0</v>
      </c>
      <c r="N115" t="n">
        <v>0</v>
      </c>
      <c r="O115" t="n">
        <v>0</v>
      </c>
      <c r="P115" t="n">
        <v>0</v>
      </c>
      <c r="Q115" t="n">
        <v>0</v>
      </c>
      <c r="R115" s="2" t="inlineStr"/>
    </row>
    <row r="116" ht="15" customHeight="1">
      <c r="A116" t="inlineStr">
        <is>
          <t>A 40931-2025</t>
        </is>
      </c>
      <c r="B116" s="1" t="n">
        <v>45897.64783564815</v>
      </c>
      <c r="C116" s="1" t="n">
        <v>45904</v>
      </c>
      <c r="D116" t="inlineStr">
        <is>
          <t>VÄSTRA GÖTALANDS LÄN</t>
        </is>
      </c>
      <c r="E116" t="inlineStr">
        <is>
          <t>ALE</t>
        </is>
      </c>
      <c r="G116" t="n">
        <v>4.3</v>
      </c>
      <c r="H116" t="n">
        <v>0</v>
      </c>
      <c r="I116" t="n">
        <v>0</v>
      </c>
      <c r="J116" t="n">
        <v>0</v>
      </c>
      <c r="K116" t="n">
        <v>0</v>
      </c>
      <c r="L116" t="n">
        <v>0</v>
      </c>
      <c r="M116" t="n">
        <v>0</v>
      </c>
      <c r="N116" t="n">
        <v>0</v>
      </c>
      <c r="O116" t="n">
        <v>0</v>
      </c>
      <c r="P116" t="n">
        <v>0</v>
      </c>
      <c r="Q116" t="n">
        <v>0</v>
      </c>
      <c r="R116" s="2" t="inlineStr"/>
    </row>
    <row r="117" ht="15" customHeight="1">
      <c r="A117" t="inlineStr">
        <is>
          <t>A 27314-2021</t>
        </is>
      </c>
      <c r="B117" s="1" t="n">
        <v>44351.36537037037</v>
      </c>
      <c r="C117" s="1" t="n">
        <v>45904</v>
      </c>
      <c r="D117" t="inlineStr">
        <is>
          <t>VÄSTRA GÖTALANDS LÄN</t>
        </is>
      </c>
      <c r="E117" t="inlineStr">
        <is>
          <t>ALE</t>
        </is>
      </c>
      <c r="G117" t="n">
        <v>11.3</v>
      </c>
      <c r="H117" t="n">
        <v>0</v>
      </c>
      <c r="I117" t="n">
        <v>0</v>
      </c>
      <c r="J117" t="n">
        <v>0</v>
      </c>
      <c r="K117" t="n">
        <v>0</v>
      </c>
      <c r="L117" t="n">
        <v>0</v>
      </c>
      <c r="M117" t="n">
        <v>0</v>
      </c>
      <c r="N117" t="n">
        <v>0</v>
      </c>
      <c r="O117" t="n">
        <v>0</v>
      </c>
      <c r="P117" t="n">
        <v>0</v>
      </c>
      <c r="Q117" t="n">
        <v>0</v>
      </c>
      <c r="R117" s="2" t="inlineStr"/>
    </row>
    <row r="118" ht="15" customHeight="1">
      <c r="A118" t="inlineStr">
        <is>
          <t>A 14458-2024</t>
        </is>
      </c>
      <c r="B118" s="1" t="n">
        <v>45394</v>
      </c>
      <c r="C118" s="1" t="n">
        <v>45904</v>
      </c>
      <c r="D118" t="inlineStr">
        <is>
          <t>VÄSTRA GÖTALANDS LÄN</t>
        </is>
      </c>
      <c r="E118" t="inlineStr">
        <is>
          <t>ALE</t>
        </is>
      </c>
      <c r="G118" t="n">
        <v>0.5</v>
      </c>
      <c r="H118" t="n">
        <v>0</v>
      </c>
      <c r="I118" t="n">
        <v>0</v>
      </c>
      <c r="J118" t="n">
        <v>0</v>
      </c>
      <c r="K118" t="n">
        <v>0</v>
      </c>
      <c r="L118" t="n">
        <v>0</v>
      </c>
      <c r="M118" t="n">
        <v>0</v>
      </c>
      <c r="N118" t="n">
        <v>0</v>
      </c>
      <c r="O118" t="n">
        <v>0</v>
      </c>
      <c r="P118" t="n">
        <v>0</v>
      </c>
      <c r="Q118" t="n">
        <v>0</v>
      </c>
      <c r="R118" s="2" t="inlineStr"/>
    </row>
    <row r="119" ht="15" customHeight="1">
      <c r="A119" t="inlineStr">
        <is>
          <t>A 42446-2023</t>
        </is>
      </c>
      <c r="B119" s="1" t="n">
        <v>45180</v>
      </c>
      <c r="C119" s="1" t="n">
        <v>45904</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5875-2023</t>
        </is>
      </c>
      <c r="B120" s="1" t="n">
        <v>44963</v>
      </c>
      <c r="C120" s="1" t="n">
        <v>45904</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64199-2021</t>
        </is>
      </c>
      <c r="B121" s="1" t="n">
        <v>44510</v>
      </c>
      <c r="C121" s="1" t="n">
        <v>45904</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45904</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53121-2024</t>
        </is>
      </c>
      <c r="B123" s="1" t="n">
        <v>45611</v>
      </c>
      <c r="C123" s="1" t="n">
        <v>45904</v>
      </c>
      <c r="D123" t="inlineStr">
        <is>
          <t>VÄSTRA GÖTALANDS LÄN</t>
        </is>
      </c>
      <c r="E123" t="inlineStr">
        <is>
          <t>ALE</t>
        </is>
      </c>
      <c r="G123" t="n">
        <v>3.4</v>
      </c>
      <c r="H123" t="n">
        <v>0</v>
      </c>
      <c r="I123" t="n">
        <v>0</v>
      </c>
      <c r="J123" t="n">
        <v>0</v>
      </c>
      <c r="K123" t="n">
        <v>0</v>
      </c>
      <c r="L123" t="n">
        <v>0</v>
      </c>
      <c r="M123" t="n">
        <v>0</v>
      </c>
      <c r="N123" t="n">
        <v>0</v>
      </c>
      <c r="O123" t="n">
        <v>0</v>
      </c>
      <c r="P123" t="n">
        <v>0</v>
      </c>
      <c r="Q123" t="n">
        <v>0</v>
      </c>
      <c r="R123" s="2" t="inlineStr"/>
    </row>
    <row r="124" ht="15" customHeight="1">
      <c r="A124" t="inlineStr">
        <is>
          <t>A 33237-2024</t>
        </is>
      </c>
      <c r="B124" s="1" t="n">
        <v>45518.59173611111</v>
      </c>
      <c r="C124" s="1" t="n">
        <v>45904</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12055-2022</t>
        </is>
      </c>
      <c r="B125" s="1" t="n">
        <v>44636</v>
      </c>
      <c r="C125" s="1" t="n">
        <v>45904</v>
      </c>
      <c r="D125" t="inlineStr">
        <is>
          <t>VÄSTRA GÖTALANDS LÄN</t>
        </is>
      </c>
      <c r="E125" t="inlineStr">
        <is>
          <t>ALE</t>
        </is>
      </c>
      <c r="G125" t="n">
        <v>0.2</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45904</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3407-2023</t>
        </is>
      </c>
      <c r="B127" s="1" t="n">
        <v>44949.54909722223</v>
      </c>
      <c r="C127" s="1" t="n">
        <v>45904</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42660-2024</t>
        </is>
      </c>
      <c r="B128" s="1" t="n">
        <v>45566.33841435185</v>
      </c>
      <c r="C128" s="1" t="n">
        <v>45904</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3520-2022</t>
        </is>
      </c>
      <c r="B129" s="1" t="n">
        <v>44585.72818287037</v>
      </c>
      <c r="C129" s="1" t="n">
        <v>45904</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65226-2021</t>
        </is>
      </c>
      <c r="B130" s="1" t="n">
        <v>44515</v>
      </c>
      <c r="C130" s="1" t="n">
        <v>45904</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9193-2025</t>
        </is>
      </c>
      <c r="B131" s="1" t="n">
        <v>45714</v>
      </c>
      <c r="C131" s="1" t="n">
        <v>45904</v>
      </c>
      <c r="D131" t="inlineStr">
        <is>
          <t>VÄSTRA GÖTALANDS LÄN</t>
        </is>
      </c>
      <c r="E131" t="inlineStr">
        <is>
          <t>ALE</t>
        </is>
      </c>
      <c r="G131" t="n">
        <v>7.1</v>
      </c>
      <c r="H131" t="n">
        <v>0</v>
      </c>
      <c r="I131" t="n">
        <v>0</v>
      </c>
      <c r="J131" t="n">
        <v>0</v>
      </c>
      <c r="K131" t="n">
        <v>0</v>
      </c>
      <c r="L131" t="n">
        <v>0</v>
      </c>
      <c r="M131" t="n">
        <v>0</v>
      </c>
      <c r="N131" t="n">
        <v>0</v>
      </c>
      <c r="O131" t="n">
        <v>0</v>
      </c>
      <c r="P131" t="n">
        <v>0</v>
      </c>
      <c r="Q131" t="n">
        <v>0</v>
      </c>
      <c r="R131" s="2" t="inlineStr"/>
    </row>
    <row r="132" ht="15" customHeight="1">
      <c r="A132" t="inlineStr">
        <is>
          <t>A 15241-2025</t>
        </is>
      </c>
      <c r="B132" s="1" t="n">
        <v>45744.61255787037</v>
      </c>
      <c r="C132" s="1" t="n">
        <v>45904</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49680-2024</t>
        </is>
      </c>
      <c r="B133" s="1" t="n">
        <v>45596.66880787037</v>
      </c>
      <c r="C133" s="1" t="n">
        <v>45904</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34153-2024</t>
        </is>
      </c>
      <c r="B134" s="1" t="n">
        <v>45524.38400462963</v>
      </c>
      <c r="C134" s="1" t="n">
        <v>45904</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45904</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18999-2021</t>
        </is>
      </c>
      <c r="B136" s="1" t="n">
        <v>44308</v>
      </c>
      <c r="C136" s="1" t="n">
        <v>45904</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17044-2025</t>
        </is>
      </c>
      <c r="B137" s="1" t="n">
        <v>45755.58891203703</v>
      </c>
      <c r="C137" s="1" t="n">
        <v>45904</v>
      </c>
      <c r="D137" t="inlineStr">
        <is>
          <t>VÄSTRA GÖTALANDS LÄN</t>
        </is>
      </c>
      <c r="E137" t="inlineStr">
        <is>
          <t>ALE</t>
        </is>
      </c>
      <c r="G137" t="n">
        <v>1.5</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45904</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45904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4642-2024</t>
        </is>
      </c>
      <c r="B140" s="1" t="n">
        <v>45328.43502314815</v>
      </c>
      <c r="C140" s="1" t="n">
        <v>45904</v>
      </c>
      <c r="D140" t="inlineStr">
        <is>
          <t>VÄSTRA GÖTALANDS LÄN</t>
        </is>
      </c>
      <c r="E140" t="inlineStr">
        <is>
          <t>ALE</t>
        </is>
      </c>
      <c r="G140" t="n">
        <v>7.1</v>
      </c>
      <c r="H140" t="n">
        <v>0</v>
      </c>
      <c r="I140" t="n">
        <v>0</v>
      </c>
      <c r="J140" t="n">
        <v>0</v>
      </c>
      <c r="K140" t="n">
        <v>0</v>
      </c>
      <c r="L140" t="n">
        <v>0</v>
      </c>
      <c r="M140" t="n">
        <v>0</v>
      </c>
      <c r="N140" t="n">
        <v>0</v>
      </c>
      <c r="O140" t="n">
        <v>0</v>
      </c>
      <c r="P140" t="n">
        <v>0</v>
      </c>
      <c r="Q140" t="n">
        <v>0</v>
      </c>
      <c r="R140" s="2" t="inlineStr"/>
    </row>
    <row r="141" ht="15" customHeight="1">
      <c r="A141" t="inlineStr">
        <is>
          <t>A 69325-2020</t>
        </is>
      </c>
      <c r="B141" s="1" t="n">
        <v>44193</v>
      </c>
      <c r="C141" s="1" t="n">
        <v>45904</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16601-2025</t>
        </is>
      </c>
      <c r="B142" s="1" t="n">
        <v>45753.53189814815</v>
      </c>
      <c r="C142" s="1" t="n">
        <v>45904</v>
      </c>
      <c r="D142" t="inlineStr">
        <is>
          <t>VÄSTRA GÖTALANDS LÄN</t>
        </is>
      </c>
      <c r="E142" t="inlineStr">
        <is>
          <t>ALE</t>
        </is>
      </c>
      <c r="G142" t="n">
        <v>1.7</v>
      </c>
      <c r="H142" t="n">
        <v>0</v>
      </c>
      <c r="I142" t="n">
        <v>0</v>
      </c>
      <c r="J142" t="n">
        <v>0</v>
      </c>
      <c r="K142" t="n">
        <v>0</v>
      </c>
      <c r="L142" t="n">
        <v>0</v>
      </c>
      <c r="M142" t="n">
        <v>0</v>
      </c>
      <c r="N142" t="n">
        <v>0</v>
      </c>
      <c r="O142" t="n">
        <v>0</v>
      </c>
      <c r="P142" t="n">
        <v>0</v>
      </c>
      <c r="Q142" t="n">
        <v>0</v>
      </c>
      <c r="R142" s="2" t="inlineStr"/>
    </row>
    <row r="143" ht="15" customHeight="1">
      <c r="A143" t="inlineStr">
        <is>
          <t>A 60233-2024</t>
        </is>
      </c>
      <c r="B143" s="1" t="n">
        <v>45642.74851851852</v>
      </c>
      <c r="C143" s="1" t="n">
        <v>45904</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36403-2024</t>
        </is>
      </c>
      <c r="B144" s="1" t="n">
        <v>45535.69445601852</v>
      </c>
      <c r="C144" s="1" t="n">
        <v>45904</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200-2022</t>
        </is>
      </c>
      <c r="B145" s="1" t="n">
        <v>44564</v>
      </c>
      <c r="C145" s="1" t="n">
        <v>45904</v>
      </c>
      <c r="D145" t="inlineStr">
        <is>
          <t>VÄSTRA GÖTALANDS LÄN</t>
        </is>
      </c>
      <c r="E145" t="inlineStr">
        <is>
          <t>ALE</t>
        </is>
      </c>
      <c r="G145" t="n">
        <v>6.8</v>
      </c>
      <c r="H145" t="n">
        <v>0</v>
      </c>
      <c r="I145" t="n">
        <v>0</v>
      </c>
      <c r="J145" t="n">
        <v>0</v>
      </c>
      <c r="K145" t="n">
        <v>0</v>
      </c>
      <c r="L145" t="n">
        <v>0</v>
      </c>
      <c r="M145" t="n">
        <v>0</v>
      </c>
      <c r="N145" t="n">
        <v>0</v>
      </c>
      <c r="O145" t="n">
        <v>0</v>
      </c>
      <c r="P145" t="n">
        <v>0</v>
      </c>
      <c r="Q145" t="n">
        <v>0</v>
      </c>
      <c r="R145" s="2" t="inlineStr"/>
    </row>
    <row r="146" ht="15" customHeight="1">
      <c r="A146" t="inlineStr">
        <is>
          <t>A 15582-2025</t>
        </is>
      </c>
      <c r="B146" s="1" t="n">
        <v>45747.81394675926</v>
      </c>
      <c r="C146" s="1" t="n">
        <v>45904</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45904</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45904</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6947-2024</t>
        </is>
      </c>
      <c r="B149" s="1" t="n">
        <v>45343</v>
      </c>
      <c r="C149" s="1" t="n">
        <v>45904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4444-2024</t>
        </is>
      </c>
      <c r="B150" s="1" t="n">
        <v>45327</v>
      </c>
      <c r="C150" s="1" t="n">
        <v>45904</v>
      </c>
      <c r="D150" t="inlineStr">
        <is>
          <t>VÄSTRA GÖTALANDS LÄN</t>
        </is>
      </c>
      <c r="E150" t="inlineStr">
        <is>
          <t>ALE</t>
        </is>
      </c>
      <c r="G150" t="n">
        <v>0.6</v>
      </c>
      <c r="H150" t="n">
        <v>0</v>
      </c>
      <c r="I150" t="n">
        <v>0</v>
      </c>
      <c r="J150" t="n">
        <v>0</v>
      </c>
      <c r="K150" t="n">
        <v>0</v>
      </c>
      <c r="L150" t="n">
        <v>0</v>
      </c>
      <c r="M150" t="n">
        <v>0</v>
      </c>
      <c r="N150" t="n">
        <v>0</v>
      </c>
      <c r="O150" t="n">
        <v>0</v>
      </c>
      <c r="P150" t="n">
        <v>0</v>
      </c>
      <c r="Q150" t="n">
        <v>0</v>
      </c>
      <c r="R150" s="2" t="inlineStr"/>
    </row>
    <row r="151" ht="15" customHeight="1">
      <c r="A151" t="inlineStr">
        <is>
          <t>A 3457-2022</t>
        </is>
      </c>
      <c r="B151" s="1" t="n">
        <v>44585</v>
      </c>
      <c r="C151" s="1" t="n">
        <v>45904</v>
      </c>
      <c r="D151" t="inlineStr">
        <is>
          <t>VÄSTRA GÖTALANDS LÄN</t>
        </is>
      </c>
      <c r="E151" t="inlineStr">
        <is>
          <t>ALE</t>
        </is>
      </c>
      <c r="G151" t="n">
        <v>5.1</v>
      </c>
      <c r="H151" t="n">
        <v>0</v>
      </c>
      <c r="I151" t="n">
        <v>0</v>
      </c>
      <c r="J151" t="n">
        <v>0</v>
      </c>
      <c r="K151" t="n">
        <v>0</v>
      </c>
      <c r="L151" t="n">
        <v>0</v>
      </c>
      <c r="M151" t="n">
        <v>0</v>
      </c>
      <c r="N151" t="n">
        <v>0</v>
      </c>
      <c r="O151" t="n">
        <v>0</v>
      </c>
      <c r="P151" t="n">
        <v>0</v>
      </c>
      <c r="Q151" t="n">
        <v>0</v>
      </c>
      <c r="R151" s="2" t="inlineStr"/>
    </row>
    <row r="152" ht="15" customHeight="1">
      <c r="A152" t="inlineStr">
        <is>
          <t>A 72801-2021</t>
        </is>
      </c>
      <c r="B152" s="1" t="n">
        <v>44546</v>
      </c>
      <c r="C152" s="1" t="n">
        <v>45904</v>
      </c>
      <c r="D152" t="inlineStr">
        <is>
          <t>VÄSTRA GÖTALANDS LÄN</t>
        </is>
      </c>
      <c r="E152" t="inlineStr">
        <is>
          <t>ALE</t>
        </is>
      </c>
      <c r="F152" t="inlineStr">
        <is>
          <t>Naturvårdsverket</t>
        </is>
      </c>
      <c r="G152" t="n">
        <v>1.4</v>
      </c>
      <c r="H152" t="n">
        <v>0</v>
      </c>
      <c r="I152" t="n">
        <v>0</v>
      </c>
      <c r="J152" t="n">
        <v>0</v>
      </c>
      <c r="K152" t="n">
        <v>0</v>
      </c>
      <c r="L152" t="n">
        <v>0</v>
      </c>
      <c r="M152" t="n">
        <v>0</v>
      </c>
      <c r="N152" t="n">
        <v>0</v>
      </c>
      <c r="O152" t="n">
        <v>0</v>
      </c>
      <c r="P152" t="n">
        <v>0</v>
      </c>
      <c r="Q152" t="n">
        <v>0</v>
      </c>
      <c r="R152" s="2" t="inlineStr"/>
    </row>
    <row r="153">
      <c r="A153" t="inlineStr">
        <is>
          <t>A 8956-2025</t>
        </is>
      </c>
      <c r="B153" s="1" t="n">
        <v>45713.46825231481</v>
      </c>
      <c r="C153" s="1" t="n">
        <v>45904</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2025-09-04T17:42:15Z</dcterms:created>
  <dcterms:modified xmlns:dcterms="http://purl.org/dc/terms/" xmlns:xsi="http://www.w3.org/2001/XMLSchema-instance" xsi:type="dcterms:W3CDTF">2025-09-04T17:42:15Z</dcterms:modified>
</cp:coreProperties>
</file>