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45338</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45338</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45338</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45338</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45338</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45338</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45338</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45338</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45338</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45338</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45338</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45338</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45338</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25432-2019</t>
        </is>
      </c>
      <c r="B15" s="1" t="n">
        <v>43606</v>
      </c>
      <c r="C15" s="1" t="n">
        <v>45338</v>
      </c>
      <c r="D15" t="inlineStr">
        <is>
          <t>VÄSTRA GÖTALANDS LÄN</t>
        </is>
      </c>
      <c r="E15" t="inlineStr">
        <is>
          <t>ALE</t>
        </is>
      </c>
      <c r="G15" t="n">
        <v>5</v>
      </c>
      <c r="H15" t="n">
        <v>0</v>
      </c>
      <c r="I15" t="n">
        <v>2</v>
      </c>
      <c r="J15" t="n">
        <v>0</v>
      </c>
      <c r="K15" t="n">
        <v>0</v>
      </c>
      <c r="L15" t="n">
        <v>0</v>
      </c>
      <c r="M15" t="n">
        <v>0</v>
      </c>
      <c r="N15" t="n">
        <v>0</v>
      </c>
      <c r="O15" t="n">
        <v>0</v>
      </c>
      <c r="P15" t="n">
        <v>0</v>
      </c>
      <c r="Q15" t="n">
        <v>2</v>
      </c>
      <c r="R15" s="2" t="inlineStr">
        <is>
          <t>Blåmossa
Klippfrullania</t>
        </is>
      </c>
      <c r="S15">
        <f>HYPERLINK("https://klasma.github.io/Logging_1440/artfynd/A 25432-2019 artfynd.xlsx", "A 25432-2019")</f>
        <v/>
      </c>
      <c r="T15">
        <f>HYPERLINK("https://klasma.github.io/Logging_1440/kartor/A 25432-2019 karta.png", "A 25432-2019")</f>
        <v/>
      </c>
      <c r="V15">
        <f>HYPERLINK("https://klasma.github.io/Logging_1440/klagomål/A 25432-2019 FSC-klagomål.docx", "A 25432-2019")</f>
        <v/>
      </c>
      <c r="W15">
        <f>HYPERLINK("https://klasma.github.io/Logging_1440/klagomålsmail/A 25432-2019 FSC-klagomål mail.docx", "A 25432-2019")</f>
        <v/>
      </c>
      <c r="X15">
        <f>HYPERLINK("https://klasma.github.io/Logging_1440/tillsyn/A 25432-2019 tillsynsbegäran.docx", "A 25432-2019")</f>
        <v/>
      </c>
      <c r="Y15">
        <f>HYPERLINK("https://klasma.github.io/Logging_1440/tillsynsmail/A 25432-2019 tillsynsbegäran mail.docx", "A 25432-2019")</f>
        <v/>
      </c>
    </row>
    <row r="16" ht="15" customHeight="1">
      <c r="A16" t="inlineStr">
        <is>
          <t>A 38382-2019</t>
        </is>
      </c>
      <c r="B16" s="1" t="n">
        <v>43685</v>
      </c>
      <c r="C16" s="1" t="n">
        <v>45338</v>
      </c>
      <c r="D16" t="inlineStr">
        <is>
          <t>VÄSTRA GÖTALANDS LÄN</t>
        </is>
      </c>
      <c r="E16" t="inlineStr">
        <is>
          <t>ALE</t>
        </is>
      </c>
      <c r="G16" t="n">
        <v>1.3</v>
      </c>
      <c r="H16" t="n">
        <v>2</v>
      </c>
      <c r="I16" t="n">
        <v>0</v>
      </c>
      <c r="J16" t="n">
        <v>1</v>
      </c>
      <c r="K16" t="n">
        <v>0</v>
      </c>
      <c r="L16" t="n">
        <v>0</v>
      </c>
      <c r="M16" t="n">
        <v>0</v>
      </c>
      <c r="N16" t="n">
        <v>0</v>
      </c>
      <c r="O16" t="n">
        <v>1</v>
      </c>
      <c r="P16" t="n">
        <v>0</v>
      </c>
      <c r="Q16" t="n">
        <v>2</v>
      </c>
      <c r="R16" s="2" t="inlineStr">
        <is>
          <t>Spillkråka
Revlummer</t>
        </is>
      </c>
      <c r="S16">
        <f>HYPERLINK("https://klasma.github.io/Logging_1440/artfynd/A 38382-2019 artfynd.xlsx", "A 38382-2019")</f>
        <v/>
      </c>
      <c r="T16">
        <f>HYPERLINK("https://klasma.github.io/Logging_1440/kartor/A 38382-2019 karta.png", "A 38382-2019")</f>
        <v/>
      </c>
      <c r="V16">
        <f>HYPERLINK("https://klasma.github.io/Logging_1440/klagomål/A 38382-2019 FSC-klagomål.docx", "A 38382-2019")</f>
        <v/>
      </c>
      <c r="W16">
        <f>HYPERLINK("https://klasma.github.io/Logging_1440/klagomålsmail/A 38382-2019 FSC-klagomål mail.docx", "A 38382-2019")</f>
        <v/>
      </c>
      <c r="X16">
        <f>HYPERLINK("https://klasma.github.io/Logging_1440/tillsyn/A 38382-2019 tillsynsbegäran.docx", "A 38382-2019")</f>
        <v/>
      </c>
      <c r="Y16">
        <f>HYPERLINK("https://klasma.github.io/Logging_1440/tillsynsmail/A 38382-2019 tillsynsbegäran mail.docx", "A 38382-2019")</f>
        <v/>
      </c>
      <c r="Z16">
        <f>HYPERLINK("https://klasma.github.io/Logging_1440/fåglar/A 38382-2019 prioriterade fågelarter.docx", "A 38382-2019")</f>
        <v/>
      </c>
    </row>
    <row r="17" ht="15" customHeight="1">
      <c r="A17" t="inlineStr">
        <is>
          <t>A 63569-2023</t>
        </is>
      </c>
      <c r="B17" s="1" t="n">
        <v>45275</v>
      </c>
      <c r="C17" s="1" t="n">
        <v>45338</v>
      </c>
      <c r="D17" t="inlineStr">
        <is>
          <t>VÄSTRA GÖTALANDS LÄN</t>
        </is>
      </c>
      <c r="E17" t="inlineStr">
        <is>
          <t>ALE</t>
        </is>
      </c>
      <c r="G17" t="n">
        <v>2.4</v>
      </c>
      <c r="H17" t="n">
        <v>2</v>
      </c>
      <c r="I17" t="n">
        <v>0</v>
      </c>
      <c r="J17" t="n">
        <v>2</v>
      </c>
      <c r="K17" t="n">
        <v>0</v>
      </c>
      <c r="L17" t="n">
        <v>0</v>
      </c>
      <c r="M17" t="n">
        <v>0</v>
      </c>
      <c r="N17" t="n">
        <v>0</v>
      </c>
      <c r="O17" t="n">
        <v>2</v>
      </c>
      <c r="P17" t="n">
        <v>0</v>
      </c>
      <c r="Q17" t="n">
        <v>2</v>
      </c>
      <c r="R17" s="2" t="inlineStr">
        <is>
          <t>Spillkråka
Talltita</t>
        </is>
      </c>
      <c r="S17">
        <f>HYPERLINK("https://klasma.github.io/Logging_1440/artfynd/A 63569-2023 artfynd.xlsx", "A 63569-2023")</f>
        <v/>
      </c>
      <c r="T17">
        <f>HYPERLINK("https://klasma.github.io/Logging_1440/kartor/A 63569-2023 karta.png", "A 63569-2023")</f>
        <v/>
      </c>
      <c r="V17">
        <f>HYPERLINK("https://klasma.github.io/Logging_1440/klagomål/A 63569-2023 FSC-klagomål.docx", "A 63569-2023")</f>
        <v/>
      </c>
      <c r="W17">
        <f>HYPERLINK("https://klasma.github.io/Logging_1440/klagomålsmail/A 63569-2023 FSC-klagomål mail.docx", "A 63569-2023")</f>
        <v/>
      </c>
      <c r="X17">
        <f>HYPERLINK("https://klasma.github.io/Logging_1440/tillsyn/A 63569-2023 tillsynsbegäran.docx", "A 63569-2023")</f>
        <v/>
      </c>
      <c r="Y17">
        <f>HYPERLINK("https://klasma.github.io/Logging_1440/tillsynsmail/A 63569-2023 tillsynsbegäran mail.docx", "A 63569-2023")</f>
        <v/>
      </c>
      <c r="Z17">
        <f>HYPERLINK("https://klasma.github.io/Logging_1440/fåglar/A 63569-2023 prioriterade fågelarter.docx", "A 63569-2023")</f>
        <v/>
      </c>
    </row>
    <row r="18" ht="15" customHeight="1">
      <c r="A18" t="inlineStr">
        <is>
          <t>A 67849-2018</t>
        </is>
      </c>
      <c r="B18" s="1" t="n">
        <v>43440</v>
      </c>
      <c r="C18" s="1" t="n">
        <v>45338</v>
      </c>
      <c r="D18" t="inlineStr">
        <is>
          <t>VÄSTRA GÖTALANDS LÄN</t>
        </is>
      </c>
      <c r="E18" t="inlineStr">
        <is>
          <t>ALE</t>
        </is>
      </c>
      <c r="G18" t="n">
        <v>4</v>
      </c>
      <c r="H18" t="n">
        <v>0</v>
      </c>
      <c r="I18" t="n">
        <v>1</v>
      </c>
      <c r="J18" t="n">
        <v>0</v>
      </c>
      <c r="K18" t="n">
        <v>0</v>
      </c>
      <c r="L18" t="n">
        <v>0</v>
      </c>
      <c r="M18" t="n">
        <v>0</v>
      </c>
      <c r="N18" t="n">
        <v>0</v>
      </c>
      <c r="O18" t="n">
        <v>0</v>
      </c>
      <c r="P18" t="n">
        <v>0</v>
      </c>
      <c r="Q18" t="n">
        <v>1</v>
      </c>
      <c r="R18" s="2" t="inlineStr">
        <is>
          <t>Kambräken</t>
        </is>
      </c>
      <c r="S18">
        <f>HYPERLINK("https://klasma.github.io/Logging_1440/artfynd/A 67849-2018 artfynd.xlsx", "A 67849-2018")</f>
        <v/>
      </c>
      <c r="T18">
        <f>HYPERLINK("https://klasma.github.io/Logging_1440/kartor/A 67849-2018 karta.png", "A 67849-2018")</f>
        <v/>
      </c>
      <c r="V18">
        <f>HYPERLINK("https://klasma.github.io/Logging_1440/klagomål/A 67849-2018 FSC-klagomål.docx", "A 67849-2018")</f>
        <v/>
      </c>
      <c r="W18">
        <f>HYPERLINK("https://klasma.github.io/Logging_1440/klagomålsmail/A 67849-2018 FSC-klagomål mail.docx", "A 67849-2018")</f>
        <v/>
      </c>
      <c r="X18">
        <f>HYPERLINK("https://klasma.github.io/Logging_1440/tillsyn/A 67849-2018 tillsynsbegäran.docx", "A 67849-2018")</f>
        <v/>
      </c>
      <c r="Y18">
        <f>HYPERLINK("https://klasma.github.io/Logging_1440/tillsynsmail/A 67849-2018 tillsynsbegäran mail.docx", "A 67849-2018")</f>
        <v/>
      </c>
    </row>
    <row r="19" ht="15" customHeight="1">
      <c r="A19" t="inlineStr">
        <is>
          <t>A 25391-2019</t>
        </is>
      </c>
      <c r="B19" s="1" t="n">
        <v>43606</v>
      </c>
      <c r="C19" s="1" t="n">
        <v>45338</v>
      </c>
      <c r="D19" t="inlineStr">
        <is>
          <t>VÄSTRA GÖTALANDS LÄN</t>
        </is>
      </c>
      <c r="E19" t="inlineStr">
        <is>
          <t>ALE</t>
        </is>
      </c>
      <c r="G19" t="n">
        <v>10.1</v>
      </c>
      <c r="H19" t="n">
        <v>1</v>
      </c>
      <c r="I19" t="n">
        <v>0</v>
      </c>
      <c r="J19" t="n">
        <v>1</v>
      </c>
      <c r="K19" t="n">
        <v>0</v>
      </c>
      <c r="L19" t="n">
        <v>0</v>
      </c>
      <c r="M19" t="n">
        <v>0</v>
      </c>
      <c r="N19" t="n">
        <v>0</v>
      </c>
      <c r="O19" t="n">
        <v>1</v>
      </c>
      <c r="P19" t="n">
        <v>0</v>
      </c>
      <c r="Q19" t="n">
        <v>1</v>
      </c>
      <c r="R19" s="2" t="inlineStr">
        <is>
          <t>Kungsörn</t>
        </is>
      </c>
      <c r="S19">
        <f>HYPERLINK("https://klasma.github.io/Logging_1440/artfynd/A 25391-2019 artfynd.xlsx", "A 25391-2019")</f>
        <v/>
      </c>
      <c r="T19">
        <f>HYPERLINK("https://klasma.github.io/Logging_1440/kartor/A 25391-2019 karta.png", "A 25391-2019")</f>
        <v/>
      </c>
      <c r="V19">
        <f>HYPERLINK("https://klasma.github.io/Logging_1440/klagomål/A 25391-2019 FSC-klagomål.docx", "A 25391-2019")</f>
        <v/>
      </c>
      <c r="W19">
        <f>HYPERLINK("https://klasma.github.io/Logging_1440/klagomålsmail/A 25391-2019 FSC-klagomål mail.docx", "A 25391-2019")</f>
        <v/>
      </c>
      <c r="X19">
        <f>HYPERLINK("https://klasma.github.io/Logging_1440/tillsyn/A 25391-2019 tillsynsbegäran.docx", "A 25391-2019")</f>
        <v/>
      </c>
      <c r="Y19">
        <f>HYPERLINK("https://klasma.github.io/Logging_1440/tillsynsmail/A 25391-2019 tillsynsbegäran mail.docx", "A 25391-2019")</f>
        <v/>
      </c>
      <c r="Z19">
        <f>HYPERLINK("https://klasma.github.io/Logging_1440/fåglar/A 25391-2019 prioriterade fågelarter.docx", "A 25391-2019")</f>
        <v/>
      </c>
    </row>
    <row r="20" ht="15" customHeight="1">
      <c r="A20" t="inlineStr">
        <is>
          <t>A 53693-2019</t>
        </is>
      </c>
      <c r="B20" s="1" t="n">
        <v>43749</v>
      </c>
      <c r="C20" s="1" t="n">
        <v>45338</v>
      </c>
      <c r="D20" t="inlineStr">
        <is>
          <t>VÄSTRA GÖTALANDS LÄN</t>
        </is>
      </c>
      <c r="E20" t="inlineStr">
        <is>
          <t>ALE</t>
        </is>
      </c>
      <c r="G20" t="n">
        <v>11.2</v>
      </c>
      <c r="H20" t="n">
        <v>0</v>
      </c>
      <c r="I20" t="n">
        <v>1</v>
      </c>
      <c r="J20" t="n">
        <v>0</v>
      </c>
      <c r="K20" t="n">
        <v>0</v>
      </c>
      <c r="L20" t="n">
        <v>0</v>
      </c>
      <c r="M20" t="n">
        <v>0</v>
      </c>
      <c r="N20" t="n">
        <v>0</v>
      </c>
      <c r="O20" t="n">
        <v>0</v>
      </c>
      <c r="P20" t="n">
        <v>0</v>
      </c>
      <c r="Q20" t="n">
        <v>1</v>
      </c>
      <c r="R20" s="2" t="inlineStr">
        <is>
          <t>Havstulpanlav</t>
        </is>
      </c>
      <c r="S20">
        <f>HYPERLINK("https://klasma.github.io/Logging_1440/artfynd/A 53693-2019 artfynd.xlsx", "A 53693-2019")</f>
        <v/>
      </c>
      <c r="T20">
        <f>HYPERLINK("https://klasma.github.io/Logging_1440/kartor/A 53693-2019 karta.png", "A 53693-2019")</f>
        <v/>
      </c>
      <c r="V20">
        <f>HYPERLINK("https://klasma.github.io/Logging_1440/klagomål/A 53693-2019 FSC-klagomål.docx", "A 53693-2019")</f>
        <v/>
      </c>
      <c r="W20">
        <f>HYPERLINK("https://klasma.github.io/Logging_1440/klagomålsmail/A 53693-2019 FSC-klagomål mail.docx", "A 53693-2019")</f>
        <v/>
      </c>
      <c r="X20">
        <f>HYPERLINK("https://klasma.github.io/Logging_1440/tillsyn/A 53693-2019 tillsynsbegäran.docx", "A 53693-2019")</f>
        <v/>
      </c>
      <c r="Y20">
        <f>HYPERLINK("https://klasma.github.io/Logging_1440/tillsynsmail/A 53693-2019 tillsynsbegäran mail.docx", "A 53693-2019")</f>
        <v/>
      </c>
    </row>
    <row r="21" ht="15" customHeight="1">
      <c r="A21" t="inlineStr">
        <is>
          <t>A 23339-2023</t>
        </is>
      </c>
      <c r="B21" s="1" t="n">
        <v>45076</v>
      </c>
      <c r="C21" s="1" t="n">
        <v>45338</v>
      </c>
      <c r="D21" t="inlineStr">
        <is>
          <t>VÄSTRA GÖTALANDS LÄN</t>
        </is>
      </c>
      <c r="E21" t="inlineStr">
        <is>
          <t>ALE</t>
        </is>
      </c>
      <c r="G21" t="n">
        <v>7.4</v>
      </c>
      <c r="H21" t="n">
        <v>1</v>
      </c>
      <c r="I21" t="n">
        <v>0</v>
      </c>
      <c r="J21" t="n">
        <v>0</v>
      </c>
      <c r="K21" t="n">
        <v>0</v>
      </c>
      <c r="L21" t="n">
        <v>0</v>
      </c>
      <c r="M21" t="n">
        <v>0</v>
      </c>
      <c r="N21" t="n">
        <v>0</v>
      </c>
      <c r="O21" t="n">
        <v>0</v>
      </c>
      <c r="P21" t="n">
        <v>0</v>
      </c>
      <c r="Q21" t="n">
        <v>1</v>
      </c>
      <c r="R21" s="2" t="inlineStr">
        <is>
          <t>Revlummer</t>
        </is>
      </c>
      <c r="S21">
        <f>HYPERLINK("https://klasma.github.io/Logging_1440/artfynd/A 23339-2023 artfynd.xlsx", "A 23339-2023")</f>
        <v/>
      </c>
      <c r="T21">
        <f>HYPERLINK("https://klasma.github.io/Logging_1440/kartor/A 23339-2023 karta.png", "A 23339-2023")</f>
        <v/>
      </c>
      <c r="V21">
        <f>HYPERLINK("https://klasma.github.io/Logging_1440/klagomål/A 23339-2023 FSC-klagomål.docx", "A 23339-2023")</f>
        <v/>
      </c>
      <c r="W21">
        <f>HYPERLINK("https://klasma.github.io/Logging_1440/klagomålsmail/A 23339-2023 FSC-klagomål mail.docx", "A 23339-2023")</f>
        <v/>
      </c>
      <c r="X21">
        <f>HYPERLINK("https://klasma.github.io/Logging_1440/tillsyn/A 23339-2023 tillsynsbegäran.docx", "A 23339-2023")</f>
        <v/>
      </c>
      <c r="Y21">
        <f>HYPERLINK("https://klasma.github.io/Logging_1440/tillsynsmail/A 23339-2023 tillsynsbegäran mail.docx", "A 23339-2023")</f>
        <v/>
      </c>
    </row>
    <row r="22" ht="15" customHeight="1">
      <c r="A22" t="inlineStr">
        <is>
          <t>A 45010-2018</t>
        </is>
      </c>
      <c r="B22" s="1" t="n">
        <v>43361</v>
      </c>
      <c r="C22" s="1" t="n">
        <v>45338</v>
      </c>
      <c r="D22" t="inlineStr">
        <is>
          <t>VÄSTRA GÖTALANDS LÄN</t>
        </is>
      </c>
      <c r="E22" t="inlineStr">
        <is>
          <t>ALE</t>
        </is>
      </c>
      <c r="G22" t="n">
        <v>2.6</v>
      </c>
      <c r="H22" t="n">
        <v>0</v>
      </c>
      <c r="I22" t="n">
        <v>0</v>
      </c>
      <c r="J22" t="n">
        <v>0</v>
      </c>
      <c r="K22" t="n">
        <v>0</v>
      </c>
      <c r="L22" t="n">
        <v>0</v>
      </c>
      <c r="M22" t="n">
        <v>0</v>
      </c>
      <c r="N22" t="n">
        <v>0</v>
      </c>
      <c r="O22" t="n">
        <v>0</v>
      </c>
      <c r="P22" t="n">
        <v>0</v>
      </c>
      <c r="Q22" t="n">
        <v>0</v>
      </c>
      <c r="R22" s="2" t="inlineStr"/>
    </row>
    <row r="23" ht="15" customHeight="1">
      <c r="A23" t="inlineStr">
        <is>
          <t>A 46353-2018</t>
        </is>
      </c>
      <c r="B23" s="1" t="n">
        <v>43367</v>
      </c>
      <c r="C23" s="1" t="n">
        <v>45338</v>
      </c>
      <c r="D23" t="inlineStr">
        <is>
          <t>VÄSTRA GÖTALANDS LÄN</t>
        </is>
      </c>
      <c r="E23" t="inlineStr">
        <is>
          <t>ALE</t>
        </is>
      </c>
      <c r="G23" t="n">
        <v>1</v>
      </c>
      <c r="H23" t="n">
        <v>0</v>
      </c>
      <c r="I23" t="n">
        <v>0</v>
      </c>
      <c r="J23" t="n">
        <v>0</v>
      </c>
      <c r="K23" t="n">
        <v>0</v>
      </c>
      <c r="L23" t="n">
        <v>0</v>
      </c>
      <c r="M23" t="n">
        <v>0</v>
      </c>
      <c r="N23" t="n">
        <v>0</v>
      </c>
      <c r="O23" t="n">
        <v>0</v>
      </c>
      <c r="P23" t="n">
        <v>0</v>
      </c>
      <c r="Q23" t="n">
        <v>0</v>
      </c>
      <c r="R23" s="2" t="inlineStr"/>
    </row>
    <row r="24" ht="15" customHeight="1">
      <c r="A24" t="inlineStr">
        <is>
          <t>A 51458-2018</t>
        </is>
      </c>
      <c r="B24" s="1" t="n">
        <v>43383</v>
      </c>
      <c r="C24" s="1" t="n">
        <v>45338</v>
      </c>
      <c r="D24" t="inlineStr">
        <is>
          <t>VÄSTRA GÖTALANDS LÄN</t>
        </is>
      </c>
      <c r="E24" t="inlineStr">
        <is>
          <t>ALE</t>
        </is>
      </c>
      <c r="G24" t="n">
        <v>13.9</v>
      </c>
      <c r="H24" t="n">
        <v>0</v>
      </c>
      <c r="I24" t="n">
        <v>0</v>
      </c>
      <c r="J24" t="n">
        <v>0</v>
      </c>
      <c r="K24" t="n">
        <v>0</v>
      </c>
      <c r="L24" t="n">
        <v>0</v>
      </c>
      <c r="M24" t="n">
        <v>0</v>
      </c>
      <c r="N24" t="n">
        <v>0</v>
      </c>
      <c r="O24" t="n">
        <v>0</v>
      </c>
      <c r="P24" t="n">
        <v>0</v>
      </c>
      <c r="Q24" t="n">
        <v>0</v>
      </c>
      <c r="R24" s="2" t="inlineStr"/>
    </row>
    <row r="25" ht="15" customHeight="1">
      <c r="A25" t="inlineStr">
        <is>
          <t>A 52043-2018</t>
        </is>
      </c>
      <c r="B25" s="1" t="n">
        <v>43385</v>
      </c>
      <c r="C25" s="1" t="n">
        <v>45338</v>
      </c>
      <c r="D25" t="inlineStr">
        <is>
          <t>VÄSTRA GÖTALANDS LÄN</t>
        </is>
      </c>
      <c r="E25" t="inlineStr">
        <is>
          <t>ALE</t>
        </is>
      </c>
      <c r="G25" t="n">
        <v>0.4</v>
      </c>
      <c r="H25" t="n">
        <v>0</v>
      </c>
      <c r="I25" t="n">
        <v>0</v>
      </c>
      <c r="J25" t="n">
        <v>0</v>
      </c>
      <c r="K25" t="n">
        <v>0</v>
      </c>
      <c r="L25" t="n">
        <v>0</v>
      </c>
      <c r="M25" t="n">
        <v>0</v>
      </c>
      <c r="N25" t="n">
        <v>0</v>
      </c>
      <c r="O25" t="n">
        <v>0</v>
      </c>
      <c r="P25" t="n">
        <v>0</v>
      </c>
      <c r="Q25" t="n">
        <v>0</v>
      </c>
      <c r="R25" s="2" t="inlineStr"/>
    </row>
    <row r="26" ht="15" customHeight="1">
      <c r="A26" t="inlineStr">
        <is>
          <t>A 58589-2018</t>
        </is>
      </c>
      <c r="B26" s="1" t="n">
        <v>43410</v>
      </c>
      <c r="C26" s="1" t="n">
        <v>45338</v>
      </c>
      <c r="D26" t="inlineStr">
        <is>
          <t>VÄSTRA GÖTALANDS LÄN</t>
        </is>
      </c>
      <c r="E26" t="inlineStr">
        <is>
          <t>ALE</t>
        </is>
      </c>
      <c r="G26" t="n">
        <v>4.6</v>
      </c>
      <c r="H26" t="n">
        <v>0</v>
      </c>
      <c r="I26" t="n">
        <v>0</v>
      </c>
      <c r="J26" t="n">
        <v>0</v>
      </c>
      <c r="K26" t="n">
        <v>0</v>
      </c>
      <c r="L26" t="n">
        <v>0</v>
      </c>
      <c r="M26" t="n">
        <v>0</v>
      </c>
      <c r="N26" t="n">
        <v>0</v>
      </c>
      <c r="O26" t="n">
        <v>0</v>
      </c>
      <c r="P26" t="n">
        <v>0</v>
      </c>
      <c r="Q26" t="n">
        <v>0</v>
      </c>
      <c r="R26" s="2" t="inlineStr"/>
    </row>
    <row r="27" ht="15" customHeight="1">
      <c r="A27" t="inlineStr">
        <is>
          <t>A 59319-2018</t>
        </is>
      </c>
      <c r="B27" s="1" t="n">
        <v>43411</v>
      </c>
      <c r="C27" s="1" t="n">
        <v>45338</v>
      </c>
      <c r="D27" t="inlineStr">
        <is>
          <t>VÄSTRA GÖTALANDS LÄN</t>
        </is>
      </c>
      <c r="E27" t="inlineStr">
        <is>
          <t>ALE</t>
        </is>
      </c>
      <c r="G27" t="n">
        <v>12.5</v>
      </c>
      <c r="H27" t="n">
        <v>0</v>
      </c>
      <c r="I27" t="n">
        <v>0</v>
      </c>
      <c r="J27" t="n">
        <v>0</v>
      </c>
      <c r="K27" t="n">
        <v>0</v>
      </c>
      <c r="L27" t="n">
        <v>0</v>
      </c>
      <c r="M27" t="n">
        <v>0</v>
      </c>
      <c r="N27" t="n">
        <v>0</v>
      </c>
      <c r="O27" t="n">
        <v>0</v>
      </c>
      <c r="P27" t="n">
        <v>0</v>
      </c>
      <c r="Q27" t="n">
        <v>0</v>
      </c>
      <c r="R27" s="2" t="inlineStr"/>
    </row>
    <row r="28" ht="15" customHeight="1">
      <c r="A28" t="inlineStr">
        <is>
          <t>A 67125-2018</t>
        </is>
      </c>
      <c r="B28" s="1" t="n">
        <v>43438</v>
      </c>
      <c r="C28" s="1" t="n">
        <v>45338</v>
      </c>
      <c r="D28" t="inlineStr">
        <is>
          <t>VÄSTRA GÖTALANDS LÄN</t>
        </is>
      </c>
      <c r="E28" t="inlineStr">
        <is>
          <t>ALE</t>
        </is>
      </c>
      <c r="G28" t="n">
        <v>10.4</v>
      </c>
      <c r="H28" t="n">
        <v>0</v>
      </c>
      <c r="I28" t="n">
        <v>0</v>
      </c>
      <c r="J28" t="n">
        <v>0</v>
      </c>
      <c r="K28" t="n">
        <v>0</v>
      </c>
      <c r="L28" t="n">
        <v>0</v>
      </c>
      <c r="M28" t="n">
        <v>0</v>
      </c>
      <c r="N28" t="n">
        <v>0</v>
      </c>
      <c r="O28" t="n">
        <v>0</v>
      </c>
      <c r="P28" t="n">
        <v>0</v>
      </c>
      <c r="Q28" t="n">
        <v>0</v>
      </c>
      <c r="R28" s="2" t="inlineStr"/>
    </row>
    <row r="29" ht="15" customHeight="1">
      <c r="A29" t="inlineStr">
        <is>
          <t>A 67877-2018</t>
        </is>
      </c>
      <c r="B29" s="1" t="n">
        <v>43440</v>
      </c>
      <c r="C29" s="1" t="n">
        <v>45338</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67859-2018</t>
        </is>
      </c>
      <c r="B30" s="1" t="n">
        <v>43440</v>
      </c>
      <c r="C30" s="1" t="n">
        <v>45338</v>
      </c>
      <c r="D30" t="inlineStr">
        <is>
          <t>VÄSTRA GÖTALANDS LÄN</t>
        </is>
      </c>
      <c r="E30" t="inlineStr">
        <is>
          <t>ALE</t>
        </is>
      </c>
      <c r="G30" t="n">
        <v>1.2</v>
      </c>
      <c r="H30" t="n">
        <v>0</v>
      </c>
      <c r="I30" t="n">
        <v>0</v>
      </c>
      <c r="J30" t="n">
        <v>0</v>
      </c>
      <c r="K30" t="n">
        <v>0</v>
      </c>
      <c r="L30" t="n">
        <v>0</v>
      </c>
      <c r="M30" t="n">
        <v>0</v>
      </c>
      <c r="N30" t="n">
        <v>0</v>
      </c>
      <c r="O30" t="n">
        <v>0</v>
      </c>
      <c r="P30" t="n">
        <v>0</v>
      </c>
      <c r="Q30" t="n">
        <v>0</v>
      </c>
      <c r="R30" s="2" t="inlineStr"/>
    </row>
    <row r="31" ht="15" customHeight="1">
      <c r="A31" t="inlineStr">
        <is>
          <t>A 756-2019</t>
        </is>
      </c>
      <c r="B31" s="1" t="n">
        <v>43471</v>
      </c>
      <c r="C31" s="1" t="n">
        <v>45338</v>
      </c>
      <c r="D31" t="inlineStr">
        <is>
          <t>VÄSTRA GÖTALANDS LÄN</t>
        </is>
      </c>
      <c r="E31" t="inlineStr">
        <is>
          <t>ALE</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2149-2019</t>
        </is>
      </c>
      <c r="B32" s="1" t="n">
        <v>43475</v>
      </c>
      <c r="C32" s="1" t="n">
        <v>45338</v>
      </c>
      <c r="D32" t="inlineStr">
        <is>
          <t>VÄSTRA GÖTALANDS LÄN</t>
        </is>
      </c>
      <c r="E32" t="inlineStr">
        <is>
          <t>ALE</t>
        </is>
      </c>
      <c r="G32" t="n">
        <v>3.5</v>
      </c>
      <c r="H32" t="n">
        <v>0</v>
      </c>
      <c r="I32" t="n">
        <v>0</v>
      </c>
      <c r="J32" t="n">
        <v>0</v>
      </c>
      <c r="K32" t="n">
        <v>0</v>
      </c>
      <c r="L32" t="n">
        <v>0</v>
      </c>
      <c r="M32" t="n">
        <v>0</v>
      </c>
      <c r="N32" t="n">
        <v>0</v>
      </c>
      <c r="O32" t="n">
        <v>0</v>
      </c>
      <c r="P32" t="n">
        <v>0</v>
      </c>
      <c r="Q32" t="n">
        <v>0</v>
      </c>
      <c r="R32" s="2" t="inlineStr"/>
    </row>
    <row r="33" ht="15" customHeight="1">
      <c r="A33" t="inlineStr">
        <is>
          <t>A 2485-2019</t>
        </is>
      </c>
      <c r="B33" s="1" t="n">
        <v>43476</v>
      </c>
      <c r="C33" s="1" t="n">
        <v>45338</v>
      </c>
      <c r="D33" t="inlineStr">
        <is>
          <t>VÄSTRA GÖTALANDS LÄN</t>
        </is>
      </c>
      <c r="E33" t="inlineStr">
        <is>
          <t>ALE</t>
        </is>
      </c>
      <c r="G33" t="n">
        <v>0.5</v>
      </c>
      <c r="H33" t="n">
        <v>0</v>
      </c>
      <c r="I33" t="n">
        <v>0</v>
      </c>
      <c r="J33" t="n">
        <v>0</v>
      </c>
      <c r="K33" t="n">
        <v>0</v>
      </c>
      <c r="L33" t="n">
        <v>0</v>
      </c>
      <c r="M33" t="n">
        <v>0</v>
      </c>
      <c r="N33" t="n">
        <v>0</v>
      </c>
      <c r="O33" t="n">
        <v>0</v>
      </c>
      <c r="P33" t="n">
        <v>0</v>
      </c>
      <c r="Q33" t="n">
        <v>0</v>
      </c>
      <c r="R33" s="2" t="inlineStr"/>
    </row>
    <row r="34" ht="15" customHeight="1">
      <c r="A34" t="inlineStr">
        <is>
          <t>A 4350-2019</t>
        </is>
      </c>
      <c r="B34" s="1" t="n">
        <v>43479</v>
      </c>
      <c r="C34" s="1" t="n">
        <v>45338</v>
      </c>
      <c r="D34" t="inlineStr">
        <is>
          <t>VÄSTRA GÖTALANDS LÄN</t>
        </is>
      </c>
      <c r="E34" t="inlineStr">
        <is>
          <t>ALE</t>
        </is>
      </c>
      <c r="G34" t="n">
        <v>7</v>
      </c>
      <c r="H34" t="n">
        <v>0</v>
      </c>
      <c r="I34" t="n">
        <v>0</v>
      </c>
      <c r="J34" t="n">
        <v>0</v>
      </c>
      <c r="K34" t="n">
        <v>0</v>
      </c>
      <c r="L34" t="n">
        <v>0</v>
      </c>
      <c r="M34" t="n">
        <v>0</v>
      </c>
      <c r="N34" t="n">
        <v>0</v>
      </c>
      <c r="O34" t="n">
        <v>0</v>
      </c>
      <c r="P34" t="n">
        <v>0</v>
      </c>
      <c r="Q34" t="n">
        <v>0</v>
      </c>
      <c r="R34" s="2" t="inlineStr"/>
    </row>
    <row r="35" ht="15" customHeight="1">
      <c r="A35" t="inlineStr">
        <is>
          <t>A 3560-2019</t>
        </is>
      </c>
      <c r="B35" s="1" t="n">
        <v>43481</v>
      </c>
      <c r="C35" s="1" t="n">
        <v>45338</v>
      </c>
      <c r="D35" t="inlineStr">
        <is>
          <t>VÄSTRA GÖTALANDS LÄN</t>
        </is>
      </c>
      <c r="E35" t="inlineStr">
        <is>
          <t>ALE</t>
        </is>
      </c>
      <c r="G35" t="n">
        <v>0.2</v>
      </c>
      <c r="H35" t="n">
        <v>0</v>
      </c>
      <c r="I35" t="n">
        <v>0</v>
      </c>
      <c r="J35" t="n">
        <v>0</v>
      </c>
      <c r="K35" t="n">
        <v>0</v>
      </c>
      <c r="L35" t="n">
        <v>0</v>
      </c>
      <c r="M35" t="n">
        <v>0</v>
      </c>
      <c r="N35" t="n">
        <v>0</v>
      </c>
      <c r="O35" t="n">
        <v>0</v>
      </c>
      <c r="P35" t="n">
        <v>0</v>
      </c>
      <c r="Q35" t="n">
        <v>0</v>
      </c>
      <c r="R35" s="2" t="inlineStr"/>
    </row>
    <row r="36" ht="15" customHeight="1">
      <c r="A36" t="inlineStr">
        <is>
          <t>A 4367-2019</t>
        </is>
      </c>
      <c r="B36" s="1" t="n">
        <v>43483</v>
      </c>
      <c r="C36" s="1" t="n">
        <v>45338</v>
      </c>
      <c r="D36" t="inlineStr">
        <is>
          <t>VÄSTRA GÖTALANDS LÄN</t>
        </is>
      </c>
      <c r="E36" t="inlineStr">
        <is>
          <t>ALE</t>
        </is>
      </c>
      <c r="G36" t="n">
        <v>0.6</v>
      </c>
      <c r="H36" t="n">
        <v>0</v>
      </c>
      <c r="I36" t="n">
        <v>0</v>
      </c>
      <c r="J36" t="n">
        <v>0</v>
      </c>
      <c r="K36" t="n">
        <v>0</v>
      </c>
      <c r="L36" t="n">
        <v>0</v>
      </c>
      <c r="M36" t="n">
        <v>0</v>
      </c>
      <c r="N36" t="n">
        <v>0</v>
      </c>
      <c r="O36" t="n">
        <v>0</v>
      </c>
      <c r="P36" t="n">
        <v>0</v>
      </c>
      <c r="Q36" t="n">
        <v>0</v>
      </c>
      <c r="R36" s="2" t="inlineStr"/>
    </row>
    <row r="37" ht="15" customHeight="1">
      <c r="A37" t="inlineStr">
        <is>
          <t>A 9188-2019</t>
        </is>
      </c>
      <c r="B37" s="1" t="n">
        <v>43505</v>
      </c>
      <c r="C37" s="1" t="n">
        <v>45338</v>
      </c>
      <c r="D37" t="inlineStr">
        <is>
          <t>VÄSTRA GÖTALANDS LÄN</t>
        </is>
      </c>
      <c r="E37" t="inlineStr">
        <is>
          <t>ALE</t>
        </is>
      </c>
      <c r="G37" t="n">
        <v>4</v>
      </c>
      <c r="H37" t="n">
        <v>0</v>
      </c>
      <c r="I37" t="n">
        <v>0</v>
      </c>
      <c r="J37" t="n">
        <v>0</v>
      </c>
      <c r="K37" t="n">
        <v>0</v>
      </c>
      <c r="L37" t="n">
        <v>0</v>
      </c>
      <c r="M37" t="n">
        <v>0</v>
      </c>
      <c r="N37" t="n">
        <v>0</v>
      </c>
      <c r="O37" t="n">
        <v>0</v>
      </c>
      <c r="P37" t="n">
        <v>0</v>
      </c>
      <c r="Q37" t="n">
        <v>0</v>
      </c>
      <c r="R37" s="2" t="inlineStr"/>
    </row>
    <row r="38" ht="15" customHeight="1">
      <c r="A38" t="inlineStr">
        <is>
          <t>A 11978-2019</t>
        </is>
      </c>
      <c r="B38" s="1" t="n">
        <v>43521</v>
      </c>
      <c r="C38" s="1" t="n">
        <v>45338</v>
      </c>
      <c r="D38" t="inlineStr">
        <is>
          <t>VÄSTRA GÖTALANDS LÄN</t>
        </is>
      </c>
      <c r="E38" t="inlineStr">
        <is>
          <t>ALE</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14048-2019</t>
        </is>
      </c>
      <c r="B39" s="1" t="n">
        <v>43532</v>
      </c>
      <c r="C39" s="1" t="n">
        <v>45338</v>
      </c>
      <c r="D39" t="inlineStr">
        <is>
          <t>VÄSTRA GÖTALANDS LÄN</t>
        </is>
      </c>
      <c r="E39" t="inlineStr">
        <is>
          <t>ALE</t>
        </is>
      </c>
      <c r="G39" t="n">
        <v>1.5</v>
      </c>
      <c r="H39" t="n">
        <v>0</v>
      </c>
      <c r="I39" t="n">
        <v>0</v>
      </c>
      <c r="J39" t="n">
        <v>0</v>
      </c>
      <c r="K39" t="n">
        <v>0</v>
      </c>
      <c r="L39" t="n">
        <v>0</v>
      </c>
      <c r="M39" t="n">
        <v>0</v>
      </c>
      <c r="N39" t="n">
        <v>0</v>
      </c>
      <c r="O39" t="n">
        <v>0</v>
      </c>
      <c r="P39" t="n">
        <v>0</v>
      </c>
      <c r="Q39" t="n">
        <v>0</v>
      </c>
      <c r="R39" s="2" t="inlineStr"/>
    </row>
    <row r="40" ht="15" customHeight="1">
      <c r="A40" t="inlineStr">
        <is>
          <t>A 14335-2019</t>
        </is>
      </c>
      <c r="B40" s="1" t="n">
        <v>43535</v>
      </c>
      <c r="C40" s="1" t="n">
        <v>45338</v>
      </c>
      <c r="D40" t="inlineStr">
        <is>
          <t>VÄSTRA GÖTALANDS LÄN</t>
        </is>
      </c>
      <c r="E40" t="inlineStr">
        <is>
          <t>ALE</t>
        </is>
      </c>
      <c r="G40" t="n">
        <v>5.8</v>
      </c>
      <c r="H40" t="n">
        <v>0</v>
      </c>
      <c r="I40" t="n">
        <v>0</v>
      </c>
      <c r="J40" t="n">
        <v>0</v>
      </c>
      <c r="K40" t="n">
        <v>0</v>
      </c>
      <c r="L40" t="n">
        <v>0</v>
      </c>
      <c r="M40" t="n">
        <v>0</v>
      </c>
      <c r="N40" t="n">
        <v>0</v>
      </c>
      <c r="O40" t="n">
        <v>0</v>
      </c>
      <c r="P40" t="n">
        <v>0</v>
      </c>
      <c r="Q40" t="n">
        <v>0</v>
      </c>
      <c r="R40" s="2" t="inlineStr"/>
    </row>
    <row r="41" ht="15" customHeight="1">
      <c r="A41" t="inlineStr">
        <is>
          <t>A 15443-2019</t>
        </is>
      </c>
      <c r="B41" s="1" t="n">
        <v>43542</v>
      </c>
      <c r="C41" s="1" t="n">
        <v>45338</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22015-2019</t>
        </is>
      </c>
      <c r="B42" s="1" t="n">
        <v>43584</v>
      </c>
      <c r="C42" s="1" t="n">
        <v>45338</v>
      </c>
      <c r="D42" t="inlineStr">
        <is>
          <t>VÄSTRA GÖTALANDS LÄN</t>
        </is>
      </c>
      <c r="E42" t="inlineStr">
        <is>
          <t>ALE</t>
        </is>
      </c>
      <c r="G42" t="n">
        <v>1.6</v>
      </c>
      <c r="H42" t="n">
        <v>0</v>
      </c>
      <c r="I42" t="n">
        <v>0</v>
      </c>
      <c r="J42" t="n">
        <v>0</v>
      </c>
      <c r="K42" t="n">
        <v>0</v>
      </c>
      <c r="L42" t="n">
        <v>0</v>
      </c>
      <c r="M42" t="n">
        <v>0</v>
      </c>
      <c r="N42" t="n">
        <v>0</v>
      </c>
      <c r="O42" t="n">
        <v>0</v>
      </c>
      <c r="P42" t="n">
        <v>0</v>
      </c>
      <c r="Q42" t="n">
        <v>0</v>
      </c>
      <c r="R42" s="2" t="inlineStr"/>
    </row>
    <row r="43" ht="15" customHeight="1">
      <c r="A43" t="inlineStr">
        <is>
          <t>A 50538-2019</t>
        </is>
      </c>
      <c r="B43" s="1" t="n">
        <v>43735</v>
      </c>
      <c r="C43" s="1" t="n">
        <v>45338</v>
      </c>
      <c r="D43" t="inlineStr">
        <is>
          <t>VÄSTRA GÖTALANDS LÄN</t>
        </is>
      </c>
      <c r="E43" t="inlineStr">
        <is>
          <t>ALE</t>
        </is>
      </c>
      <c r="G43" t="n">
        <v>10.9</v>
      </c>
      <c r="H43" t="n">
        <v>0</v>
      </c>
      <c r="I43" t="n">
        <v>0</v>
      </c>
      <c r="J43" t="n">
        <v>0</v>
      </c>
      <c r="K43" t="n">
        <v>0</v>
      </c>
      <c r="L43" t="n">
        <v>0</v>
      </c>
      <c r="M43" t="n">
        <v>0</v>
      </c>
      <c r="N43" t="n">
        <v>0</v>
      </c>
      <c r="O43" t="n">
        <v>0</v>
      </c>
      <c r="P43" t="n">
        <v>0</v>
      </c>
      <c r="Q43" t="n">
        <v>0</v>
      </c>
      <c r="R43" s="2" t="inlineStr"/>
    </row>
    <row r="44" ht="15" customHeight="1">
      <c r="A44" t="inlineStr">
        <is>
          <t>A 59735-2019</t>
        </is>
      </c>
      <c r="B44" s="1" t="n">
        <v>43776</v>
      </c>
      <c r="C44" s="1" t="n">
        <v>45338</v>
      </c>
      <c r="D44" t="inlineStr">
        <is>
          <t>VÄSTRA GÖTALANDS LÄN</t>
        </is>
      </c>
      <c r="E44" t="inlineStr">
        <is>
          <t>ALE</t>
        </is>
      </c>
      <c r="G44" t="n">
        <v>2</v>
      </c>
      <c r="H44" t="n">
        <v>0</v>
      </c>
      <c r="I44" t="n">
        <v>0</v>
      </c>
      <c r="J44" t="n">
        <v>0</v>
      </c>
      <c r="K44" t="n">
        <v>0</v>
      </c>
      <c r="L44" t="n">
        <v>0</v>
      </c>
      <c r="M44" t="n">
        <v>0</v>
      </c>
      <c r="N44" t="n">
        <v>0</v>
      </c>
      <c r="O44" t="n">
        <v>0</v>
      </c>
      <c r="P44" t="n">
        <v>0</v>
      </c>
      <c r="Q44" t="n">
        <v>0</v>
      </c>
      <c r="R44" s="2" t="inlineStr"/>
    </row>
    <row r="45" ht="15" customHeight="1">
      <c r="A45" t="inlineStr">
        <is>
          <t>A 60395-2019</t>
        </is>
      </c>
      <c r="B45" s="1" t="n">
        <v>43780</v>
      </c>
      <c r="C45" s="1" t="n">
        <v>45338</v>
      </c>
      <c r="D45" t="inlineStr">
        <is>
          <t>VÄSTRA GÖTALANDS LÄN</t>
        </is>
      </c>
      <c r="E45" t="inlineStr">
        <is>
          <t>ALE</t>
        </is>
      </c>
      <c r="F45" t="inlineStr">
        <is>
          <t>Kommuner</t>
        </is>
      </c>
      <c r="G45" t="n">
        <v>1.7</v>
      </c>
      <c r="H45" t="n">
        <v>0</v>
      </c>
      <c r="I45" t="n">
        <v>0</v>
      </c>
      <c r="J45" t="n">
        <v>0</v>
      </c>
      <c r="K45" t="n">
        <v>0</v>
      </c>
      <c r="L45" t="n">
        <v>0</v>
      </c>
      <c r="M45" t="n">
        <v>0</v>
      </c>
      <c r="N45" t="n">
        <v>0</v>
      </c>
      <c r="O45" t="n">
        <v>0</v>
      </c>
      <c r="P45" t="n">
        <v>0</v>
      </c>
      <c r="Q45" t="n">
        <v>0</v>
      </c>
      <c r="R45" s="2" t="inlineStr"/>
    </row>
    <row r="46" ht="15" customHeight="1">
      <c r="A46" t="inlineStr">
        <is>
          <t>A 60379-2019</t>
        </is>
      </c>
      <c r="B46" s="1" t="n">
        <v>43780</v>
      </c>
      <c r="C46" s="1" t="n">
        <v>45338</v>
      </c>
      <c r="D46" t="inlineStr">
        <is>
          <t>VÄSTRA GÖTALANDS LÄN</t>
        </is>
      </c>
      <c r="E46" t="inlineStr">
        <is>
          <t>ALE</t>
        </is>
      </c>
      <c r="F46" t="inlineStr">
        <is>
          <t>Kommuner</t>
        </is>
      </c>
      <c r="G46" t="n">
        <v>1.1</v>
      </c>
      <c r="H46" t="n">
        <v>0</v>
      </c>
      <c r="I46" t="n">
        <v>0</v>
      </c>
      <c r="J46" t="n">
        <v>0</v>
      </c>
      <c r="K46" t="n">
        <v>0</v>
      </c>
      <c r="L46" t="n">
        <v>0</v>
      </c>
      <c r="M46" t="n">
        <v>0</v>
      </c>
      <c r="N46" t="n">
        <v>0</v>
      </c>
      <c r="O46" t="n">
        <v>0</v>
      </c>
      <c r="P46" t="n">
        <v>0</v>
      </c>
      <c r="Q46" t="n">
        <v>0</v>
      </c>
      <c r="R46" s="2" t="inlineStr"/>
    </row>
    <row r="47" ht="15" customHeight="1">
      <c r="A47" t="inlineStr">
        <is>
          <t>A 60679-2019</t>
        </is>
      </c>
      <c r="B47" s="1" t="n">
        <v>43781</v>
      </c>
      <c r="C47" s="1" t="n">
        <v>45338</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62130-2019</t>
        </is>
      </c>
      <c r="B48" s="1" t="n">
        <v>43787</v>
      </c>
      <c r="C48" s="1" t="n">
        <v>45338</v>
      </c>
      <c r="D48" t="inlineStr">
        <is>
          <t>VÄSTRA GÖTALANDS LÄN</t>
        </is>
      </c>
      <c r="E48" t="inlineStr">
        <is>
          <t>ALE</t>
        </is>
      </c>
      <c r="G48" t="n">
        <v>4.3</v>
      </c>
      <c r="H48" t="n">
        <v>0</v>
      </c>
      <c r="I48" t="n">
        <v>0</v>
      </c>
      <c r="J48" t="n">
        <v>0</v>
      </c>
      <c r="K48" t="n">
        <v>0</v>
      </c>
      <c r="L48" t="n">
        <v>0</v>
      </c>
      <c r="M48" t="n">
        <v>0</v>
      </c>
      <c r="N48" t="n">
        <v>0</v>
      </c>
      <c r="O48" t="n">
        <v>0</v>
      </c>
      <c r="P48" t="n">
        <v>0</v>
      </c>
      <c r="Q48" t="n">
        <v>0</v>
      </c>
      <c r="R48" s="2" t="inlineStr"/>
    </row>
    <row r="49" ht="15" customHeight="1">
      <c r="A49" t="inlineStr">
        <is>
          <t>A 377-2020</t>
        </is>
      </c>
      <c r="B49" s="1" t="n">
        <v>43837</v>
      </c>
      <c r="C49" s="1" t="n">
        <v>45338</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2843-2020</t>
        </is>
      </c>
      <c r="B50" s="1" t="n">
        <v>43850</v>
      </c>
      <c r="C50" s="1" t="n">
        <v>45338</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4879-2020</t>
        </is>
      </c>
      <c r="B51" s="1" t="n">
        <v>43859</v>
      </c>
      <c r="C51" s="1" t="n">
        <v>45338</v>
      </c>
      <c r="D51" t="inlineStr">
        <is>
          <t>VÄSTRA GÖTALANDS LÄN</t>
        </is>
      </c>
      <c r="E51" t="inlineStr">
        <is>
          <t>ALE</t>
        </is>
      </c>
      <c r="G51" t="n">
        <v>3.1</v>
      </c>
      <c r="H51" t="n">
        <v>0</v>
      </c>
      <c r="I51" t="n">
        <v>0</v>
      </c>
      <c r="J51" t="n">
        <v>0</v>
      </c>
      <c r="K51" t="n">
        <v>0</v>
      </c>
      <c r="L51" t="n">
        <v>0</v>
      </c>
      <c r="M51" t="n">
        <v>0</v>
      </c>
      <c r="N51" t="n">
        <v>0</v>
      </c>
      <c r="O51" t="n">
        <v>0</v>
      </c>
      <c r="P51" t="n">
        <v>0</v>
      </c>
      <c r="Q51" t="n">
        <v>0</v>
      </c>
      <c r="R51" s="2" t="inlineStr"/>
    </row>
    <row r="52" ht="15" customHeight="1">
      <c r="A52" t="inlineStr">
        <is>
          <t>A 7706-2020</t>
        </is>
      </c>
      <c r="B52" s="1" t="n">
        <v>43872</v>
      </c>
      <c r="C52" s="1" t="n">
        <v>45338</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7804-2020</t>
        </is>
      </c>
      <c r="B53" s="1" t="n">
        <v>43873</v>
      </c>
      <c r="C53" s="1" t="n">
        <v>45338</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9154-2020</t>
        </is>
      </c>
      <c r="B54" s="1" t="n">
        <v>43879</v>
      </c>
      <c r="C54" s="1" t="n">
        <v>45338</v>
      </c>
      <c r="D54" t="inlineStr">
        <is>
          <t>VÄSTRA GÖTALANDS LÄN</t>
        </is>
      </c>
      <c r="E54" t="inlineStr">
        <is>
          <t>ALE</t>
        </is>
      </c>
      <c r="G54" t="n">
        <v>2.7</v>
      </c>
      <c r="H54" t="n">
        <v>0</v>
      </c>
      <c r="I54" t="n">
        <v>0</v>
      </c>
      <c r="J54" t="n">
        <v>0</v>
      </c>
      <c r="K54" t="n">
        <v>0</v>
      </c>
      <c r="L54" t="n">
        <v>0</v>
      </c>
      <c r="M54" t="n">
        <v>0</v>
      </c>
      <c r="N54" t="n">
        <v>0</v>
      </c>
      <c r="O54" t="n">
        <v>0</v>
      </c>
      <c r="P54" t="n">
        <v>0</v>
      </c>
      <c r="Q54" t="n">
        <v>0</v>
      </c>
      <c r="R54" s="2" t="inlineStr"/>
    </row>
    <row r="55" ht="15" customHeight="1">
      <c r="A55" t="inlineStr">
        <is>
          <t>A 10079-2020</t>
        </is>
      </c>
      <c r="B55" s="1" t="n">
        <v>43886</v>
      </c>
      <c r="C55" s="1" t="n">
        <v>45338</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13432-2020</t>
        </is>
      </c>
      <c r="B56" s="1" t="n">
        <v>43902</v>
      </c>
      <c r="C56" s="1" t="n">
        <v>45338</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21077-2020</t>
        </is>
      </c>
      <c r="B57" s="1" t="n">
        <v>43951</v>
      </c>
      <c r="C57" s="1" t="n">
        <v>45338</v>
      </c>
      <c r="D57" t="inlineStr">
        <is>
          <t>VÄSTRA GÖTALANDS LÄN</t>
        </is>
      </c>
      <c r="E57" t="inlineStr">
        <is>
          <t>ALE</t>
        </is>
      </c>
      <c r="G57" t="n">
        <v>4.4</v>
      </c>
      <c r="H57" t="n">
        <v>0</v>
      </c>
      <c r="I57" t="n">
        <v>0</v>
      </c>
      <c r="J57" t="n">
        <v>0</v>
      </c>
      <c r="K57" t="n">
        <v>0</v>
      </c>
      <c r="L57" t="n">
        <v>0</v>
      </c>
      <c r="M57" t="n">
        <v>0</v>
      </c>
      <c r="N57" t="n">
        <v>0</v>
      </c>
      <c r="O57" t="n">
        <v>0</v>
      </c>
      <c r="P57" t="n">
        <v>0</v>
      </c>
      <c r="Q57" t="n">
        <v>0</v>
      </c>
      <c r="R57" s="2" t="inlineStr"/>
    </row>
    <row r="58" ht="15" customHeight="1">
      <c r="A58" t="inlineStr">
        <is>
          <t>A 23099-2020</t>
        </is>
      </c>
      <c r="B58" s="1" t="n">
        <v>43965</v>
      </c>
      <c r="C58" s="1" t="n">
        <v>45338</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27496-2020</t>
        </is>
      </c>
      <c r="B59" s="1" t="n">
        <v>43993</v>
      </c>
      <c r="C59" s="1" t="n">
        <v>45338</v>
      </c>
      <c r="D59" t="inlineStr">
        <is>
          <t>VÄSTRA GÖTALANDS LÄN</t>
        </is>
      </c>
      <c r="E59" t="inlineStr">
        <is>
          <t>ALE</t>
        </is>
      </c>
      <c r="G59" t="n">
        <v>3.5</v>
      </c>
      <c r="H59" t="n">
        <v>0</v>
      </c>
      <c r="I59" t="n">
        <v>0</v>
      </c>
      <c r="J59" t="n">
        <v>0</v>
      </c>
      <c r="K59" t="n">
        <v>0</v>
      </c>
      <c r="L59" t="n">
        <v>0</v>
      </c>
      <c r="M59" t="n">
        <v>0</v>
      </c>
      <c r="N59" t="n">
        <v>0</v>
      </c>
      <c r="O59" t="n">
        <v>0</v>
      </c>
      <c r="P59" t="n">
        <v>0</v>
      </c>
      <c r="Q59" t="n">
        <v>0</v>
      </c>
      <c r="R59" s="2" t="inlineStr"/>
    </row>
    <row r="60" ht="15" customHeight="1">
      <c r="A60" t="inlineStr">
        <is>
          <t>A 29258-2020</t>
        </is>
      </c>
      <c r="B60" s="1" t="n">
        <v>44004</v>
      </c>
      <c r="C60" s="1" t="n">
        <v>45338</v>
      </c>
      <c r="D60" t="inlineStr">
        <is>
          <t>VÄSTRA GÖTALANDS LÄN</t>
        </is>
      </c>
      <c r="E60" t="inlineStr">
        <is>
          <t>ALE</t>
        </is>
      </c>
      <c r="G60" t="n">
        <v>1.5</v>
      </c>
      <c r="H60" t="n">
        <v>0</v>
      </c>
      <c r="I60" t="n">
        <v>0</v>
      </c>
      <c r="J60" t="n">
        <v>0</v>
      </c>
      <c r="K60" t="n">
        <v>0</v>
      </c>
      <c r="L60" t="n">
        <v>0</v>
      </c>
      <c r="M60" t="n">
        <v>0</v>
      </c>
      <c r="N60" t="n">
        <v>0</v>
      </c>
      <c r="O60" t="n">
        <v>0</v>
      </c>
      <c r="P60" t="n">
        <v>0</v>
      </c>
      <c r="Q60" t="n">
        <v>0</v>
      </c>
      <c r="R60" s="2" t="inlineStr"/>
    </row>
    <row r="61" ht="15" customHeight="1">
      <c r="A61" t="inlineStr">
        <is>
          <t>A 31247-2020</t>
        </is>
      </c>
      <c r="B61" s="1" t="n">
        <v>44012</v>
      </c>
      <c r="C61" s="1" t="n">
        <v>45338</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52839-2020</t>
        </is>
      </c>
      <c r="B62" s="1" t="n">
        <v>44118</v>
      </c>
      <c r="C62" s="1" t="n">
        <v>45338</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58099-2020</t>
        </is>
      </c>
      <c r="B63" s="1" t="n">
        <v>44144</v>
      </c>
      <c r="C63" s="1" t="n">
        <v>45338</v>
      </c>
      <c r="D63" t="inlineStr">
        <is>
          <t>VÄSTRA GÖTALANDS LÄN</t>
        </is>
      </c>
      <c r="E63" t="inlineStr">
        <is>
          <t>ALE</t>
        </is>
      </c>
      <c r="G63" t="n">
        <v>4.6</v>
      </c>
      <c r="H63" t="n">
        <v>0</v>
      </c>
      <c r="I63" t="n">
        <v>0</v>
      </c>
      <c r="J63" t="n">
        <v>0</v>
      </c>
      <c r="K63" t="n">
        <v>0</v>
      </c>
      <c r="L63" t="n">
        <v>0</v>
      </c>
      <c r="M63" t="n">
        <v>0</v>
      </c>
      <c r="N63" t="n">
        <v>0</v>
      </c>
      <c r="O63" t="n">
        <v>0</v>
      </c>
      <c r="P63" t="n">
        <v>0</v>
      </c>
      <c r="Q63" t="n">
        <v>0</v>
      </c>
      <c r="R63" s="2" t="inlineStr"/>
    </row>
    <row r="64" ht="15" customHeight="1">
      <c r="A64" t="inlineStr">
        <is>
          <t>A 66466-2020</t>
        </is>
      </c>
      <c r="B64" s="1" t="n">
        <v>44176</v>
      </c>
      <c r="C64" s="1" t="n">
        <v>45338</v>
      </c>
      <c r="D64" t="inlineStr">
        <is>
          <t>VÄSTRA GÖTALANDS LÄN</t>
        </is>
      </c>
      <c r="E64" t="inlineStr">
        <is>
          <t>ALE</t>
        </is>
      </c>
      <c r="G64" t="n">
        <v>1.7</v>
      </c>
      <c r="H64" t="n">
        <v>0</v>
      </c>
      <c r="I64" t="n">
        <v>0</v>
      </c>
      <c r="J64" t="n">
        <v>0</v>
      </c>
      <c r="K64" t="n">
        <v>0</v>
      </c>
      <c r="L64" t="n">
        <v>0</v>
      </c>
      <c r="M64" t="n">
        <v>0</v>
      </c>
      <c r="N64" t="n">
        <v>0</v>
      </c>
      <c r="O64" t="n">
        <v>0</v>
      </c>
      <c r="P64" t="n">
        <v>0</v>
      </c>
      <c r="Q64" t="n">
        <v>0</v>
      </c>
      <c r="R64" s="2" t="inlineStr"/>
    </row>
    <row r="65" ht="15" customHeight="1">
      <c r="A65" t="inlineStr">
        <is>
          <t>A 66467-2020</t>
        </is>
      </c>
      <c r="B65" s="1" t="n">
        <v>44176</v>
      </c>
      <c r="C65" s="1" t="n">
        <v>45338</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66551-2020</t>
        </is>
      </c>
      <c r="B66" s="1" t="n">
        <v>44179</v>
      </c>
      <c r="C66" s="1" t="n">
        <v>45338</v>
      </c>
      <c r="D66" t="inlineStr">
        <is>
          <t>VÄSTRA GÖTALANDS LÄN</t>
        </is>
      </c>
      <c r="E66" t="inlineStr">
        <is>
          <t>ALE</t>
        </is>
      </c>
      <c r="G66" t="n">
        <v>4.5</v>
      </c>
      <c r="H66" t="n">
        <v>0</v>
      </c>
      <c r="I66" t="n">
        <v>0</v>
      </c>
      <c r="J66" t="n">
        <v>0</v>
      </c>
      <c r="K66" t="n">
        <v>0</v>
      </c>
      <c r="L66" t="n">
        <v>0</v>
      </c>
      <c r="M66" t="n">
        <v>0</v>
      </c>
      <c r="N66" t="n">
        <v>0</v>
      </c>
      <c r="O66" t="n">
        <v>0</v>
      </c>
      <c r="P66" t="n">
        <v>0</v>
      </c>
      <c r="Q66" t="n">
        <v>0</v>
      </c>
      <c r="R66" s="2" t="inlineStr"/>
    </row>
    <row r="67" ht="15" customHeight="1">
      <c r="A67" t="inlineStr">
        <is>
          <t>A 69325-2020</t>
        </is>
      </c>
      <c r="B67" s="1" t="n">
        <v>44193</v>
      </c>
      <c r="C67" s="1" t="n">
        <v>45338</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69359-2020</t>
        </is>
      </c>
      <c r="B68" s="1" t="n">
        <v>44193</v>
      </c>
      <c r="C68" s="1" t="n">
        <v>45338</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2003-2021</t>
        </is>
      </c>
      <c r="B69" s="1" t="n">
        <v>44210</v>
      </c>
      <c r="C69" s="1" t="n">
        <v>45338</v>
      </c>
      <c r="D69" t="inlineStr">
        <is>
          <t>VÄSTRA GÖTALANDS LÄN</t>
        </is>
      </c>
      <c r="E69" t="inlineStr">
        <is>
          <t>ALE</t>
        </is>
      </c>
      <c r="F69" t="inlineStr">
        <is>
          <t>Kommuner</t>
        </is>
      </c>
      <c r="G69" t="n">
        <v>0.6</v>
      </c>
      <c r="H69" t="n">
        <v>0</v>
      </c>
      <c r="I69" t="n">
        <v>0</v>
      </c>
      <c r="J69" t="n">
        <v>0</v>
      </c>
      <c r="K69" t="n">
        <v>0</v>
      </c>
      <c r="L69" t="n">
        <v>0</v>
      </c>
      <c r="M69" t="n">
        <v>0</v>
      </c>
      <c r="N69" t="n">
        <v>0</v>
      </c>
      <c r="O69" t="n">
        <v>0</v>
      </c>
      <c r="P69" t="n">
        <v>0</v>
      </c>
      <c r="Q69" t="n">
        <v>0</v>
      </c>
      <c r="R69" s="2" t="inlineStr"/>
    </row>
    <row r="70" ht="15" customHeight="1">
      <c r="A70" t="inlineStr">
        <is>
          <t>A 3293-2021</t>
        </is>
      </c>
      <c r="B70" s="1" t="n">
        <v>44217</v>
      </c>
      <c r="C70" s="1" t="n">
        <v>45338</v>
      </c>
      <c r="D70" t="inlineStr">
        <is>
          <t>VÄSTRA GÖTALANDS LÄN</t>
        </is>
      </c>
      <c r="E70" t="inlineStr">
        <is>
          <t>ALE</t>
        </is>
      </c>
      <c r="G70" t="n">
        <v>4.2</v>
      </c>
      <c r="H70" t="n">
        <v>0</v>
      </c>
      <c r="I70" t="n">
        <v>0</v>
      </c>
      <c r="J70" t="n">
        <v>0</v>
      </c>
      <c r="K70" t="n">
        <v>0</v>
      </c>
      <c r="L70" t="n">
        <v>0</v>
      </c>
      <c r="M70" t="n">
        <v>0</v>
      </c>
      <c r="N70" t="n">
        <v>0</v>
      </c>
      <c r="O70" t="n">
        <v>0</v>
      </c>
      <c r="P70" t="n">
        <v>0</v>
      </c>
      <c r="Q70" t="n">
        <v>0</v>
      </c>
      <c r="R70" s="2" t="inlineStr"/>
    </row>
    <row r="71" ht="15" customHeight="1">
      <c r="A71" t="inlineStr">
        <is>
          <t>A 13462-2021</t>
        </is>
      </c>
      <c r="B71" s="1" t="n">
        <v>44273</v>
      </c>
      <c r="C71" s="1" t="n">
        <v>45338</v>
      </c>
      <c r="D71" t="inlineStr">
        <is>
          <t>VÄSTRA GÖTALANDS LÄN</t>
        </is>
      </c>
      <c r="E71" t="inlineStr">
        <is>
          <t>ALE</t>
        </is>
      </c>
      <c r="G71" t="n">
        <v>7.4</v>
      </c>
      <c r="H71" t="n">
        <v>0</v>
      </c>
      <c r="I71" t="n">
        <v>0</v>
      </c>
      <c r="J71" t="n">
        <v>0</v>
      </c>
      <c r="K71" t="n">
        <v>0</v>
      </c>
      <c r="L71" t="n">
        <v>0</v>
      </c>
      <c r="M71" t="n">
        <v>0</v>
      </c>
      <c r="N71" t="n">
        <v>0</v>
      </c>
      <c r="O71" t="n">
        <v>0</v>
      </c>
      <c r="P71" t="n">
        <v>0</v>
      </c>
      <c r="Q71" t="n">
        <v>0</v>
      </c>
      <c r="R71" s="2" t="inlineStr"/>
    </row>
    <row r="72" ht="15" customHeight="1">
      <c r="A72" t="inlineStr">
        <is>
          <t>A 14517-2021</t>
        </is>
      </c>
      <c r="B72" s="1" t="n">
        <v>44279</v>
      </c>
      <c r="C72" s="1" t="n">
        <v>45338</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17283-2021</t>
        </is>
      </c>
      <c r="B73" s="1" t="n">
        <v>44298</v>
      </c>
      <c r="C73" s="1" t="n">
        <v>45338</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17286-2021</t>
        </is>
      </c>
      <c r="B74" s="1" t="n">
        <v>44298</v>
      </c>
      <c r="C74" s="1" t="n">
        <v>45338</v>
      </c>
      <c r="D74" t="inlineStr">
        <is>
          <t>VÄSTRA GÖTALANDS LÄN</t>
        </is>
      </c>
      <c r="E74" t="inlineStr">
        <is>
          <t>ALE</t>
        </is>
      </c>
      <c r="G74" t="n">
        <v>3.3</v>
      </c>
      <c r="H74" t="n">
        <v>0</v>
      </c>
      <c r="I74" t="n">
        <v>0</v>
      </c>
      <c r="J74" t="n">
        <v>0</v>
      </c>
      <c r="K74" t="n">
        <v>0</v>
      </c>
      <c r="L74" t="n">
        <v>0</v>
      </c>
      <c r="M74" t="n">
        <v>0</v>
      </c>
      <c r="N74" t="n">
        <v>0</v>
      </c>
      <c r="O74" t="n">
        <v>0</v>
      </c>
      <c r="P74" t="n">
        <v>0</v>
      </c>
      <c r="Q74" t="n">
        <v>0</v>
      </c>
      <c r="R74" s="2" t="inlineStr"/>
    </row>
    <row r="75" ht="15" customHeight="1">
      <c r="A75" t="inlineStr">
        <is>
          <t>A 18999-2021</t>
        </is>
      </c>
      <c r="B75" s="1" t="n">
        <v>44308</v>
      </c>
      <c r="C75" s="1" t="n">
        <v>45338</v>
      </c>
      <c r="D75" t="inlineStr">
        <is>
          <t>VÄSTRA GÖTALANDS LÄN</t>
        </is>
      </c>
      <c r="E75" t="inlineStr">
        <is>
          <t>ALE</t>
        </is>
      </c>
      <c r="G75" t="n">
        <v>3.7</v>
      </c>
      <c r="H75" t="n">
        <v>0</v>
      </c>
      <c r="I75" t="n">
        <v>0</v>
      </c>
      <c r="J75" t="n">
        <v>0</v>
      </c>
      <c r="K75" t="n">
        <v>0</v>
      </c>
      <c r="L75" t="n">
        <v>0</v>
      </c>
      <c r="M75" t="n">
        <v>0</v>
      </c>
      <c r="N75" t="n">
        <v>0</v>
      </c>
      <c r="O75" t="n">
        <v>0</v>
      </c>
      <c r="P75" t="n">
        <v>0</v>
      </c>
      <c r="Q75" t="n">
        <v>0</v>
      </c>
      <c r="R75" s="2" t="inlineStr"/>
    </row>
    <row r="76" ht="15" customHeight="1">
      <c r="A76" t="inlineStr">
        <is>
          <t>A 21026-2021</t>
        </is>
      </c>
      <c r="B76" s="1" t="n">
        <v>44319</v>
      </c>
      <c r="C76" s="1" t="n">
        <v>45338</v>
      </c>
      <c r="D76" t="inlineStr">
        <is>
          <t>VÄSTRA GÖTALANDS LÄN</t>
        </is>
      </c>
      <c r="E76" t="inlineStr">
        <is>
          <t>ALE</t>
        </is>
      </c>
      <c r="G76" t="n">
        <v>1.8</v>
      </c>
      <c r="H76" t="n">
        <v>0</v>
      </c>
      <c r="I76" t="n">
        <v>0</v>
      </c>
      <c r="J76" t="n">
        <v>0</v>
      </c>
      <c r="K76" t="n">
        <v>0</v>
      </c>
      <c r="L76" t="n">
        <v>0</v>
      </c>
      <c r="M76" t="n">
        <v>0</v>
      </c>
      <c r="N76" t="n">
        <v>0</v>
      </c>
      <c r="O76" t="n">
        <v>0</v>
      </c>
      <c r="P76" t="n">
        <v>0</v>
      </c>
      <c r="Q76" t="n">
        <v>0</v>
      </c>
      <c r="R76" s="2" t="inlineStr"/>
    </row>
    <row r="77" ht="15" customHeight="1">
      <c r="A77" t="inlineStr">
        <is>
          <t>A 21281-2021</t>
        </is>
      </c>
      <c r="B77" s="1" t="n">
        <v>44320</v>
      </c>
      <c r="C77" s="1" t="n">
        <v>45338</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22138-2021</t>
        </is>
      </c>
      <c r="B78" s="1" t="n">
        <v>44324</v>
      </c>
      <c r="C78" s="1" t="n">
        <v>45338</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25632-2021</t>
        </is>
      </c>
      <c r="B79" s="1" t="n">
        <v>44343</v>
      </c>
      <c r="C79" s="1" t="n">
        <v>45338</v>
      </c>
      <c r="D79" t="inlineStr">
        <is>
          <t>VÄSTRA GÖTALANDS LÄN</t>
        </is>
      </c>
      <c r="E79" t="inlineStr">
        <is>
          <t>ALE</t>
        </is>
      </c>
      <c r="G79" t="n">
        <v>3.2</v>
      </c>
      <c r="H79" t="n">
        <v>0</v>
      </c>
      <c r="I79" t="n">
        <v>0</v>
      </c>
      <c r="J79" t="n">
        <v>0</v>
      </c>
      <c r="K79" t="n">
        <v>0</v>
      </c>
      <c r="L79" t="n">
        <v>0</v>
      </c>
      <c r="M79" t="n">
        <v>0</v>
      </c>
      <c r="N79" t="n">
        <v>0</v>
      </c>
      <c r="O79" t="n">
        <v>0</v>
      </c>
      <c r="P79" t="n">
        <v>0</v>
      </c>
      <c r="Q79" t="n">
        <v>0</v>
      </c>
      <c r="R79" s="2" t="inlineStr"/>
    </row>
    <row r="80" ht="15" customHeight="1">
      <c r="A80" t="inlineStr">
        <is>
          <t>A 27314-2021</t>
        </is>
      </c>
      <c r="B80" s="1" t="n">
        <v>44351</v>
      </c>
      <c r="C80" s="1" t="n">
        <v>45338</v>
      </c>
      <c r="D80" t="inlineStr">
        <is>
          <t>VÄSTRA GÖTALANDS LÄN</t>
        </is>
      </c>
      <c r="E80" t="inlineStr">
        <is>
          <t>ALE</t>
        </is>
      </c>
      <c r="G80" t="n">
        <v>11.3</v>
      </c>
      <c r="H80" t="n">
        <v>0</v>
      </c>
      <c r="I80" t="n">
        <v>0</v>
      </c>
      <c r="J80" t="n">
        <v>0</v>
      </c>
      <c r="K80" t="n">
        <v>0</v>
      </c>
      <c r="L80" t="n">
        <v>0</v>
      </c>
      <c r="M80" t="n">
        <v>0</v>
      </c>
      <c r="N80" t="n">
        <v>0</v>
      </c>
      <c r="O80" t="n">
        <v>0</v>
      </c>
      <c r="P80" t="n">
        <v>0</v>
      </c>
      <c r="Q80" t="n">
        <v>0</v>
      </c>
      <c r="R80" s="2" t="inlineStr"/>
    </row>
    <row r="81" ht="15" customHeight="1">
      <c r="A81" t="inlineStr">
        <is>
          <t>A 31566-2021</t>
        </is>
      </c>
      <c r="B81" s="1" t="n">
        <v>44369</v>
      </c>
      <c r="C81" s="1" t="n">
        <v>45338</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31568-2021</t>
        </is>
      </c>
      <c r="B82" s="1" t="n">
        <v>44369</v>
      </c>
      <c r="C82" s="1" t="n">
        <v>45338</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35148-2021</t>
        </is>
      </c>
      <c r="B83" s="1" t="n">
        <v>44384</v>
      </c>
      <c r="C83" s="1" t="n">
        <v>45338</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36394-2021</t>
        </is>
      </c>
      <c r="B84" s="1" t="n">
        <v>44389</v>
      </c>
      <c r="C84" s="1" t="n">
        <v>45338</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45986-2021</t>
        </is>
      </c>
      <c r="B85" s="1" t="n">
        <v>44441</v>
      </c>
      <c r="C85" s="1" t="n">
        <v>45338</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45988-2021</t>
        </is>
      </c>
      <c r="B86" s="1" t="n">
        <v>44441</v>
      </c>
      <c r="C86" s="1" t="n">
        <v>45338</v>
      </c>
      <c r="D86" t="inlineStr">
        <is>
          <t>VÄSTRA GÖTALANDS LÄN</t>
        </is>
      </c>
      <c r="E86" t="inlineStr">
        <is>
          <t>ALE</t>
        </is>
      </c>
      <c r="G86" t="n">
        <v>1.2</v>
      </c>
      <c r="H86" t="n">
        <v>0</v>
      </c>
      <c r="I86" t="n">
        <v>0</v>
      </c>
      <c r="J86" t="n">
        <v>0</v>
      </c>
      <c r="K86" t="n">
        <v>0</v>
      </c>
      <c r="L86" t="n">
        <v>0</v>
      </c>
      <c r="M86" t="n">
        <v>0</v>
      </c>
      <c r="N86" t="n">
        <v>0</v>
      </c>
      <c r="O86" t="n">
        <v>0</v>
      </c>
      <c r="P86" t="n">
        <v>0</v>
      </c>
      <c r="Q86" t="n">
        <v>0</v>
      </c>
      <c r="R86" s="2" t="inlineStr"/>
    </row>
    <row r="87" ht="15" customHeight="1">
      <c r="A87" t="inlineStr">
        <is>
          <t>A 46391-2021</t>
        </is>
      </c>
      <c r="B87" s="1" t="n">
        <v>44443</v>
      </c>
      <c r="C87" s="1" t="n">
        <v>45338</v>
      </c>
      <c r="D87" t="inlineStr">
        <is>
          <t>VÄSTRA GÖTALANDS LÄN</t>
        </is>
      </c>
      <c r="E87" t="inlineStr">
        <is>
          <t>ALE</t>
        </is>
      </c>
      <c r="G87" t="n">
        <v>1.3</v>
      </c>
      <c r="H87" t="n">
        <v>0</v>
      </c>
      <c r="I87" t="n">
        <v>0</v>
      </c>
      <c r="J87" t="n">
        <v>0</v>
      </c>
      <c r="K87" t="n">
        <v>0</v>
      </c>
      <c r="L87" t="n">
        <v>0</v>
      </c>
      <c r="M87" t="n">
        <v>0</v>
      </c>
      <c r="N87" t="n">
        <v>0</v>
      </c>
      <c r="O87" t="n">
        <v>0</v>
      </c>
      <c r="P87" t="n">
        <v>0</v>
      </c>
      <c r="Q87" t="n">
        <v>0</v>
      </c>
      <c r="R87" s="2" t="inlineStr"/>
    </row>
    <row r="88" ht="15" customHeight="1">
      <c r="A88" t="inlineStr">
        <is>
          <t>A 49955-2021</t>
        </is>
      </c>
      <c r="B88" s="1" t="n">
        <v>44456</v>
      </c>
      <c r="C88" s="1" t="n">
        <v>45338</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53144-2021</t>
        </is>
      </c>
      <c r="B89" s="1" t="n">
        <v>44468</v>
      </c>
      <c r="C89" s="1" t="n">
        <v>45338</v>
      </c>
      <c r="D89" t="inlineStr">
        <is>
          <t>VÄSTRA GÖTALANDS LÄN</t>
        </is>
      </c>
      <c r="E89" t="inlineStr">
        <is>
          <t>ALE</t>
        </is>
      </c>
      <c r="G89" t="n">
        <v>2.6</v>
      </c>
      <c r="H89" t="n">
        <v>0</v>
      </c>
      <c r="I89" t="n">
        <v>0</v>
      </c>
      <c r="J89" t="n">
        <v>0</v>
      </c>
      <c r="K89" t="n">
        <v>0</v>
      </c>
      <c r="L89" t="n">
        <v>0</v>
      </c>
      <c r="M89" t="n">
        <v>0</v>
      </c>
      <c r="N89" t="n">
        <v>0</v>
      </c>
      <c r="O89" t="n">
        <v>0</v>
      </c>
      <c r="P89" t="n">
        <v>0</v>
      </c>
      <c r="Q89" t="n">
        <v>0</v>
      </c>
      <c r="R89" s="2" t="inlineStr"/>
    </row>
    <row r="90" ht="15" customHeight="1">
      <c r="A90" t="inlineStr">
        <is>
          <t>A 55405-2021</t>
        </is>
      </c>
      <c r="B90" s="1" t="n">
        <v>44475</v>
      </c>
      <c r="C90" s="1" t="n">
        <v>45338</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56493-2021</t>
        </is>
      </c>
      <c r="B91" s="1" t="n">
        <v>44480</v>
      </c>
      <c r="C91" s="1" t="n">
        <v>45338</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62855-2021</t>
        </is>
      </c>
      <c r="B92" s="1" t="n">
        <v>44504</v>
      </c>
      <c r="C92" s="1" t="n">
        <v>45338</v>
      </c>
      <c r="D92" t="inlineStr">
        <is>
          <t>VÄSTRA GÖTALANDS LÄN</t>
        </is>
      </c>
      <c r="E92" t="inlineStr">
        <is>
          <t>ALE</t>
        </is>
      </c>
      <c r="G92" t="n">
        <v>5.6</v>
      </c>
      <c r="H92" t="n">
        <v>0</v>
      </c>
      <c r="I92" t="n">
        <v>0</v>
      </c>
      <c r="J92" t="n">
        <v>0</v>
      </c>
      <c r="K92" t="n">
        <v>0</v>
      </c>
      <c r="L92" t="n">
        <v>0</v>
      </c>
      <c r="M92" t="n">
        <v>0</v>
      </c>
      <c r="N92" t="n">
        <v>0</v>
      </c>
      <c r="O92" t="n">
        <v>0</v>
      </c>
      <c r="P92" t="n">
        <v>0</v>
      </c>
      <c r="Q92" t="n">
        <v>0</v>
      </c>
      <c r="R92" s="2" t="inlineStr"/>
    </row>
    <row r="93" ht="15" customHeight="1">
      <c r="A93" t="inlineStr">
        <is>
          <t>A 64199-2021</t>
        </is>
      </c>
      <c r="B93" s="1" t="n">
        <v>44510</v>
      </c>
      <c r="C93" s="1" t="n">
        <v>45338</v>
      </c>
      <c r="D93" t="inlineStr">
        <is>
          <t>VÄSTRA GÖTALANDS LÄN</t>
        </is>
      </c>
      <c r="E93" t="inlineStr">
        <is>
          <t>ALE</t>
        </is>
      </c>
      <c r="G93" t="n">
        <v>5.7</v>
      </c>
      <c r="H93" t="n">
        <v>0</v>
      </c>
      <c r="I93" t="n">
        <v>0</v>
      </c>
      <c r="J93" t="n">
        <v>0</v>
      </c>
      <c r="K93" t="n">
        <v>0</v>
      </c>
      <c r="L93" t="n">
        <v>0</v>
      </c>
      <c r="M93" t="n">
        <v>0</v>
      </c>
      <c r="N93" t="n">
        <v>0</v>
      </c>
      <c r="O93" t="n">
        <v>0</v>
      </c>
      <c r="P93" t="n">
        <v>0</v>
      </c>
      <c r="Q93" t="n">
        <v>0</v>
      </c>
      <c r="R93" s="2" t="inlineStr"/>
    </row>
    <row r="94" ht="15" customHeight="1">
      <c r="A94" t="inlineStr">
        <is>
          <t>A 65226-2021</t>
        </is>
      </c>
      <c r="B94" s="1" t="n">
        <v>44515</v>
      </c>
      <c r="C94" s="1" t="n">
        <v>45338</v>
      </c>
      <c r="D94" t="inlineStr">
        <is>
          <t>VÄSTRA GÖTALANDS LÄN</t>
        </is>
      </c>
      <c r="E94" t="inlineStr">
        <is>
          <t>ALE</t>
        </is>
      </c>
      <c r="G94" t="n">
        <v>0.7</v>
      </c>
      <c r="H94" t="n">
        <v>0</v>
      </c>
      <c r="I94" t="n">
        <v>0</v>
      </c>
      <c r="J94" t="n">
        <v>0</v>
      </c>
      <c r="K94" t="n">
        <v>0</v>
      </c>
      <c r="L94" t="n">
        <v>0</v>
      </c>
      <c r="M94" t="n">
        <v>0</v>
      </c>
      <c r="N94" t="n">
        <v>0</v>
      </c>
      <c r="O94" t="n">
        <v>0</v>
      </c>
      <c r="P94" t="n">
        <v>0</v>
      </c>
      <c r="Q94" t="n">
        <v>0</v>
      </c>
      <c r="R94" s="2" t="inlineStr"/>
    </row>
    <row r="95" ht="15" customHeight="1">
      <c r="A95" t="inlineStr">
        <is>
          <t>A 65222-2021</t>
        </is>
      </c>
      <c r="B95" s="1" t="n">
        <v>44515</v>
      </c>
      <c r="C95" s="1" t="n">
        <v>45338</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66893-2021</t>
        </is>
      </c>
      <c r="B96" s="1" t="n">
        <v>44522</v>
      </c>
      <c r="C96" s="1" t="n">
        <v>45338</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67165-2021</t>
        </is>
      </c>
      <c r="B97" s="1" t="n">
        <v>44523</v>
      </c>
      <c r="C97" s="1" t="n">
        <v>45338</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67160-2021</t>
        </is>
      </c>
      <c r="B98" s="1" t="n">
        <v>44523</v>
      </c>
      <c r="C98" s="1" t="n">
        <v>45338</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72801-2021</t>
        </is>
      </c>
      <c r="B99" s="1" t="n">
        <v>44546</v>
      </c>
      <c r="C99" s="1" t="n">
        <v>45338</v>
      </c>
      <c r="D99" t="inlineStr">
        <is>
          <t>VÄSTRA GÖTALANDS LÄN</t>
        </is>
      </c>
      <c r="E99" t="inlineStr">
        <is>
          <t>ALE</t>
        </is>
      </c>
      <c r="F99" t="inlineStr">
        <is>
          <t>Naturvårdsverket</t>
        </is>
      </c>
      <c r="G99" t="n">
        <v>1.4</v>
      </c>
      <c r="H99" t="n">
        <v>0</v>
      </c>
      <c r="I99" t="n">
        <v>0</v>
      </c>
      <c r="J99" t="n">
        <v>0</v>
      </c>
      <c r="K99" t="n">
        <v>0</v>
      </c>
      <c r="L99" t="n">
        <v>0</v>
      </c>
      <c r="M99" t="n">
        <v>0</v>
      </c>
      <c r="N99" t="n">
        <v>0</v>
      </c>
      <c r="O99" t="n">
        <v>0</v>
      </c>
      <c r="P99" t="n">
        <v>0</v>
      </c>
      <c r="Q99" t="n">
        <v>0</v>
      </c>
      <c r="R99" s="2" t="inlineStr"/>
    </row>
    <row r="100" ht="15" customHeight="1">
      <c r="A100" t="inlineStr">
        <is>
          <t>A 200-2022</t>
        </is>
      </c>
      <c r="B100" s="1" t="n">
        <v>44564</v>
      </c>
      <c r="C100" s="1" t="n">
        <v>45338</v>
      </c>
      <c r="D100" t="inlineStr">
        <is>
          <t>VÄSTRA GÖTALANDS LÄN</t>
        </is>
      </c>
      <c r="E100" t="inlineStr">
        <is>
          <t>ALE</t>
        </is>
      </c>
      <c r="G100" t="n">
        <v>6.8</v>
      </c>
      <c r="H100" t="n">
        <v>0</v>
      </c>
      <c r="I100" t="n">
        <v>0</v>
      </c>
      <c r="J100" t="n">
        <v>0</v>
      </c>
      <c r="K100" t="n">
        <v>0</v>
      </c>
      <c r="L100" t="n">
        <v>0</v>
      </c>
      <c r="M100" t="n">
        <v>0</v>
      </c>
      <c r="N100" t="n">
        <v>0</v>
      </c>
      <c r="O100" t="n">
        <v>0</v>
      </c>
      <c r="P100" t="n">
        <v>0</v>
      </c>
      <c r="Q100" t="n">
        <v>0</v>
      </c>
      <c r="R100" s="2" t="inlineStr"/>
    </row>
    <row r="101" ht="15" customHeight="1">
      <c r="A101" t="inlineStr">
        <is>
          <t>A 1566-2022</t>
        </is>
      </c>
      <c r="B101" s="1" t="n">
        <v>44573</v>
      </c>
      <c r="C101" s="1" t="n">
        <v>45338</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2563-2022</t>
        </is>
      </c>
      <c r="B102" s="1" t="n">
        <v>44580</v>
      </c>
      <c r="C102" s="1" t="n">
        <v>45338</v>
      </c>
      <c r="D102" t="inlineStr">
        <is>
          <t>VÄSTRA GÖTALANDS LÄN</t>
        </is>
      </c>
      <c r="E102" t="inlineStr">
        <is>
          <t>ALE</t>
        </is>
      </c>
      <c r="G102" t="n">
        <v>2.6</v>
      </c>
      <c r="H102" t="n">
        <v>0</v>
      </c>
      <c r="I102" t="n">
        <v>0</v>
      </c>
      <c r="J102" t="n">
        <v>0</v>
      </c>
      <c r="K102" t="n">
        <v>0</v>
      </c>
      <c r="L102" t="n">
        <v>0</v>
      </c>
      <c r="M102" t="n">
        <v>0</v>
      </c>
      <c r="N102" t="n">
        <v>0</v>
      </c>
      <c r="O102" t="n">
        <v>0</v>
      </c>
      <c r="P102" t="n">
        <v>0</v>
      </c>
      <c r="Q102" t="n">
        <v>0</v>
      </c>
      <c r="R102" s="2" t="inlineStr"/>
    </row>
    <row r="103" ht="15" customHeight="1">
      <c r="A103" t="inlineStr">
        <is>
          <t>A 3179-2022</t>
        </is>
      </c>
      <c r="B103" s="1" t="n">
        <v>44582</v>
      </c>
      <c r="C103" s="1" t="n">
        <v>45338</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3457-2022</t>
        </is>
      </c>
      <c r="B104" s="1" t="n">
        <v>44585</v>
      </c>
      <c r="C104" s="1" t="n">
        <v>45338</v>
      </c>
      <c r="D104" t="inlineStr">
        <is>
          <t>VÄSTRA GÖTALANDS LÄN</t>
        </is>
      </c>
      <c r="E104" t="inlineStr">
        <is>
          <t>ALE</t>
        </is>
      </c>
      <c r="G104" t="n">
        <v>5.1</v>
      </c>
      <c r="H104" t="n">
        <v>0</v>
      </c>
      <c r="I104" t="n">
        <v>0</v>
      </c>
      <c r="J104" t="n">
        <v>0</v>
      </c>
      <c r="K104" t="n">
        <v>0</v>
      </c>
      <c r="L104" t="n">
        <v>0</v>
      </c>
      <c r="M104" t="n">
        <v>0</v>
      </c>
      <c r="N104" t="n">
        <v>0</v>
      </c>
      <c r="O104" t="n">
        <v>0</v>
      </c>
      <c r="P104" t="n">
        <v>0</v>
      </c>
      <c r="Q104" t="n">
        <v>0</v>
      </c>
      <c r="R104" s="2" t="inlineStr"/>
    </row>
    <row r="105" ht="15" customHeight="1">
      <c r="A105" t="inlineStr">
        <is>
          <t>A 3520-2022</t>
        </is>
      </c>
      <c r="B105" s="1" t="n">
        <v>44585</v>
      </c>
      <c r="C105" s="1" t="n">
        <v>45338</v>
      </c>
      <c r="D105" t="inlineStr">
        <is>
          <t>VÄSTRA GÖTALANDS LÄN</t>
        </is>
      </c>
      <c r="E105" t="inlineStr">
        <is>
          <t>ALE</t>
        </is>
      </c>
      <c r="G105" t="n">
        <v>2.3</v>
      </c>
      <c r="H105" t="n">
        <v>0</v>
      </c>
      <c r="I105" t="n">
        <v>0</v>
      </c>
      <c r="J105" t="n">
        <v>0</v>
      </c>
      <c r="K105" t="n">
        <v>0</v>
      </c>
      <c r="L105" t="n">
        <v>0</v>
      </c>
      <c r="M105" t="n">
        <v>0</v>
      </c>
      <c r="N105" t="n">
        <v>0</v>
      </c>
      <c r="O105" t="n">
        <v>0</v>
      </c>
      <c r="P105" t="n">
        <v>0</v>
      </c>
      <c r="Q105" t="n">
        <v>0</v>
      </c>
      <c r="R105" s="2" t="inlineStr"/>
    </row>
    <row r="106" ht="15" customHeight="1">
      <c r="A106" t="inlineStr">
        <is>
          <t>A 8431-2022</t>
        </is>
      </c>
      <c r="B106" s="1" t="n">
        <v>44611</v>
      </c>
      <c r="C106" s="1" t="n">
        <v>45338</v>
      </c>
      <c r="D106" t="inlineStr">
        <is>
          <t>VÄSTRA GÖTALANDS LÄN</t>
        </is>
      </c>
      <c r="E106" t="inlineStr">
        <is>
          <t>ALE</t>
        </is>
      </c>
      <c r="G106" t="n">
        <v>2.7</v>
      </c>
      <c r="H106" t="n">
        <v>0</v>
      </c>
      <c r="I106" t="n">
        <v>0</v>
      </c>
      <c r="J106" t="n">
        <v>0</v>
      </c>
      <c r="K106" t="n">
        <v>0</v>
      </c>
      <c r="L106" t="n">
        <v>0</v>
      </c>
      <c r="M106" t="n">
        <v>0</v>
      </c>
      <c r="N106" t="n">
        <v>0</v>
      </c>
      <c r="O106" t="n">
        <v>0</v>
      </c>
      <c r="P106" t="n">
        <v>0</v>
      </c>
      <c r="Q106" t="n">
        <v>0</v>
      </c>
      <c r="R106" s="2" t="inlineStr"/>
    </row>
    <row r="107" ht="15" customHeight="1">
      <c r="A107" t="inlineStr">
        <is>
          <t>A 8432-2022</t>
        </is>
      </c>
      <c r="B107" s="1" t="n">
        <v>44611</v>
      </c>
      <c r="C107" s="1" t="n">
        <v>45338</v>
      </c>
      <c r="D107" t="inlineStr">
        <is>
          <t>VÄSTRA GÖTALANDS LÄN</t>
        </is>
      </c>
      <c r="E107" t="inlineStr">
        <is>
          <t>ALE</t>
        </is>
      </c>
      <c r="G107" t="n">
        <v>1.7</v>
      </c>
      <c r="H107" t="n">
        <v>0</v>
      </c>
      <c r="I107" t="n">
        <v>0</v>
      </c>
      <c r="J107" t="n">
        <v>0</v>
      </c>
      <c r="K107" t="n">
        <v>0</v>
      </c>
      <c r="L107" t="n">
        <v>0</v>
      </c>
      <c r="M107" t="n">
        <v>0</v>
      </c>
      <c r="N107" t="n">
        <v>0</v>
      </c>
      <c r="O107" t="n">
        <v>0</v>
      </c>
      <c r="P107" t="n">
        <v>0</v>
      </c>
      <c r="Q107" t="n">
        <v>0</v>
      </c>
      <c r="R107" s="2" t="inlineStr"/>
    </row>
    <row r="108" ht="15" customHeight="1">
      <c r="A108" t="inlineStr">
        <is>
          <t>A 8609-2022</t>
        </is>
      </c>
      <c r="B108" s="1" t="n">
        <v>44613</v>
      </c>
      <c r="C108" s="1" t="n">
        <v>45338</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12055-2022</t>
        </is>
      </c>
      <c r="B109" s="1" t="n">
        <v>44636</v>
      </c>
      <c r="C109" s="1" t="n">
        <v>45338</v>
      </c>
      <c r="D109" t="inlineStr">
        <is>
          <t>VÄSTRA GÖTALANDS LÄN</t>
        </is>
      </c>
      <c r="E109" t="inlineStr">
        <is>
          <t>ALE</t>
        </is>
      </c>
      <c r="G109" t="n">
        <v>0.2</v>
      </c>
      <c r="H109" t="n">
        <v>0</v>
      </c>
      <c r="I109" t="n">
        <v>0</v>
      </c>
      <c r="J109" t="n">
        <v>0</v>
      </c>
      <c r="K109" t="n">
        <v>0</v>
      </c>
      <c r="L109" t="n">
        <v>0</v>
      </c>
      <c r="M109" t="n">
        <v>0</v>
      </c>
      <c r="N109" t="n">
        <v>0</v>
      </c>
      <c r="O109" t="n">
        <v>0</v>
      </c>
      <c r="P109" t="n">
        <v>0</v>
      </c>
      <c r="Q109" t="n">
        <v>0</v>
      </c>
      <c r="R109" s="2" t="inlineStr"/>
    </row>
    <row r="110" ht="15" customHeight="1">
      <c r="A110" t="inlineStr">
        <is>
          <t>A 12445-2022</t>
        </is>
      </c>
      <c r="B110" s="1" t="n">
        <v>44638</v>
      </c>
      <c r="C110" s="1" t="n">
        <v>45338</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14736-2022</t>
        </is>
      </c>
      <c r="B111" s="1" t="n">
        <v>44656</v>
      </c>
      <c r="C111" s="1" t="n">
        <v>45338</v>
      </c>
      <c r="D111" t="inlineStr">
        <is>
          <t>VÄSTRA GÖTALANDS LÄN</t>
        </is>
      </c>
      <c r="E111" t="inlineStr">
        <is>
          <t>ALE</t>
        </is>
      </c>
      <c r="G111" t="n">
        <v>0.7</v>
      </c>
      <c r="H111" t="n">
        <v>0</v>
      </c>
      <c r="I111" t="n">
        <v>0</v>
      </c>
      <c r="J111" t="n">
        <v>0</v>
      </c>
      <c r="K111" t="n">
        <v>0</v>
      </c>
      <c r="L111" t="n">
        <v>0</v>
      </c>
      <c r="M111" t="n">
        <v>0</v>
      </c>
      <c r="N111" t="n">
        <v>0</v>
      </c>
      <c r="O111" t="n">
        <v>0</v>
      </c>
      <c r="P111" t="n">
        <v>0</v>
      </c>
      <c r="Q111" t="n">
        <v>0</v>
      </c>
      <c r="R111" s="2" t="inlineStr"/>
    </row>
    <row r="112" ht="15" customHeight="1">
      <c r="A112" t="inlineStr">
        <is>
          <t>A 14751-2022</t>
        </is>
      </c>
      <c r="B112" s="1" t="n">
        <v>44656</v>
      </c>
      <c r="C112" s="1" t="n">
        <v>45338</v>
      </c>
      <c r="D112" t="inlineStr">
        <is>
          <t>VÄSTRA GÖTALANDS LÄN</t>
        </is>
      </c>
      <c r="E112" t="inlineStr">
        <is>
          <t>ALE</t>
        </is>
      </c>
      <c r="G112" t="n">
        <v>1.6</v>
      </c>
      <c r="H112" t="n">
        <v>0</v>
      </c>
      <c r="I112" t="n">
        <v>0</v>
      </c>
      <c r="J112" t="n">
        <v>0</v>
      </c>
      <c r="K112" t="n">
        <v>0</v>
      </c>
      <c r="L112" t="n">
        <v>0</v>
      </c>
      <c r="M112" t="n">
        <v>0</v>
      </c>
      <c r="N112" t="n">
        <v>0</v>
      </c>
      <c r="O112" t="n">
        <v>0</v>
      </c>
      <c r="P112" t="n">
        <v>0</v>
      </c>
      <c r="Q112" t="n">
        <v>0</v>
      </c>
      <c r="R112" s="2" t="inlineStr"/>
    </row>
    <row r="113" ht="15" customHeight="1">
      <c r="A113" t="inlineStr">
        <is>
          <t>A 14731-2022</t>
        </is>
      </c>
      <c r="B113" s="1" t="n">
        <v>44656</v>
      </c>
      <c r="C113" s="1" t="n">
        <v>45338</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15499-2022</t>
        </is>
      </c>
      <c r="B114" s="1" t="n">
        <v>44662</v>
      </c>
      <c r="C114" s="1" t="n">
        <v>45338</v>
      </c>
      <c r="D114" t="inlineStr">
        <is>
          <t>VÄSTRA GÖTALANDS LÄN</t>
        </is>
      </c>
      <c r="E114" t="inlineStr">
        <is>
          <t>ALE</t>
        </is>
      </c>
      <c r="G114" t="n">
        <v>4.7</v>
      </c>
      <c r="H114" t="n">
        <v>0</v>
      </c>
      <c r="I114" t="n">
        <v>0</v>
      </c>
      <c r="J114" t="n">
        <v>0</v>
      </c>
      <c r="K114" t="n">
        <v>0</v>
      </c>
      <c r="L114" t="n">
        <v>0</v>
      </c>
      <c r="M114" t="n">
        <v>0</v>
      </c>
      <c r="N114" t="n">
        <v>0</v>
      </c>
      <c r="O114" t="n">
        <v>0</v>
      </c>
      <c r="P114" t="n">
        <v>0</v>
      </c>
      <c r="Q114" t="n">
        <v>0</v>
      </c>
      <c r="R114" s="2" t="inlineStr"/>
    </row>
    <row r="115" ht="15" customHeight="1">
      <c r="A115" t="inlineStr">
        <is>
          <t>A 15508-2022</t>
        </is>
      </c>
      <c r="B115" s="1" t="n">
        <v>44662</v>
      </c>
      <c r="C115" s="1" t="n">
        <v>45338</v>
      </c>
      <c r="D115" t="inlineStr">
        <is>
          <t>VÄSTRA GÖTALANDS LÄN</t>
        </is>
      </c>
      <c r="E115" t="inlineStr">
        <is>
          <t>ALE</t>
        </is>
      </c>
      <c r="G115" t="n">
        <v>0.4</v>
      </c>
      <c r="H115" t="n">
        <v>0</v>
      </c>
      <c r="I115" t="n">
        <v>0</v>
      </c>
      <c r="J115" t="n">
        <v>0</v>
      </c>
      <c r="K115" t="n">
        <v>0</v>
      </c>
      <c r="L115" t="n">
        <v>0</v>
      </c>
      <c r="M115" t="n">
        <v>0</v>
      </c>
      <c r="N115" t="n">
        <v>0</v>
      </c>
      <c r="O115" t="n">
        <v>0</v>
      </c>
      <c r="P115" t="n">
        <v>0</v>
      </c>
      <c r="Q115" t="n">
        <v>0</v>
      </c>
      <c r="R115" s="2" t="inlineStr"/>
    </row>
    <row r="116" ht="15" customHeight="1">
      <c r="A116" t="inlineStr">
        <is>
          <t>A 20285-2022</t>
        </is>
      </c>
      <c r="B116" s="1" t="n">
        <v>44698</v>
      </c>
      <c r="C116" s="1" t="n">
        <v>45338</v>
      </c>
      <c r="D116" t="inlineStr">
        <is>
          <t>VÄSTRA GÖTALANDS LÄN</t>
        </is>
      </c>
      <c r="E116" t="inlineStr">
        <is>
          <t>ALE</t>
        </is>
      </c>
      <c r="G116" t="n">
        <v>1.8</v>
      </c>
      <c r="H116" t="n">
        <v>0</v>
      </c>
      <c r="I116" t="n">
        <v>0</v>
      </c>
      <c r="J116" t="n">
        <v>0</v>
      </c>
      <c r="K116" t="n">
        <v>0</v>
      </c>
      <c r="L116" t="n">
        <v>0</v>
      </c>
      <c r="M116" t="n">
        <v>0</v>
      </c>
      <c r="N116" t="n">
        <v>0</v>
      </c>
      <c r="O116" t="n">
        <v>0</v>
      </c>
      <c r="P116" t="n">
        <v>0</v>
      </c>
      <c r="Q116" t="n">
        <v>0</v>
      </c>
      <c r="R116" s="2" t="inlineStr"/>
    </row>
    <row r="117" ht="15" customHeight="1">
      <c r="A117" t="inlineStr">
        <is>
          <t>A 22358-2022</t>
        </is>
      </c>
      <c r="B117" s="1" t="n">
        <v>44712</v>
      </c>
      <c r="C117" s="1" t="n">
        <v>45338</v>
      </c>
      <c r="D117" t="inlineStr">
        <is>
          <t>VÄSTRA GÖTALANDS LÄN</t>
        </is>
      </c>
      <c r="E117" t="inlineStr">
        <is>
          <t>ALE</t>
        </is>
      </c>
      <c r="G117" t="n">
        <v>1.5</v>
      </c>
      <c r="H117" t="n">
        <v>0</v>
      </c>
      <c r="I117" t="n">
        <v>0</v>
      </c>
      <c r="J117" t="n">
        <v>0</v>
      </c>
      <c r="K117" t="n">
        <v>0</v>
      </c>
      <c r="L117" t="n">
        <v>0</v>
      </c>
      <c r="M117" t="n">
        <v>0</v>
      </c>
      <c r="N117" t="n">
        <v>0</v>
      </c>
      <c r="O117" t="n">
        <v>0</v>
      </c>
      <c r="P117" t="n">
        <v>0</v>
      </c>
      <c r="Q117" t="n">
        <v>0</v>
      </c>
      <c r="R117" s="2" t="inlineStr"/>
    </row>
    <row r="118" ht="15" customHeight="1">
      <c r="A118" t="inlineStr">
        <is>
          <t>A 24644-2022</t>
        </is>
      </c>
      <c r="B118" s="1" t="n">
        <v>44727</v>
      </c>
      <c r="C118" s="1" t="n">
        <v>45338</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24642-2022</t>
        </is>
      </c>
      <c r="B119" s="1" t="n">
        <v>44727</v>
      </c>
      <c r="C119" s="1" t="n">
        <v>45338</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24649-2022</t>
        </is>
      </c>
      <c r="B120" s="1" t="n">
        <v>44727</v>
      </c>
      <c r="C120" s="1" t="n">
        <v>45338</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26983-2022</t>
        </is>
      </c>
      <c r="B121" s="1" t="n">
        <v>44740</v>
      </c>
      <c r="C121" s="1" t="n">
        <v>45338</v>
      </c>
      <c r="D121" t="inlineStr">
        <is>
          <t>VÄSTRA GÖTALANDS LÄN</t>
        </is>
      </c>
      <c r="E121" t="inlineStr">
        <is>
          <t>ALE</t>
        </is>
      </c>
      <c r="F121" t="inlineStr">
        <is>
          <t>Kommuner</t>
        </is>
      </c>
      <c r="G121" t="n">
        <v>0.5</v>
      </c>
      <c r="H121" t="n">
        <v>0</v>
      </c>
      <c r="I121" t="n">
        <v>0</v>
      </c>
      <c r="J121" t="n">
        <v>0</v>
      </c>
      <c r="K121" t="n">
        <v>0</v>
      </c>
      <c r="L121" t="n">
        <v>0</v>
      </c>
      <c r="M121" t="n">
        <v>0</v>
      </c>
      <c r="N121" t="n">
        <v>0</v>
      </c>
      <c r="O121" t="n">
        <v>0</v>
      </c>
      <c r="P121" t="n">
        <v>0</v>
      </c>
      <c r="Q121" t="n">
        <v>0</v>
      </c>
      <c r="R121" s="2" t="inlineStr"/>
    </row>
    <row r="122" ht="15" customHeight="1">
      <c r="A122" t="inlineStr">
        <is>
          <t>A 26987-2022</t>
        </is>
      </c>
      <c r="B122" s="1" t="n">
        <v>44740</v>
      </c>
      <c r="C122" s="1" t="n">
        <v>45338</v>
      </c>
      <c r="D122" t="inlineStr">
        <is>
          <t>VÄSTRA GÖTALANDS LÄN</t>
        </is>
      </c>
      <c r="E122" t="inlineStr">
        <is>
          <t>ALE</t>
        </is>
      </c>
      <c r="F122" t="inlineStr">
        <is>
          <t>Kommuner</t>
        </is>
      </c>
      <c r="G122" t="n">
        <v>5.8</v>
      </c>
      <c r="H122" t="n">
        <v>0</v>
      </c>
      <c r="I122" t="n">
        <v>0</v>
      </c>
      <c r="J122" t="n">
        <v>0</v>
      </c>
      <c r="K122" t="n">
        <v>0</v>
      </c>
      <c r="L122" t="n">
        <v>0</v>
      </c>
      <c r="M122" t="n">
        <v>0</v>
      </c>
      <c r="N122" t="n">
        <v>0</v>
      </c>
      <c r="O122" t="n">
        <v>0</v>
      </c>
      <c r="P122" t="n">
        <v>0</v>
      </c>
      <c r="Q122" t="n">
        <v>0</v>
      </c>
      <c r="R122" s="2" t="inlineStr"/>
    </row>
    <row r="123" ht="15" customHeight="1">
      <c r="A123" t="inlineStr">
        <is>
          <t>A 35959-2022</t>
        </is>
      </c>
      <c r="B123" s="1" t="n">
        <v>44802</v>
      </c>
      <c r="C123" s="1" t="n">
        <v>45338</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36763-2022</t>
        </is>
      </c>
      <c r="B124" s="1" t="n">
        <v>44805</v>
      </c>
      <c r="C124" s="1" t="n">
        <v>45338</v>
      </c>
      <c r="D124" t="inlineStr">
        <is>
          <t>VÄSTRA GÖTALANDS LÄN</t>
        </is>
      </c>
      <c r="E124" t="inlineStr">
        <is>
          <t>ALE</t>
        </is>
      </c>
      <c r="G124" t="n">
        <v>6.1</v>
      </c>
      <c r="H124" t="n">
        <v>0</v>
      </c>
      <c r="I124" t="n">
        <v>0</v>
      </c>
      <c r="J124" t="n">
        <v>0</v>
      </c>
      <c r="K124" t="n">
        <v>0</v>
      </c>
      <c r="L124" t="n">
        <v>0</v>
      </c>
      <c r="M124" t="n">
        <v>0</v>
      </c>
      <c r="N124" t="n">
        <v>0</v>
      </c>
      <c r="O124" t="n">
        <v>0</v>
      </c>
      <c r="P124" t="n">
        <v>0</v>
      </c>
      <c r="Q124" t="n">
        <v>0</v>
      </c>
      <c r="R124" s="2" t="inlineStr"/>
    </row>
    <row r="125" ht="15" customHeight="1">
      <c r="A125" t="inlineStr">
        <is>
          <t>A 41607-2022</t>
        </is>
      </c>
      <c r="B125" s="1" t="n">
        <v>44827</v>
      </c>
      <c r="C125" s="1" t="n">
        <v>45338</v>
      </c>
      <c r="D125" t="inlineStr">
        <is>
          <t>VÄSTRA GÖTALANDS LÄN</t>
        </is>
      </c>
      <c r="E125" t="inlineStr">
        <is>
          <t>ALE</t>
        </is>
      </c>
      <c r="G125" t="n">
        <v>3.6</v>
      </c>
      <c r="H125" t="n">
        <v>0</v>
      </c>
      <c r="I125" t="n">
        <v>0</v>
      </c>
      <c r="J125" t="n">
        <v>0</v>
      </c>
      <c r="K125" t="n">
        <v>0</v>
      </c>
      <c r="L125" t="n">
        <v>0</v>
      </c>
      <c r="M125" t="n">
        <v>0</v>
      </c>
      <c r="N125" t="n">
        <v>0</v>
      </c>
      <c r="O125" t="n">
        <v>0</v>
      </c>
      <c r="P125" t="n">
        <v>0</v>
      </c>
      <c r="Q125" t="n">
        <v>0</v>
      </c>
      <c r="R125" s="2" t="inlineStr"/>
    </row>
    <row r="126" ht="15" customHeight="1">
      <c r="A126" t="inlineStr">
        <is>
          <t>A 41613-2022</t>
        </is>
      </c>
      <c r="B126" s="1" t="n">
        <v>44827</v>
      </c>
      <c r="C126" s="1" t="n">
        <v>45338</v>
      </c>
      <c r="D126" t="inlineStr">
        <is>
          <t>VÄSTRA GÖTALANDS LÄN</t>
        </is>
      </c>
      <c r="E126" t="inlineStr">
        <is>
          <t>ALE</t>
        </is>
      </c>
      <c r="G126" t="n">
        <v>2.7</v>
      </c>
      <c r="H126" t="n">
        <v>0</v>
      </c>
      <c r="I126" t="n">
        <v>0</v>
      </c>
      <c r="J126" t="n">
        <v>0</v>
      </c>
      <c r="K126" t="n">
        <v>0</v>
      </c>
      <c r="L126" t="n">
        <v>0</v>
      </c>
      <c r="M126" t="n">
        <v>0</v>
      </c>
      <c r="N126" t="n">
        <v>0</v>
      </c>
      <c r="O126" t="n">
        <v>0</v>
      </c>
      <c r="P126" t="n">
        <v>0</v>
      </c>
      <c r="Q126" t="n">
        <v>0</v>
      </c>
      <c r="R126" s="2" t="inlineStr"/>
    </row>
    <row r="127" ht="15" customHeight="1">
      <c r="A127" t="inlineStr">
        <is>
          <t>A 41598-2022</t>
        </is>
      </c>
      <c r="B127" s="1" t="n">
        <v>44827</v>
      </c>
      <c r="C127" s="1" t="n">
        <v>45338</v>
      </c>
      <c r="D127" t="inlineStr">
        <is>
          <t>VÄSTRA GÖTALANDS LÄN</t>
        </is>
      </c>
      <c r="E127" t="inlineStr">
        <is>
          <t>ALE</t>
        </is>
      </c>
      <c r="G127" t="n">
        <v>2</v>
      </c>
      <c r="H127" t="n">
        <v>0</v>
      </c>
      <c r="I127" t="n">
        <v>0</v>
      </c>
      <c r="J127" t="n">
        <v>0</v>
      </c>
      <c r="K127" t="n">
        <v>0</v>
      </c>
      <c r="L127" t="n">
        <v>0</v>
      </c>
      <c r="M127" t="n">
        <v>0</v>
      </c>
      <c r="N127" t="n">
        <v>0</v>
      </c>
      <c r="O127" t="n">
        <v>0</v>
      </c>
      <c r="P127" t="n">
        <v>0</v>
      </c>
      <c r="Q127" t="n">
        <v>0</v>
      </c>
      <c r="R127" s="2" t="inlineStr"/>
    </row>
    <row r="128" ht="15" customHeight="1">
      <c r="A128" t="inlineStr">
        <is>
          <t>A 48257-2022</t>
        </is>
      </c>
      <c r="B128" s="1" t="n">
        <v>44858</v>
      </c>
      <c r="C128" s="1" t="n">
        <v>45338</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55488-2022</t>
        </is>
      </c>
      <c r="B129" s="1" t="n">
        <v>44887</v>
      </c>
      <c r="C129" s="1" t="n">
        <v>45338</v>
      </c>
      <c r="D129" t="inlineStr">
        <is>
          <t>VÄSTRA GÖTALANDS LÄN</t>
        </is>
      </c>
      <c r="E129" t="inlineStr">
        <is>
          <t>ALE</t>
        </is>
      </c>
      <c r="G129" t="n">
        <v>2.5</v>
      </c>
      <c r="H129" t="n">
        <v>0</v>
      </c>
      <c r="I129" t="n">
        <v>0</v>
      </c>
      <c r="J129" t="n">
        <v>0</v>
      </c>
      <c r="K129" t="n">
        <v>0</v>
      </c>
      <c r="L129" t="n">
        <v>0</v>
      </c>
      <c r="M129" t="n">
        <v>0</v>
      </c>
      <c r="N129" t="n">
        <v>0</v>
      </c>
      <c r="O129" t="n">
        <v>0</v>
      </c>
      <c r="P129" t="n">
        <v>0</v>
      </c>
      <c r="Q129" t="n">
        <v>0</v>
      </c>
      <c r="R129" s="2" t="inlineStr"/>
    </row>
    <row r="130" ht="15" customHeight="1">
      <c r="A130" t="inlineStr">
        <is>
          <t>A 57476-2022</t>
        </is>
      </c>
      <c r="B130" s="1" t="n">
        <v>44896</v>
      </c>
      <c r="C130" s="1" t="n">
        <v>45338</v>
      </c>
      <c r="D130" t="inlineStr">
        <is>
          <t>VÄSTRA GÖTALANDS LÄN</t>
        </is>
      </c>
      <c r="E130" t="inlineStr">
        <is>
          <t>ALE</t>
        </is>
      </c>
      <c r="G130" t="n">
        <v>1.3</v>
      </c>
      <c r="H130" t="n">
        <v>0</v>
      </c>
      <c r="I130" t="n">
        <v>0</v>
      </c>
      <c r="J130" t="n">
        <v>0</v>
      </c>
      <c r="K130" t="n">
        <v>0</v>
      </c>
      <c r="L130" t="n">
        <v>0</v>
      </c>
      <c r="M130" t="n">
        <v>0</v>
      </c>
      <c r="N130" t="n">
        <v>0</v>
      </c>
      <c r="O130" t="n">
        <v>0</v>
      </c>
      <c r="P130" t="n">
        <v>0</v>
      </c>
      <c r="Q130" t="n">
        <v>0</v>
      </c>
      <c r="R130" s="2" t="inlineStr"/>
    </row>
    <row r="131" ht="15" customHeight="1">
      <c r="A131" t="inlineStr">
        <is>
          <t>A 57473-2022</t>
        </is>
      </c>
      <c r="B131" s="1" t="n">
        <v>44896</v>
      </c>
      <c r="C131" s="1" t="n">
        <v>45338</v>
      </c>
      <c r="D131" t="inlineStr">
        <is>
          <t>VÄSTRA GÖTALANDS LÄN</t>
        </is>
      </c>
      <c r="E131" t="inlineStr">
        <is>
          <t>ALE</t>
        </is>
      </c>
      <c r="G131" t="n">
        <v>0.7</v>
      </c>
      <c r="H131" t="n">
        <v>0</v>
      </c>
      <c r="I131" t="n">
        <v>0</v>
      </c>
      <c r="J131" t="n">
        <v>0</v>
      </c>
      <c r="K131" t="n">
        <v>0</v>
      </c>
      <c r="L131" t="n">
        <v>0</v>
      </c>
      <c r="M131" t="n">
        <v>0</v>
      </c>
      <c r="N131" t="n">
        <v>0</v>
      </c>
      <c r="O131" t="n">
        <v>0</v>
      </c>
      <c r="P131" t="n">
        <v>0</v>
      </c>
      <c r="Q131" t="n">
        <v>0</v>
      </c>
      <c r="R131" s="2" t="inlineStr"/>
    </row>
    <row r="132" ht="15" customHeight="1">
      <c r="A132" t="inlineStr">
        <is>
          <t>A 58954-2022</t>
        </is>
      </c>
      <c r="B132" s="1" t="n">
        <v>44903</v>
      </c>
      <c r="C132" s="1" t="n">
        <v>45338</v>
      </c>
      <c r="D132" t="inlineStr">
        <is>
          <t>VÄSTRA GÖTALANDS LÄN</t>
        </is>
      </c>
      <c r="E132" t="inlineStr">
        <is>
          <t>ALE</t>
        </is>
      </c>
      <c r="G132" t="n">
        <v>2.3</v>
      </c>
      <c r="H132" t="n">
        <v>0</v>
      </c>
      <c r="I132" t="n">
        <v>0</v>
      </c>
      <c r="J132" t="n">
        <v>0</v>
      </c>
      <c r="K132" t="n">
        <v>0</v>
      </c>
      <c r="L132" t="n">
        <v>0</v>
      </c>
      <c r="M132" t="n">
        <v>0</v>
      </c>
      <c r="N132" t="n">
        <v>0</v>
      </c>
      <c r="O132" t="n">
        <v>0</v>
      </c>
      <c r="P132" t="n">
        <v>0</v>
      </c>
      <c r="Q132" t="n">
        <v>0</v>
      </c>
      <c r="R132" s="2" t="inlineStr"/>
    </row>
    <row r="133" ht="15" customHeight="1">
      <c r="A133" t="inlineStr">
        <is>
          <t>A 3413-2023</t>
        </is>
      </c>
      <c r="B133" s="1" t="n">
        <v>44949</v>
      </c>
      <c r="C133" s="1" t="n">
        <v>45338</v>
      </c>
      <c r="D133" t="inlineStr">
        <is>
          <t>VÄSTRA GÖTALANDS LÄN</t>
        </is>
      </c>
      <c r="E133" t="inlineStr">
        <is>
          <t>ALE</t>
        </is>
      </c>
      <c r="G133" t="n">
        <v>2.3</v>
      </c>
      <c r="H133" t="n">
        <v>0</v>
      </c>
      <c r="I133" t="n">
        <v>0</v>
      </c>
      <c r="J133" t="n">
        <v>0</v>
      </c>
      <c r="K133" t="n">
        <v>0</v>
      </c>
      <c r="L133" t="n">
        <v>0</v>
      </c>
      <c r="M133" t="n">
        <v>0</v>
      </c>
      <c r="N133" t="n">
        <v>0</v>
      </c>
      <c r="O133" t="n">
        <v>0</v>
      </c>
      <c r="P133" t="n">
        <v>0</v>
      </c>
      <c r="Q133" t="n">
        <v>0</v>
      </c>
      <c r="R133" s="2" t="inlineStr"/>
    </row>
    <row r="134" ht="15" customHeight="1">
      <c r="A134" t="inlineStr">
        <is>
          <t>A 3407-2023</t>
        </is>
      </c>
      <c r="B134" s="1" t="n">
        <v>44949</v>
      </c>
      <c r="C134" s="1" t="n">
        <v>45338</v>
      </c>
      <c r="D134" t="inlineStr">
        <is>
          <t>VÄSTRA GÖTALANDS LÄN</t>
        </is>
      </c>
      <c r="E134" t="inlineStr">
        <is>
          <t>ALE</t>
        </is>
      </c>
      <c r="G134" t="n">
        <v>1.2</v>
      </c>
      <c r="H134" t="n">
        <v>0</v>
      </c>
      <c r="I134" t="n">
        <v>0</v>
      </c>
      <c r="J134" t="n">
        <v>0</v>
      </c>
      <c r="K134" t="n">
        <v>0</v>
      </c>
      <c r="L134" t="n">
        <v>0</v>
      </c>
      <c r="M134" t="n">
        <v>0</v>
      </c>
      <c r="N134" t="n">
        <v>0</v>
      </c>
      <c r="O134" t="n">
        <v>0</v>
      </c>
      <c r="P134" t="n">
        <v>0</v>
      </c>
      <c r="Q134" t="n">
        <v>0</v>
      </c>
      <c r="R134" s="2" t="inlineStr"/>
    </row>
    <row r="135" ht="15" customHeight="1">
      <c r="A135" t="inlineStr">
        <is>
          <t>A 3418-2023</t>
        </is>
      </c>
      <c r="B135" s="1" t="n">
        <v>44949</v>
      </c>
      <c r="C135" s="1" t="n">
        <v>45338</v>
      </c>
      <c r="D135" t="inlineStr">
        <is>
          <t>VÄSTRA GÖTALANDS LÄN</t>
        </is>
      </c>
      <c r="E135" t="inlineStr">
        <is>
          <t>ALE</t>
        </is>
      </c>
      <c r="G135" t="n">
        <v>1.1</v>
      </c>
      <c r="H135" t="n">
        <v>0</v>
      </c>
      <c r="I135" t="n">
        <v>0</v>
      </c>
      <c r="J135" t="n">
        <v>0</v>
      </c>
      <c r="K135" t="n">
        <v>0</v>
      </c>
      <c r="L135" t="n">
        <v>0</v>
      </c>
      <c r="M135" t="n">
        <v>0</v>
      </c>
      <c r="N135" t="n">
        <v>0</v>
      </c>
      <c r="O135" t="n">
        <v>0</v>
      </c>
      <c r="P135" t="n">
        <v>0</v>
      </c>
      <c r="Q135" t="n">
        <v>0</v>
      </c>
      <c r="R135" s="2" t="inlineStr"/>
    </row>
    <row r="136" ht="15" customHeight="1">
      <c r="A136" t="inlineStr">
        <is>
          <t>A 4665-2023</t>
        </is>
      </c>
      <c r="B136" s="1" t="n">
        <v>44957</v>
      </c>
      <c r="C136" s="1" t="n">
        <v>45338</v>
      </c>
      <c r="D136" t="inlineStr">
        <is>
          <t>VÄSTRA GÖTALANDS LÄN</t>
        </is>
      </c>
      <c r="E136" t="inlineStr">
        <is>
          <t>ALE</t>
        </is>
      </c>
      <c r="G136" t="n">
        <v>3.8</v>
      </c>
      <c r="H136" t="n">
        <v>0</v>
      </c>
      <c r="I136" t="n">
        <v>0</v>
      </c>
      <c r="J136" t="n">
        <v>0</v>
      </c>
      <c r="K136" t="n">
        <v>0</v>
      </c>
      <c r="L136" t="n">
        <v>0</v>
      </c>
      <c r="M136" t="n">
        <v>0</v>
      </c>
      <c r="N136" t="n">
        <v>0</v>
      </c>
      <c r="O136" t="n">
        <v>0</v>
      </c>
      <c r="P136" t="n">
        <v>0</v>
      </c>
      <c r="Q136" t="n">
        <v>0</v>
      </c>
      <c r="R136" s="2" t="inlineStr"/>
    </row>
    <row r="137" ht="15" customHeight="1">
      <c r="A137" t="inlineStr">
        <is>
          <t>A 5867-2023</t>
        </is>
      </c>
      <c r="B137" s="1" t="n">
        <v>44963</v>
      </c>
      <c r="C137" s="1" t="n">
        <v>45338</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5875-2023</t>
        </is>
      </c>
      <c r="B138" s="1" t="n">
        <v>44963</v>
      </c>
      <c r="C138" s="1" t="n">
        <v>45338</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5916-2023</t>
        </is>
      </c>
      <c r="B139" s="1" t="n">
        <v>44963</v>
      </c>
      <c r="C139" s="1" t="n">
        <v>45338</v>
      </c>
      <c r="D139" t="inlineStr">
        <is>
          <t>VÄSTRA GÖTALANDS LÄN</t>
        </is>
      </c>
      <c r="E139" t="inlineStr">
        <is>
          <t>ALE</t>
        </is>
      </c>
      <c r="G139" t="n">
        <v>4.2</v>
      </c>
      <c r="H139" t="n">
        <v>0</v>
      </c>
      <c r="I139" t="n">
        <v>0</v>
      </c>
      <c r="J139" t="n">
        <v>0</v>
      </c>
      <c r="K139" t="n">
        <v>0</v>
      </c>
      <c r="L139" t="n">
        <v>0</v>
      </c>
      <c r="M139" t="n">
        <v>0</v>
      </c>
      <c r="N139" t="n">
        <v>0</v>
      </c>
      <c r="O139" t="n">
        <v>0</v>
      </c>
      <c r="P139" t="n">
        <v>0</v>
      </c>
      <c r="Q139" t="n">
        <v>0</v>
      </c>
      <c r="R139" s="2" t="inlineStr"/>
    </row>
    <row r="140" ht="15" customHeight="1">
      <c r="A140" t="inlineStr">
        <is>
          <t>A 6916-2023</t>
        </is>
      </c>
      <c r="B140" s="1" t="n">
        <v>44967</v>
      </c>
      <c r="C140" s="1" t="n">
        <v>45338</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7807-2023</t>
        </is>
      </c>
      <c r="B141" s="1" t="n">
        <v>44973</v>
      </c>
      <c r="C141" s="1" t="n">
        <v>45338</v>
      </c>
      <c r="D141" t="inlineStr">
        <is>
          <t>VÄSTRA GÖTALANDS LÄN</t>
        </is>
      </c>
      <c r="E141" t="inlineStr">
        <is>
          <t>ALE</t>
        </is>
      </c>
      <c r="G141" t="n">
        <v>10.5</v>
      </c>
      <c r="H141" t="n">
        <v>0</v>
      </c>
      <c r="I141" t="n">
        <v>0</v>
      </c>
      <c r="J141" t="n">
        <v>0</v>
      </c>
      <c r="K141" t="n">
        <v>0</v>
      </c>
      <c r="L141" t="n">
        <v>0</v>
      </c>
      <c r="M141" t="n">
        <v>0</v>
      </c>
      <c r="N141" t="n">
        <v>0</v>
      </c>
      <c r="O141" t="n">
        <v>0</v>
      </c>
      <c r="P141" t="n">
        <v>0</v>
      </c>
      <c r="Q141" t="n">
        <v>0</v>
      </c>
      <c r="R141" s="2" t="inlineStr"/>
    </row>
    <row r="142" ht="15" customHeight="1">
      <c r="A142" t="inlineStr">
        <is>
          <t>A 9630-2023</t>
        </is>
      </c>
      <c r="B142" s="1" t="n">
        <v>44984</v>
      </c>
      <c r="C142" s="1" t="n">
        <v>45338</v>
      </c>
      <c r="D142" t="inlineStr">
        <is>
          <t>VÄSTRA GÖTALANDS LÄN</t>
        </is>
      </c>
      <c r="E142" t="inlineStr">
        <is>
          <t>ALE</t>
        </is>
      </c>
      <c r="G142" t="n">
        <v>5.4</v>
      </c>
      <c r="H142" t="n">
        <v>0</v>
      </c>
      <c r="I142" t="n">
        <v>0</v>
      </c>
      <c r="J142" t="n">
        <v>0</v>
      </c>
      <c r="K142" t="n">
        <v>0</v>
      </c>
      <c r="L142" t="n">
        <v>0</v>
      </c>
      <c r="M142" t="n">
        <v>0</v>
      </c>
      <c r="N142" t="n">
        <v>0</v>
      </c>
      <c r="O142" t="n">
        <v>0</v>
      </c>
      <c r="P142" t="n">
        <v>0</v>
      </c>
      <c r="Q142" t="n">
        <v>0</v>
      </c>
      <c r="R142" s="2" t="inlineStr"/>
    </row>
    <row r="143" ht="15" customHeight="1">
      <c r="A143" t="inlineStr">
        <is>
          <t>A 9891-2023</t>
        </is>
      </c>
      <c r="B143" s="1" t="n">
        <v>44985</v>
      </c>
      <c r="C143" s="1" t="n">
        <v>45338</v>
      </c>
      <c r="D143" t="inlineStr">
        <is>
          <t>VÄSTRA GÖTALANDS LÄN</t>
        </is>
      </c>
      <c r="E143" t="inlineStr">
        <is>
          <t>ALE</t>
        </is>
      </c>
      <c r="G143" t="n">
        <v>2.2</v>
      </c>
      <c r="H143" t="n">
        <v>0</v>
      </c>
      <c r="I143" t="n">
        <v>0</v>
      </c>
      <c r="J143" t="n">
        <v>0</v>
      </c>
      <c r="K143" t="n">
        <v>0</v>
      </c>
      <c r="L143" t="n">
        <v>0</v>
      </c>
      <c r="M143" t="n">
        <v>0</v>
      </c>
      <c r="N143" t="n">
        <v>0</v>
      </c>
      <c r="O143" t="n">
        <v>0</v>
      </c>
      <c r="P143" t="n">
        <v>0</v>
      </c>
      <c r="Q143" t="n">
        <v>0</v>
      </c>
      <c r="R143" s="2" t="inlineStr"/>
    </row>
    <row r="144" ht="15" customHeight="1">
      <c r="A144" t="inlineStr">
        <is>
          <t>A 9886-2023</t>
        </is>
      </c>
      <c r="B144" s="1" t="n">
        <v>44985</v>
      </c>
      <c r="C144" s="1" t="n">
        <v>45338</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9896-2023</t>
        </is>
      </c>
      <c r="B145" s="1" t="n">
        <v>44985</v>
      </c>
      <c r="C145" s="1" t="n">
        <v>45338</v>
      </c>
      <c r="D145" t="inlineStr">
        <is>
          <t>VÄSTRA GÖTALANDS LÄN</t>
        </is>
      </c>
      <c r="E145" t="inlineStr">
        <is>
          <t>ALE</t>
        </is>
      </c>
      <c r="G145" t="n">
        <v>2.5</v>
      </c>
      <c r="H145" t="n">
        <v>0</v>
      </c>
      <c r="I145" t="n">
        <v>0</v>
      </c>
      <c r="J145" t="n">
        <v>0</v>
      </c>
      <c r="K145" t="n">
        <v>0</v>
      </c>
      <c r="L145" t="n">
        <v>0</v>
      </c>
      <c r="M145" t="n">
        <v>0</v>
      </c>
      <c r="N145" t="n">
        <v>0</v>
      </c>
      <c r="O145" t="n">
        <v>0</v>
      </c>
      <c r="P145" t="n">
        <v>0</v>
      </c>
      <c r="Q145" t="n">
        <v>0</v>
      </c>
      <c r="R145" s="2" t="inlineStr"/>
    </row>
    <row r="146" ht="15" customHeight="1">
      <c r="A146" t="inlineStr">
        <is>
          <t>A 16344-2023</t>
        </is>
      </c>
      <c r="B146" s="1" t="n">
        <v>45028</v>
      </c>
      <c r="C146" s="1" t="n">
        <v>45338</v>
      </c>
      <c r="D146" t="inlineStr">
        <is>
          <t>VÄSTRA GÖTALANDS LÄN</t>
        </is>
      </c>
      <c r="E146" t="inlineStr">
        <is>
          <t>ALE</t>
        </is>
      </c>
      <c r="G146" t="n">
        <v>6.6</v>
      </c>
      <c r="H146" t="n">
        <v>0</v>
      </c>
      <c r="I146" t="n">
        <v>0</v>
      </c>
      <c r="J146" t="n">
        <v>0</v>
      </c>
      <c r="K146" t="n">
        <v>0</v>
      </c>
      <c r="L146" t="n">
        <v>0</v>
      </c>
      <c r="M146" t="n">
        <v>0</v>
      </c>
      <c r="N146" t="n">
        <v>0</v>
      </c>
      <c r="O146" t="n">
        <v>0</v>
      </c>
      <c r="P146" t="n">
        <v>0</v>
      </c>
      <c r="Q146" t="n">
        <v>0</v>
      </c>
      <c r="R146" s="2" t="inlineStr"/>
    </row>
    <row r="147" ht="15" customHeight="1">
      <c r="A147" t="inlineStr">
        <is>
          <t>A 16389-2023</t>
        </is>
      </c>
      <c r="B147" s="1" t="n">
        <v>45029</v>
      </c>
      <c r="C147" s="1" t="n">
        <v>45338</v>
      </c>
      <c r="D147" t="inlineStr">
        <is>
          <t>VÄSTRA GÖTALANDS LÄN</t>
        </is>
      </c>
      <c r="E147" t="inlineStr">
        <is>
          <t>ALE</t>
        </is>
      </c>
      <c r="G147" t="n">
        <v>2.8</v>
      </c>
      <c r="H147" t="n">
        <v>0</v>
      </c>
      <c r="I147" t="n">
        <v>0</v>
      </c>
      <c r="J147" t="n">
        <v>0</v>
      </c>
      <c r="K147" t="n">
        <v>0</v>
      </c>
      <c r="L147" t="n">
        <v>0</v>
      </c>
      <c r="M147" t="n">
        <v>0</v>
      </c>
      <c r="N147" t="n">
        <v>0</v>
      </c>
      <c r="O147" t="n">
        <v>0</v>
      </c>
      <c r="P147" t="n">
        <v>0</v>
      </c>
      <c r="Q147" t="n">
        <v>0</v>
      </c>
      <c r="R147" s="2" t="inlineStr"/>
    </row>
    <row r="148" ht="15" customHeight="1">
      <c r="A148" t="inlineStr">
        <is>
          <t>A 16876-2023</t>
        </is>
      </c>
      <c r="B148" s="1" t="n">
        <v>45033</v>
      </c>
      <c r="C148" s="1" t="n">
        <v>45338</v>
      </c>
      <c r="D148" t="inlineStr">
        <is>
          <t>VÄSTRA GÖTALANDS LÄN</t>
        </is>
      </c>
      <c r="E148" t="inlineStr">
        <is>
          <t>ALE</t>
        </is>
      </c>
      <c r="G148" t="n">
        <v>0.9</v>
      </c>
      <c r="H148" t="n">
        <v>0</v>
      </c>
      <c r="I148" t="n">
        <v>0</v>
      </c>
      <c r="J148" t="n">
        <v>0</v>
      </c>
      <c r="K148" t="n">
        <v>0</v>
      </c>
      <c r="L148" t="n">
        <v>0</v>
      </c>
      <c r="M148" t="n">
        <v>0</v>
      </c>
      <c r="N148" t="n">
        <v>0</v>
      </c>
      <c r="O148" t="n">
        <v>0</v>
      </c>
      <c r="P148" t="n">
        <v>0</v>
      </c>
      <c r="Q148" t="n">
        <v>0</v>
      </c>
      <c r="R148" s="2" t="inlineStr"/>
    </row>
    <row r="149" ht="15" customHeight="1">
      <c r="A149" t="inlineStr">
        <is>
          <t>A 17534-2023</t>
        </is>
      </c>
      <c r="B149" s="1" t="n">
        <v>45036</v>
      </c>
      <c r="C149" s="1" t="n">
        <v>45338</v>
      </c>
      <c r="D149" t="inlineStr">
        <is>
          <t>VÄSTRA GÖTALANDS LÄN</t>
        </is>
      </c>
      <c r="E149" t="inlineStr">
        <is>
          <t>ALE</t>
        </is>
      </c>
      <c r="G149" t="n">
        <v>3.1</v>
      </c>
      <c r="H149" t="n">
        <v>0</v>
      </c>
      <c r="I149" t="n">
        <v>0</v>
      </c>
      <c r="J149" t="n">
        <v>0</v>
      </c>
      <c r="K149" t="n">
        <v>0</v>
      </c>
      <c r="L149" t="n">
        <v>0</v>
      </c>
      <c r="M149" t="n">
        <v>0</v>
      </c>
      <c r="N149" t="n">
        <v>0</v>
      </c>
      <c r="O149" t="n">
        <v>0</v>
      </c>
      <c r="P149" t="n">
        <v>0</v>
      </c>
      <c r="Q149" t="n">
        <v>0</v>
      </c>
      <c r="R149" s="2" t="inlineStr"/>
    </row>
    <row r="150" ht="15" customHeight="1">
      <c r="A150" t="inlineStr">
        <is>
          <t>A 18120-2023</t>
        </is>
      </c>
      <c r="B150" s="1" t="n">
        <v>45040</v>
      </c>
      <c r="C150" s="1" t="n">
        <v>45338</v>
      </c>
      <c r="D150" t="inlineStr">
        <is>
          <t>VÄSTRA GÖTALANDS LÄN</t>
        </is>
      </c>
      <c r="E150" t="inlineStr">
        <is>
          <t>ALE</t>
        </is>
      </c>
      <c r="G150" t="n">
        <v>3</v>
      </c>
      <c r="H150" t="n">
        <v>0</v>
      </c>
      <c r="I150" t="n">
        <v>0</v>
      </c>
      <c r="J150" t="n">
        <v>0</v>
      </c>
      <c r="K150" t="n">
        <v>0</v>
      </c>
      <c r="L150" t="n">
        <v>0</v>
      </c>
      <c r="M150" t="n">
        <v>0</v>
      </c>
      <c r="N150" t="n">
        <v>0</v>
      </c>
      <c r="O150" t="n">
        <v>0</v>
      </c>
      <c r="P150" t="n">
        <v>0</v>
      </c>
      <c r="Q150" t="n">
        <v>0</v>
      </c>
      <c r="R150" s="2" t="inlineStr"/>
    </row>
    <row r="151" ht="15" customHeight="1">
      <c r="A151" t="inlineStr">
        <is>
          <t>A 18637-2023</t>
        </is>
      </c>
      <c r="B151" s="1" t="n">
        <v>45043</v>
      </c>
      <c r="C151" s="1" t="n">
        <v>45338</v>
      </c>
      <c r="D151" t="inlineStr">
        <is>
          <t>VÄSTRA GÖTALANDS LÄN</t>
        </is>
      </c>
      <c r="E151" t="inlineStr">
        <is>
          <t>ALE</t>
        </is>
      </c>
      <c r="G151" t="n">
        <v>3.6</v>
      </c>
      <c r="H151" t="n">
        <v>0</v>
      </c>
      <c r="I151" t="n">
        <v>0</v>
      </c>
      <c r="J151" t="n">
        <v>0</v>
      </c>
      <c r="K151" t="n">
        <v>0</v>
      </c>
      <c r="L151" t="n">
        <v>0</v>
      </c>
      <c r="M151" t="n">
        <v>0</v>
      </c>
      <c r="N151" t="n">
        <v>0</v>
      </c>
      <c r="O151" t="n">
        <v>0</v>
      </c>
      <c r="P151" t="n">
        <v>0</v>
      </c>
      <c r="Q151" t="n">
        <v>0</v>
      </c>
      <c r="R151" s="2" t="inlineStr"/>
    </row>
    <row r="152" ht="15" customHeight="1">
      <c r="A152" t="inlineStr">
        <is>
          <t>A 20066-2023</t>
        </is>
      </c>
      <c r="B152" s="1" t="n">
        <v>45054</v>
      </c>
      <c r="C152" s="1" t="n">
        <v>45338</v>
      </c>
      <c r="D152" t="inlineStr">
        <is>
          <t>VÄSTRA GÖTALANDS LÄN</t>
        </is>
      </c>
      <c r="E152" t="inlineStr">
        <is>
          <t>ALE</t>
        </is>
      </c>
      <c r="G152" t="n">
        <v>1.6</v>
      </c>
      <c r="H152" t="n">
        <v>0</v>
      </c>
      <c r="I152" t="n">
        <v>0</v>
      </c>
      <c r="J152" t="n">
        <v>0</v>
      </c>
      <c r="K152" t="n">
        <v>0</v>
      </c>
      <c r="L152" t="n">
        <v>0</v>
      </c>
      <c r="M152" t="n">
        <v>0</v>
      </c>
      <c r="N152" t="n">
        <v>0</v>
      </c>
      <c r="O152" t="n">
        <v>0</v>
      </c>
      <c r="P152" t="n">
        <v>0</v>
      </c>
      <c r="Q152" t="n">
        <v>0</v>
      </c>
      <c r="R152" s="2" t="inlineStr"/>
    </row>
    <row r="153" ht="15" customHeight="1">
      <c r="A153" t="inlineStr">
        <is>
          <t>A 20067-2023</t>
        </is>
      </c>
      <c r="B153" s="1" t="n">
        <v>45054</v>
      </c>
      <c r="C153" s="1" t="n">
        <v>45338</v>
      </c>
      <c r="D153" t="inlineStr">
        <is>
          <t>VÄSTRA GÖTALANDS LÄN</t>
        </is>
      </c>
      <c r="E153" t="inlineStr">
        <is>
          <t>ALE</t>
        </is>
      </c>
      <c r="G153" t="n">
        <v>0.4</v>
      </c>
      <c r="H153" t="n">
        <v>0</v>
      </c>
      <c r="I153" t="n">
        <v>0</v>
      </c>
      <c r="J153" t="n">
        <v>0</v>
      </c>
      <c r="K153" t="n">
        <v>0</v>
      </c>
      <c r="L153" t="n">
        <v>0</v>
      </c>
      <c r="M153" t="n">
        <v>0</v>
      </c>
      <c r="N153" t="n">
        <v>0</v>
      </c>
      <c r="O153" t="n">
        <v>0</v>
      </c>
      <c r="P153" t="n">
        <v>0</v>
      </c>
      <c r="Q153" t="n">
        <v>0</v>
      </c>
      <c r="R153" s="2" t="inlineStr"/>
    </row>
    <row r="154" ht="15" customHeight="1">
      <c r="A154" t="inlineStr">
        <is>
          <t>A 20586-2023</t>
        </is>
      </c>
      <c r="B154" s="1" t="n">
        <v>45057</v>
      </c>
      <c r="C154" s="1" t="n">
        <v>45338</v>
      </c>
      <c r="D154" t="inlineStr">
        <is>
          <t>VÄSTRA GÖTALANDS LÄN</t>
        </is>
      </c>
      <c r="E154" t="inlineStr">
        <is>
          <t>ALE</t>
        </is>
      </c>
      <c r="G154" t="n">
        <v>1.5</v>
      </c>
      <c r="H154" t="n">
        <v>0</v>
      </c>
      <c r="I154" t="n">
        <v>0</v>
      </c>
      <c r="J154" t="n">
        <v>0</v>
      </c>
      <c r="K154" t="n">
        <v>0</v>
      </c>
      <c r="L154" t="n">
        <v>0</v>
      </c>
      <c r="M154" t="n">
        <v>0</v>
      </c>
      <c r="N154" t="n">
        <v>0</v>
      </c>
      <c r="O154" t="n">
        <v>0</v>
      </c>
      <c r="P154" t="n">
        <v>0</v>
      </c>
      <c r="Q154" t="n">
        <v>0</v>
      </c>
      <c r="R154" s="2" t="inlineStr"/>
    </row>
    <row r="155" ht="15" customHeight="1">
      <c r="A155" t="inlineStr">
        <is>
          <t>A 24207-2023</t>
        </is>
      </c>
      <c r="B155" s="1" t="n">
        <v>45079</v>
      </c>
      <c r="C155" s="1" t="n">
        <v>45338</v>
      </c>
      <c r="D155" t="inlineStr">
        <is>
          <t>VÄSTRA GÖTALANDS LÄN</t>
        </is>
      </c>
      <c r="E155" t="inlineStr">
        <is>
          <t>ALE</t>
        </is>
      </c>
      <c r="G155" t="n">
        <v>1.2</v>
      </c>
      <c r="H155" t="n">
        <v>0</v>
      </c>
      <c r="I155" t="n">
        <v>0</v>
      </c>
      <c r="J155" t="n">
        <v>0</v>
      </c>
      <c r="K155" t="n">
        <v>0</v>
      </c>
      <c r="L155" t="n">
        <v>0</v>
      </c>
      <c r="M155" t="n">
        <v>0</v>
      </c>
      <c r="N155" t="n">
        <v>0</v>
      </c>
      <c r="O155" t="n">
        <v>0</v>
      </c>
      <c r="P155" t="n">
        <v>0</v>
      </c>
      <c r="Q155" t="n">
        <v>0</v>
      </c>
      <c r="R155" s="2" t="inlineStr"/>
    </row>
    <row r="156" ht="15" customHeight="1">
      <c r="A156" t="inlineStr">
        <is>
          <t>A 25471-2023</t>
        </is>
      </c>
      <c r="B156" s="1" t="n">
        <v>45089</v>
      </c>
      <c r="C156" s="1" t="n">
        <v>45338</v>
      </c>
      <c r="D156" t="inlineStr">
        <is>
          <t>VÄSTRA GÖTALANDS LÄN</t>
        </is>
      </c>
      <c r="E156" t="inlineStr">
        <is>
          <t>ALE</t>
        </is>
      </c>
      <c r="G156" t="n">
        <v>5.1</v>
      </c>
      <c r="H156" t="n">
        <v>0</v>
      </c>
      <c r="I156" t="n">
        <v>0</v>
      </c>
      <c r="J156" t="n">
        <v>0</v>
      </c>
      <c r="K156" t="n">
        <v>0</v>
      </c>
      <c r="L156" t="n">
        <v>0</v>
      </c>
      <c r="M156" t="n">
        <v>0</v>
      </c>
      <c r="N156" t="n">
        <v>0</v>
      </c>
      <c r="O156" t="n">
        <v>0</v>
      </c>
      <c r="P156" t="n">
        <v>0</v>
      </c>
      <c r="Q156" t="n">
        <v>0</v>
      </c>
      <c r="R156" s="2" t="inlineStr"/>
    </row>
    <row r="157" ht="15" customHeight="1">
      <c r="A157" t="inlineStr">
        <is>
          <t>A 26157-2023</t>
        </is>
      </c>
      <c r="B157" s="1" t="n">
        <v>45091</v>
      </c>
      <c r="C157" s="1" t="n">
        <v>45338</v>
      </c>
      <c r="D157" t="inlineStr">
        <is>
          <t>VÄSTRA GÖTALANDS LÄN</t>
        </is>
      </c>
      <c r="E157" t="inlineStr">
        <is>
          <t>ALE</t>
        </is>
      </c>
      <c r="G157" t="n">
        <v>2.6</v>
      </c>
      <c r="H157" t="n">
        <v>0</v>
      </c>
      <c r="I157" t="n">
        <v>0</v>
      </c>
      <c r="J157" t="n">
        <v>0</v>
      </c>
      <c r="K157" t="n">
        <v>0</v>
      </c>
      <c r="L157" t="n">
        <v>0</v>
      </c>
      <c r="M157" t="n">
        <v>0</v>
      </c>
      <c r="N157" t="n">
        <v>0</v>
      </c>
      <c r="O157" t="n">
        <v>0</v>
      </c>
      <c r="P157" t="n">
        <v>0</v>
      </c>
      <c r="Q157" t="n">
        <v>0</v>
      </c>
      <c r="R157" s="2" t="inlineStr"/>
    </row>
    <row r="158" ht="15" customHeight="1">
      <c r="A158" t="inlineStr">
        <is>
          <t>A 26187-2023</t>
        </is>
      </c>
      <c r="B158" s="1" t="n">
        <v>45091</v>
      </c>
      <c r="C158" s="1" t="n">
        <v>45338</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26100-2023</t>
        </is>
      </c>
      <c r="B159" s="1" t="n">
        <v>45091</v>
      </c>
      <c r="C159" s="1" t="n">
        <v>45338</v>
      </c>
      <c r="D159" t="inlineStr">
        <is>
          <t>VÄSTRA GÖTALANDS LÄN</t>
        </is>
      </c>
      <c r="E159" t="inlineStr">
        <is>
          <t>ALE</t>
        </is>
      </c>
      <c r="G159" t="n">
        <v>3.7</v>
      </c>
      <c r="H159" t="n">
        <v>0</v>
      </c>
      <c r="I159" t="n">
        <v>0</v>
      </c>
      <c r="J159" t="n">
        <v>0</v>
      </c>
      <c r="K159" t="n">
        <v>0</v>
      </c>
      <c r="L159" t="n">
        <v>0</v>
      </c>
      <c r="M159" t="n">
        <v>0</v>
      </c>
      <c r="N159" t="n">
        <v>0</v>
      </c>
      <c r="O159" t="n">
        <v>0</v>
      </c>
      <c r="P159" t="n">
        <v>0</v>
      </c>
      <c r="Q159" t="n">
        <v>0</v>
      </c>
      <c r="R159" s="2" t="inlineStr"/>
    </row>
    <row r="160" ht="15" customHeight="1">
      <c r="A160" t="inlineStr">
        <is>
          <t>A 26083-2023</t>
        </is>
      </c>
      <c r="B160" s="1" t="n">
        <v>45091</v>
      </c>
      <c r="C160" s="1" t="n">
        <v>45338</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30185-2023</t>
        </is>
      </c>
      <c r="B161" s="1" t="n">
        <v>45110</v>
      </c>
      <c r="C161" s="1" t="n">
        <v>45338</v>
      </c>
      <c r="D161" t="inlineStr">
        <is>
          <t>VÄSTRA GÖTALANDS LÄN</t>
        </is>
      </c>
      <c r="E161" t="inlineStr">
        <is>
          <t>ALE</t>
        </is>
      </c>
      <c r="G161" t="n">
        <v>5.2</v>
      </c>
      <c r="H161" t="n">
        <v>0</v>
      </c>
      <c r="I161" t="n">
        <v>0</v>
      </c>
      <c r="J161" t="n">
        <v>0</v>
      </c>
      <c r="K161" t="n">
        <v>0</v>
      </c>
      <c r="L161" t="n">
        <v>0</v>
      </c>
      <c r="M161" t="n">
        <v>0</v>
      </c>
      <c r="N161" t="n">
        <v>0</v>
      </c>
      <c r="O161" t="n">
        <v>0</v>
      </c>
      <c r="P161" t="n">
        <v>0</v>
      </c>
      <c r="Q161" t="n">
        <v>0</v>
      </c>
      <c r="R161" s="2" t="inlineStr"/>
    </row>
    <row r="162" ht="15" customHeight="1">
      <c r="A162" t="inlineStr">
        <is>
          <t>A 32762-2023</t>
        </is>
      </c>
      <c r="B162" s="1" t="n">
        <v>45123</v>
      </c>
      <c r="C162" s="1" t="n">
        <v>45338</v>
      </c>
      <c r="D162" t="inlineStr">
        <is>
          <t>VÄSTRA GÖTALANDS LÄN</t>
        </is>
      </c>
      <c r="E162" t="inlineStr">
        <is>
          <t>ALE</t>
        </is>
      </c>
      <c r="G162" t="n">
        <v>1</v>
      </c>
      <c r="H162" t="n">
        <v>0</v>
      </c>
      <c r="I162" t="n">
        <v>0</v>
      </c>
      <c r="J162" t="n">
        <v>0</v>
      </c>
      <c r="K162" t="n">
        <v>0</v>
      </c>
      <c r="L162" t="n">
        <v>0</v>
      </c>
      <c r="M162" t="n">
        <v>0</v>
      </c>
      <c r="N162" t="n">
        <v>0</v>
      </c>
      <c r="O162" t="n">
        <v>0</v>
      </c>
      <c r="P162" t="n">
        <v>0</v>
      </c>
      <c r="Q162" t="n">
        <v>0</v>
      </c>
      <c r="R162" s="2" t="inlineStr"/>
    </row>
    <row r="163" ht="15" customHeight="1">
      <c r="A163" t="inlineStr">
        <is>
          <t>A 32833-2023</t>
        </is>
      </c>
      <c r="B163" s="1" t="n">
        <v>45124</v>
      </c>
      <c r="C163" s="1" t="n">
        <v>45338</v>
      </c>
      <c r="D163" t="inlineStr">
        <is>
          <t>VÄSTRA GÖTALANDS LÄN</t>
        </is>
      </c>
      <c r="E163" t="inlineStr">
        <is>
          <t>ALE</t>
        </is>
      </c>
      <c r="G163" t="n">
        <v>2</v>
      </c>
      <c r="H163" t="n">
        <v>0</v>
      </c>
      <c r="I163" t="n">
        <v>0</v>
      </c>
      <c r="J163" t="n">
        <v>0</v>
      </c>
      <c r="K163" t="n">
        <v>0</v>
      </c>
      <c r="L163" t="n">
        <v>0</v>
      </c>
      <c r="M163" t="n">
        <v>0</v>
      </c>
      <c r="N163" t="n">
        <v>0</v>
      </c>
      <c r="O163" t="n">
        <v>0</v>
      </c>
      <c r="P163" t="n">
        <v>0</v>
      </c>
      <c r="Q163" t="n">
        <v>0</v>
      </c>
      <c r="R163" s="2" t="inlineStr"/>
    </row>
    <row r="164" ht="15" customHeight="1">
      <c r="A164" t="inlineStr">
        <is>
          <t>A 35132-2023</t>
        </is>
      </c>
      <c r="B164" s="1" t="n">
        <v>45145</v>
      </c>
      <c r="C164" s="1" t="n">
        <v>45338</v>
      </c>
      <c r="D164" t="inlineStr">
        <is>
          <t>VÄSTRA GÖTALANDS LÄN</t>
        </is>
      </c>
      <c r="E164" t="inlineStr">
        <is>
          <t>ALE</t>
        </is>
      </c>
      <c r="G164" t="n">
        <v>1.4</v>
      </c>
      <c r="H164" t="n">
        <v>0</v>
      </c>
      <c r="I164" t="n">
        <v>0</v>
      </c>
      <c r="J164" t="n">
        <v>0</v>
      </c>
      <c r="K164" t="n">
        <v>0</v>
      </c>
      <c r="L164" t="n">
        <v>0</v>
      </c>
      <c r="M164" t="n">
        <v>0</v>
      </c>
      <c r="N164" t="n">
        <v>0</v>
      </c>
      <c r="O164" t="n">
        <v>0</v>
      </c>
      <c r="P164" t="n">
        <v>0</v>
      </c>
      <c r="Q164" t="n">
        <v>0</v>
      </c>
      <c r="R164" s="2" t="inlineStr"/>
    </row>
    <row r="165" ht="15" customHeight="1">
      <c r="A165" t="inlineStr">
        <is>
          <t>A 37518-2023</t>
        </is>
      </c>
      <c r="B165" s="1" t="n">
        <v>45158</v>
      </c>
      <c r="C165" s="1" t="n">
        <v>45338</v>
      </c>
      <c r="D165" t="inlineStr">
        <is>
          <t>VÄSTRA GÖTALANDS LÄN</t>
        </is>
      </c>
      <c r="E165" t="inlineStr">
        <is>
          <t>ALE</t>
        </is>
      </c>
      <c r="G165" t="n">
        <v>1.1</v>
      </c>
      <c r="H165" t="n">
        <v>0</v>
      </c>
      <c r="I165" t="n">
        <v>0</v>
      </c>
      <c r="J165" t="n">
        <v>0</v>
      </c>
      <c r="K165" t="n">
        <v>0</v>
      </c>
      <c r="L165" t="n">
        <v>0</v>
      </c>
      <c r="M165" t="n">
        <v>0</v>
      </c>
      <c r="N165" t="n">
        <v>0</v>
      </c>
      <c r="O165" t="n">
        <v>0</v>
      </c>
      <c r="P165" t="n">
        <v>0</v>
      </c>
      <c r="Q165" t="n">
        <v>0</v>
      </c>
      <c r="R165" s="2" t="inlineStr"/>
    </row>
    <row r="166" ht="15" customHeight="1">
      <c r="A166" t="inlineStr">
        <is>
          <t>A 37519-2023</t>
        </is>
      </c>
      <c r="B166" s="1" t="n">
        <v>45158</v>
      </c>
      <c r="C166" s="1" t="n">
        <v>45338</v>
      </c>
      <c r="D166" t="inlineStr">
        <is>
          <t>VÄSTRA GÖTALANDS LÄN</t>
        </is>
      </c>
      <c r="E166" t="inlineStr">
        <is>
          <t>ALE</t>
        </is>
      </c>
      <c r="G166" t="n">
        <v>0.6</v>
      </c>
      <c r="H166" t="n">
        <v>0</v>
      </c>
      <c r="I166" t="n">
        <v>0</v>
      </c>
      <c r="J166" t="n">
        <v>0</v>
      </c>
      <c r="K166" t="n">
        <v>0</v>
      </c>
      <c r="L166" t="n">
        <v>0</v>
      </c>
      <c r="M166" t="n">
        <v>0</v>
      </c>
      <c r="N166" t="n">
        <v>0</v>
      </c>
      <c r="O166" t="n">
        <v>0</v>
      </c>
      <c r="P166" t="n">
        <v>0</v>
      </c>
      <c r="Q166" t="n">
        <v>0</v>
      </c>
      <c r="R166" s="2" t="inlineStr"/>
    </row>
    <row r="167" ht="15" customHeight="1">
      <c r="A167" t="inlineStr">
        <is>
          <t>A 38614-2023</t>
        </is>
      </c>
      <c r="B167" s="1" t="n">
        <v>45162</v>
      </c>
      <c r="C167" s="1" t="n">
        <v>45338</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42446-2023</t>
        </is>
      </c>
      <c r="B168" s="1" t="n">
        <v>45180</v>
      </c>
      <c r="C168" s="1" t="n">
        <v>45338</v>
      </c>
      <c r="D168" t="inlineStr">
        <is>
          <t>VÄSTRA GÖTALANDS LÄN</t>
        </is>
      </c>
      <c r="E168" t="inlineStr">
        <is>
          <t>ALE</t>
        </is>
      </c>
      <c r="G168" t="n">
        <v>0.8</v>
      </c>
      <c r="H168" t="n">
        <v>0</v>
      </c>
      <c r="I168" t="n">
        <v>0</v>
      </c>
      <c r="J168" t="n">
        <v>0</v>
      </c>
      <c r="K168" t="n">
        <v>0</v>
      </c>
      <c r="L168" t="n">
        <v>0</v>
      </c>
      <c r="M168" t="n">
        <v>0</v>
      </c>
      <c r="N168" t="n">
        <v>0</v>
      </c>
      <c r="O168" t="n">
        <v>0</v>
      </c>
      <c r="P168" t="n">
        <v>0</v>
      </c>
      <c r="Q168" t="n">
        <v>0</v>
      </c>
      <c r="R168" s="2" t="inlineStr"/>
    </row>
    <row r="169" ht="15" customHeight="1">
      <c r="A169" t="inlineStr">
        <is>
          <t>A 44429-2023</t>
        </is>
      </c>
      <c r="B169" s="1" t="n">
        <v>45189</v>
      </c>
      <c r="C169" s="1" t="n">
        <v>45338</v>
      </c>
      <c r="D169" t="inlineStr">
        <is>
          <t>VÄSTRA GÖTALANDS LÄN</t>
        </is>
      </c>
      <c r="E169" t="inlineStr">
        <is>
          <t>ALE</t>
        </is>
      </c>
      <c r="G169" t="n">
        <v>0.1</v>
      </c>
      <c r="H169" t="n">
        <v>0</v>
      </c>
      <c r="I169" t="n">
        <v>0</v>
      </c>
      <c r="J169" t="n">
        <v>0</v>
      </c>
      <c r="K169" t="n">
        <v>0</v>
      </c>
      <c r="L169" t="n">
        <v>0</v>
      </c>
      <c r="M169" t="n">
        <v>0</v>
      </c>
      <c r="N169" t="n">
        <v>0</v>
      </c>
      <c r="O169" t="n">
        <v>0</v>
      </c>
      <c r="P169" t="n">
        <v>0</v>
      </c>
      <c r="Q169" t="n">
        <v>0</v>
      </c>
      <c r="R169" s="2" t="inlineStr"/>
    </row>
    <row r="170" ht="15" customHeight="1">
      <c r="A170" t="inlineStr">
        <is>
          <t>A 47087-2023</t>
        </is>
      </c>
      <c r="B170" s="1" t="n">
        <v>45196</v>
      </c>
      <c r="C170" s="1" t="n">
        <v>45338</v>
      </c>
      <c r="D170" t="inlineStr">
        <is>
          <t>VÄSTRA GÖTALANDS LÄN</t>
        </is>
      </c>
      <c r="E170" t="inlineStr">
        <is>
          <t>ALE</t>
        </is>
      </c>
      <c r="G170" t="n">
        <v>1.6</v>
      </c>
      <c r="H170" t="n">
        <v>0</v>
      </c>
      <c r="I170" t="n">
        <v>0</v>
      </c>
      <c r="J170" t="n">
        <v>0</v>
      </c>
      <c r="K170" t="n">
        <v>0</v>
      </c>
      <c r="L170" t="n">
        <v>0</v>
      </c>
      <c r="M170" t="n">
        <v>0</v>
      </c>
      <c r="N170" t="n">
        <v>0</v>
      </c>
      <c r="O170" t="n">
        <v>0</v>
      </c>
      <c r="P170" t="n">
        <v>0</v>
      </c>
      <c r="Q170" t="n">
        <v>0</v>
      </c>
      <c r="R170" s="2" t="inlineStr"/>
    </row>
    <row r="171" ht="15" customHeight="1">
      <c r="A171" t="inlineStr">
        <is>
          <t>A 48866-2023</t>
        </is>
      </c>
      <c r="B171" s="1" t="n">
        <v>45209</v>
      </c>
      <c r="C171" s="1" t="n">
        <v>45338</v>
      </c>
      <c r="D171" t="inlineStr">
        <is>
          <t>VÄSTRA GÖTALANDS LÄN</t>
        </is>
      </c>
      <c r="E171" t="inlineStr">
        <is>
          <t>ALE</t>
        </is>
      </c>
      <c r="G171" t="n">
        <v>2.5</v>
      </c>
      <c r="H171" t="n">
        <v>0</v>
      </c>
      <c r="I171" t="n">
        <v>0</v>
      </c>
      <c r="J171" t="n">
        <v>0</v>
      </c>
      <c r="K171" t="n">
        <v>0</v>
      </c>
      <c r="L171" t="n">
        <v>0</v>
      </c>
      <c r="M171" t="n">
        <v>0</v>
      </c>
      <c r="N171" t="n">
        <v>0</v>
      </c>
      <c r="O171" t="n">
        <v>0</v>
      </c>
      <c r="P171" t="n">
        <v>0</v>
      </c>
      <c r="Q171" t="n">
        <v>0</v>
      </c>
      <c r="R171" s="2" t="inlineStr"/>
    </row>
    <row r="172" ht="15" customHeight="1">
      <c r="A172" t="inlineStr">
        <is>
          <t>A 51564-2023</t>
        </is>
      </c>
      <c r="B172" s="1" t="n">
        <v>45222</v>
      </c>
      <c r="C172" s="1" t="n">
        <v>45338</v>
      </c>
      <c r="D172" t="inlineStr">
        <is>
          <t>VÄSTRA GÖTALANDS LÄN</t>
        </is>
      </c>
      <c r="E172" t="inlineStr">
        <is>
          <t>ALE</t>
        </is>
      </c>
      <c r="G172" t="n">
        <v>1.5</v>
      </c>
      <c r="H172" t="n">
        <v>0</v>
      </c>
      <c r="I172" t="n">
        <v>0</v>
      </c>
      <c r="J172" t="n">
        <v>0</v>
      </c>
      <c r="K172" t="n">
        <v>0</v>
      </c>
      <c r="L172" t="n">
        <v>0</v>
      </c>
      <c r="M172" t="n">
        <v>0</v>
      </c>
      <c r="N172" t="n">
        <v>0</v>
      </c>
      <c r="O172" t="n">
        <v>0</v>
      </c>
      <c r="P172" t="n">
        <v>0</v>
      </c>
      <c r="Q172" t="n">
        <v>0</v>
      </c>
      <c r="R172" s="2" t="inlineStr"/>
    </row>
    <row r="173" ht="15" customHeight="1">
      <c r="A173" t="inlineStr">
        <is>
          <t>A 53476-2023</t>
        </is>
      </c>
      <c r="B173" s="1" t="n">
        <v>45230</v>
      </c>
      <c r="C173" s="1" t="n">
        <v>45338</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56842-2023</t>
        </is>
      </c>
      <c r="B174" s="1" t="n">
        <v>45244</v>
      </c>
      <c r="C174" s="1" t="n">
        <v>45338</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59933-2023</t>
        </is>
      </c>
      <c r="B175" s="1" t="n">
        <v>45257</v>
      </c>
      <c r="C175" s="1" t="n">
        <v>45338</v>
      </c>
      <c r="D175" t="inlineStr">
        <is>
          <t>VÄSTRA GÖTALANDS LÄN</t>
        </is>
      </c>
      <c r="E175" t="inlineStr">
        <is>
          <t>ALE</t>
        </is>
      </c>
      <c r="G175" t="n">
        <v>2.7</v>
      </c>
      <c r="H175" t="n">
        <v>0</v>
      </c>
      <c r="I175" t="n">
        <v>0</v>
      </c>
      <c r="J175" t="n">
        <v>0</v>
      </c>
      <c r="K175" t="n">
        <v>0</v>
      </c>
      <c r="L175" t="n">
        <v>0</v>
      </c>
      <c r="M175" t="n">
        <v>0</v>
      </c>
      <c r="N175" t="n">
        <v>0</v>
      </c>
      <c r="O175" t="n">
        <v>0</v>
      </c>
      <c r="P175" t="n">
        <v>0</v>
      </c>
      <c r="Q175" t="n">
        <v>0</v>
      </c>
      <c r="R175" s="2" t="inlineStr"/>
    </row>
    <row r="176" ht="15" customHeight="1">
      <c r="A176" t="inlineStr">
        <is>
          <t>A 59934-2023</t>
        </is>
      </c>
      <c r="B176" s="1" t="n">
        <v>45257</v>
      </c>
      <c r="C176" s="1" t="n">
        <v>45338</v>
      </c>
      <c r="D176" t="inlineStr">
        <is>
          <t>VÄSTRA GÖTALANDS LÄN</t>
        </is>
      </c>
      <c r="E176" t="inlineStr">
        <is>
          <t>ALE</t>
        </is>
      </c>
      <c r="G176" t="n">
        <v>2.6</v>
      </c>
      <c r="H176" t="n">
        <v>0</v>
      </c>
      <c r="I176" t="n">
        <v>0</v>
      </c>
      <c r="J176" t="n">
        <v>0</v>
      </c>
      <c r="K176" t="n">
        <v>0</v>
      </c>
      <c r="L176" t="n">
        <v>0</v>
      </c>
      <c r="M176" t="n">
        <v>0</v>
      </c>
      <c r="N176" t="n">
        <v>0</v>
      </c>
      <c r="O176" t="n">
        <v>0</v>
      </c>
      <c r="P176" t="n">
        <v>0</v>
      </c>
      <c r="Q176" t="n">
        <v>0</v>
      </c>
      <c r="R176" s="2" t="inlineStr"/>
    </row>
    <row r="177" ht="15" customHeight="1">
      <c r="A177" t="inlineStr">
        <is>
          <t>A 63575-2023</t>
        </is>
      </c>
      <c r="B177" s="1" t="n">
        <v>45275</v>
      </c>
      <c r="C177" s="1" t="n">
        <v>45338</v>
      </c>
      <c r="D177" t="inlineStr">
        <is>
          <t>VÄSTRA GÖTALANDS LÄN</t>
        </is>
      </c>
      <c r="E177" t="inlineStr">
        <is>
          <t>ALE</t>
        </is>
      </c>
      <c r="G177" t="n">
        <v>1.2</v>
      </c>
      <c r="H177" t="n">
        <v>0</v>
      </c>
      <c r="I177" t="n">
        <v>0</v>
      </c>
      <c r="J177" t="n">
        <v>0</v>
      </c>
      <c r="K177" t="n">
        <v>0</v>
      </c>
      <c r="L177" t="n">
        <v>0</v>
      </c>
      <c r="M177" t="n">
        <v>0</v>
      </c>
      <c r="N177" t="n">
        <v>0</v>
      </c>
      <c r="O177" t="n">
        <v>0</v>
      </c>
      <c r="P177" t="n">
        <v>0</v>
      </c>
      <c r="Q177" t="n">
        <v>0</v>
      </c>
      <c r="R177" s="2" t="inlineStr"/>
    </row>
    <row r="178" ht="15" customHeight="1">
      <c r="A178" t="inlineStr">
        <is>
          <t>A 772-2024</t>
        </is>
      </c>
      <c r="B178" s="1" t="n">
        <v>45300</v>
      </c>
      <c r="C178" s="1" t="n">
        <v>45338</v>
      </c>
      <c r="D178" t="inlineStr">
        <is>
          <t>VÄSTRA GÖTALANDS LÄN</t>
        </is>
      </c>
      <c r="E178" t="inlineStr">
        <is>
          <t>ALE</t>
        </is>
      </c>
      <c r="G178" t="n">
        <v>2.2</v>
      </c>
      <c r="H178" t="n">
        <v>0</v>
      </c>
      <c r="I178" t="n">
        <v>0</v>
      </c>
      <c r="J178" t="n">
        <v>0</v>
      </c>
      <c r="K178" t="n">
        <v>0</v>
      </c>
      <c r="L178" t="n">
        <v>0</v>
      </c>
      <c r="M178" t="n">
        <v>0</v>
      </c>
      <c r="N178" t="n">
        <v>0</v>
      </c>
      <c r="O178" t="n">
        <v>0</v>
      </c>
      <c r="P178" t="n">
        <v>0</v>
      </c>
      <c r="Q178" t="n">
        <v>0</v>
      </c>
      <c r="R178" s="2" t="inlineStr"/>
    </row>
    <row r="179" ht="15" customHeight="1">
      <c r="A179" t="inlineStr">
        <is>
          <t>A 1500-2024</t>
        </is>
      </c>
      <c r="B179" s="1" t="n">
        <v>45306</v>
      </c>
      <c r="C179" s="1" t="n">
        <v>45338</v>
      </c>
      <c r="D179" t="inlineStr">
        <is>
          <t>VÄSTRA GÖTALANDS LÄN</t>
        </is>
      </c>
      <c r="E179" t="inlineStr">
        <is>
          <t>ALE</t>
        </is>
      </c>
      <c r="G179" t="n">
        <v>1.3</v>
      </c>
      <c r="H179" t="n">
        <v>0</v>
      </c>
      <c r="I179" t="n">
        <v>0</v>
      </c>
      <c r="J179" t="n">
        <v>0</v>
      </c>
      <c r="K179" t="n">
        <v>0</v>
      </c>
      <c r="L179" t="n">
        <v>0</v>
      </c>
      <c r="M179" t="n">
        <v>0</v>
      </c>
      <c r="N179" t="n">
        <v>0</v>
      </c>
      <c r="O179" t="n">
        <v>0</v>
      </c>
      <c r="P179" t="n">
        <v>0</v>
      </c>
      <c r="Q179" t="n">
        <v>0</v>
      </c>
      <c r="R179" s="2" t="inlineStr"/>
    </row>
    <row r="180" ht="15" customHeight="1">
      <c r="A180" t="inlineStr">
        <is>
          <t>A 1503-2024</t>
        </is>
      </c>
      <c r="B180" s="1" t="n">
        <v>45306</v>
      </c>
      <c r="C180" s="1" t="n">
        <v>45338</v>
      </c>
      <c r="D180" t="inlineStr">
        <is>
          <t>VÄSTRA GÖTALANDS LÄN</t>
        </is>
      </c>
      <c r="E180" t="inlineStr">
        <is>
          <t>ALE</t>
        </is>
      </c>
      <c r="G180" t="n">
        <v>6.6</v>
      </c>
      <c r="H180" t="n">
        <v>0</v>
      </c>
      <c r="I180" t="n">
        <v>0</v>
      </c>
      <c r="J180" t="n">
        <v>0</v>
      </c>
      <c r="K180" t="n">
        <v>0</v>
      </c>
      <c r="L180" t="n">
        <v>0</v>
      </c>
      <c r="M180" t="n">
        <v>0</v>
      </c>
      <c r="N180" t="n">
        <v>0</v>
      </c>
      <c r="O180" t="n">
        <v>0</v>
      </c>
      <c r="P180" t="n">
        <v>0</v>
      </c>
      <c r="Q180" t="n">
        <v>0</v>
      </c>
      <c r="R180" s="2" t="inlineStr"/>
    </row>
    <row r="181" ht="15" customHeight="1">
      <c r="A181" t="inlineStr">
        <is>
          <t>A 1687-2024</t>
        </is>
      </c>
      <c r="B181" s="1" t="n">
        <v>45306</v>
      </c>
      <c r="C181" s="1" t="n">
        <v>45338</v>
      </c>
      <c r="D181" t="inlineStr">
        <is>
          <t>VÄSTRA GÖTALANDS LÄN</t>
        </is>
      </c>
      <c r="E181" t="inlineStr">
        <is>
          <t>ALE</t>
        </is>
      </c>
      <c r="G181" t="n">
        <v>3.4</v>
      </c>
      <c r="H181" t="n">
        <v>0</v>
      </c>
      <c r="I181" t="n">
        <v>0</v>
      </c>
      <c r="J181" t="n">
        <v>0</v>
      </c>
      <c r="K181" t="n">
        <v>0</v>
      </c>
      <c r="L181" t="n">
        <v>0</v>
      </c>
      <c r="M181" t="n">
        <v>0</v>
      </c>
      <c r="N181" t="n">
        <v>0</v>
      </c>
      <c r="O181" t="n">
        <v>0</v>
      </c>
      <c r="P181" t="n">
        <v>0</v>
      </c>
      <c r="Q181" t="n">
        <v>0</v>
      </c>
      <c r="R181" s="2" t="inlineStr"/>
    </row>
    <row r="182" ht="15" customHeight="1">
      <c r="A182" t="inlineStr">
        <is>
          <t>A 1822-2024</t>
        </is>
      </c>
      <c r="B182" s="1" t="n">
        <v>45307</v>
      </c>
      <c r="C182" s="1" t="n">
        <v>45338</v>
      </c>
      <c r="D182" t="inlineStr">
        <is>
          <t>VÄSTRA GÖTALANDS LÄN</t>
        </is>
      </c>
      <c r="E182" t="inlineStr">
        <is>
          <t>ALE</t>
        </is>
      </c>
      <c r="G182" t="n">
        <v>2</v>
      </c>
      <c r="H182" t="n">
        <v>0</v>
      </c>
      <c r="I182" t="n">
        <v>0</v>
      </c>
      <c r="J182" t="n">
        <v>0</v>
      </c>
      <c r="K182" t="n">
        <v>0</v>
      </c>
      <c r="L182" t="n">
        <v>0</v>
      </c>
      <c r="M182" t="n">
        <v>0</v>
      </c>
      <c r="N182" t="n">
        <v>0</v>
      </c>
      <c r="O182" t="n">
        <v>0</v>
      </c>
      <c r="P182" t="n">
        <v>0</v>
      </c>
      <c r="Q182" t="n">
        <v>0</v>
      </c>
      <c r="R182" s="2" t="inlineStr"/>
    </row>
    <row r="183" ht="15" customHeight="1">
      <c r="A183" t="inlineStr">
        <is>
          <t>A 1823-2024</t>
        </is>
      </c>
      <c r="B183" s="1" t="n">
        <v>45307</v>
      </c>
      <c r="C183" s="1" t="n">
        <v>45338</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1960-2024</t>
        </is>
      </c>
      <c r="B184" s="1" t="n">
        <v>45308</v>
      </c>
      <c r="C184" s="1" t="n">
        <v>45338</v>
      </c>
      <c r="D184" t="inlineStr">
        <is>
          <t>VÄSTRA GÖTALANDS LÄN</t>
        </is>
      </c>
      <c r="E184" t="inlineStr">
        <is>
          <t>ALE</t>
        </is>
      </c>
      <c r="G184" t="n">
        <v>1.9</v>
      </c>
      <c r="H184" t="n">
        <v>0</v>
      </c>
      <c r="I184" t="n">
        <v>0</v>
      </c>
      <c r="J184" t="n">
        <v>0</v>
      </c>
      <c r="K184" t="n">
        <v>0</v>
      </c>
      <c r="L184" t="n">
        <v>0</v>
      </c>
      <c r="M184" t="n">
        <v>0</v>
      </c>
      <c r="N184" t="n">
        <v>0</v>
      </c>
      <c r="O184" t="n">
        <v>0</v>
      </c>
      <c r="P184" t="n">
        <v>0</v>
      </c>
      <c r="Q184" t="n">
        <v>0</v>
      </c>
      <c r="R184" s="2" t="inlineStr"/>
    </row>
    <row r="185" ht="15" customHeight="1">
      <c r="A185" t="inlineStr">
        <is>
          <t>A 3973-2024</t>
        </is>
      </c>
      <c r="B185" s="1" t="n">
        <v>45322</v>
      </c>
      <c r="C185" s="1" t="n">
        <v>45338</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4363-2024</t>
        </is>
      </c>
      <c r="B186" s="1" t="n">
        <v>45325</v>
      </c>
      <c r="C186" s="1" t="n">
        <v>45338</v>
      </c>
      <c r="D186" t="inlineStr">
        <is>
          <t>VÄSTRA GÖTALANDS LÄN</t>
        </is>
      </c>
      <c r="E186" t="inlineStr">
        <is>
          <t>ALE</t>
        </is>
      </c>
      <c r="G186" t="n">
        <v>0.6</v>
      </c>
      <c r="H186" t="n">
        <v>0</v>
      </c>
      <c r="I186" t="n">
        <v>0</v>
      </c>
      <c r="J186" t="n">
        <v>0</v>
      </c>
      <c r="K186" t="n">
        <v>0</v>
      </c>
      <c r="L186" t="n">
        <v>0</v>
      </c>
      <c r="M186" t="n">
        <v>0</v>
      </c>
      <c r="N186" t="n">
        <v>0</v>
      </c>
      <c r="O186" t="n">
        <v>0</v>
      </c>
      <c r="P186" t="n">
        <v>0</v>
      </c>
      <c r="Q186" t="n">
        <v>0</v>
      </c>
      <c r="R186" s="2" t="inlineStr"/>
    </row>
    <row r="187" ht="15" customHeight="1">
      <c r="A187" t="inlineStr">
        <is>
          <t>A 4444-2024</t>
        </is>
      </c>
      <c r="B187" s="1" t="n">
        <v>45327</v>
      </c>
      <c r="C187" s="1" t="n">
        <v>45338</v>
      </c>
      <c r="D187" t="inlineStr">
        <is>
          <t>VÄSTRA GÖTALANDS LÄN</t>
        </is>
      </c>
      <c r="E187" t="inlineStr">
        <is>
          <t>ALE</t>
        </is>
      </c>
      <c r="G187" t="n">
        <v>0.6</v>
      </c>
      <c r="H187" t="n">
        <v>0</v>
      </c>
      <c r="I187" t="n">
        <v>0</v>
      </c>
      <c r="J187" t="n">
        <v>0</v>
      </c>
      <c r="K187" t="n">
        <v>0</v>
      </c>
      <c r="L187" t="n">
        <v>0</v>
      </c>
      <c r="M187" t="n">
        <v>0</v>
      </c>
      <c r="N187" t="n">
        <v>0</v>
      </c>
      <c r="O187" t="n">
        <v>0</v>
      </c>
      <c r="P187" t="n">
        <v>0</v>
      </c>
      <c r="Q187" t="n">
        <v>0</v>
      </c>
      <c r="R187" s="2" t="inlineStr"/>
    </row>
    <row r="188" ht="15" customHeight="1">
      <c r="A188" t="inlineStr">
        <is>
          <t>A 4642-2024</t>
        </is>
      </c>
      <c r="B188" s="1" t="n">
        <v>45328</v>
      </c>
      <c r="C188" s="1" t="n">
        <v>45338</v>
      </c>
      <c r="D188" t="inlineStr">
        <is>
          <t>VÄSTRA GÖTALANDS LÄN</t>
        </is>
      </c>
      <c r="E188" t="inlineStr">
        <is>
          <t>ALE</t>
        </is>
      </c>
      <c r="G188" t="n">
        <v>7.1</v>
      </c>
      <c r="H188" t="n">
        <v>0</v>
      </c>
      <c r="I188" t="n">
        <v>0</v>
      </c>
      <c r="J188" t="n">
        <v>0</v>
      </c>
      <c r="K188" t="n">
        <v>0</v>
      </c>
      <c r="L188" t="n">
        <v>0</v>
      </c>
      <c r="M188" t="n">
        <v>0</v>
      </c>
      <c r="N188" t="n">
        <v>0</v>
      </c>
      <c r="O188" t="n">
        <v>0</v>
      </c>
      <c r="P188" t="n">
        <v>0</v>
      </c>
      <c r="Q188" t="n">
        <v>0</v>
      </c>
      <c r="R188" s="2" t="inlineStr"/>
    </row>
    <row r="189">
      <c r="A189" t="inlineStr">
        <is>
          <t>A 5344-2024</t>
        </is>
      </c>
      <c r="B189" s="1" t="n">
        <v>45331</v>
      </c>
      <c r="C189" s="1" t="n">
        <v>45338</v>
      </c>
      <c r="D189" t="inlineStr">
        <is>
          <t>VÄSTRA GÖTALANDS LÄN</t>
        </is>
      </c>
      <c r="E189" t="inlineStr">
        <is>
          <t>ALE</t>
        </is>
      </c>
      <c r="G189" t="n">
        <v>2.5</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2024-02-16T16:08:51Z</dcterms:created>
  <dcterms:modified xmlns:dcterms="http://purl.org/dc/terms/" xmlns:xsi="http://www.w3.org/2001/XMLSchema-instance" xsi:type="dcterms:W3CDTF">2024-02-16T16:08:51Z</dcterms:modified>
</cp:coreProperties>
</file>