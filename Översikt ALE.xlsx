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46077</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46077</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46077</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46077</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46077</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46077</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46077</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46077</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46077</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46077</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46077</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46077</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46077</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46077</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46077</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60293-2025</t>
        </is>
      </c>
      <c r="B18" s="1" t="n">
        <v>45994.65568287037</v>
      </c>
      <c r="C18" s="1" t="n">
        <v>46077</v>
      </c>
      <c r="D18" t="inlineStr">
        <is>
          <t>VÄSTRA GÖTALANDS LÄN</t>
        </is>
      </c>
      <c r="E18" t="inlineStr">
        <is>
          <t>ALE</t>
        </is>
      </c>
      <c r="G18" t="n">
        <v>1.9</v>
      </c>
      <c r="H18" t="n">
        <v>2</v>
      </c>
      <c r="I18" t="n">
        <v>2</v>
      </c>
      <c r="J18" t="n">
        <v>2</v>
      </c>
      <c r="K18" t="n">
        <v>0</v>
      </c>
      <c r="L18" t="n">
        <v>0</v>
      </c>
      <c r="M18" t="n">
        <v>0</v>
      </c>
      <c r="N18" t="n">
        <v>0</v>
      </c>
      <c r="O18" t="n">
        <v>2</v>
      </c>
      <c r="P18" t="n">
        <v>0</v>
      </c>
      <c r="Q18" t="n">
        <v>4</v>
      </c>
      <c r="R18" s="2" t="inlineStr">
        <is>
          <t>Entita
Rödvingetrast
Björksplintborre
Gulnål</t>
        </is>
      </c>
      <c r="S18">
        <f>HYPERLINK("https://klasma.github.io/Logging_1440/artfynd/A 60293-2025 artfynd.xlsx", "A 60293-2025")</f>
        <v/>
      </c>
      <c r="T18">
        <f>HYPERLINK("https://klasma.github.io/Logging_1440/kartor/A 60293-2025 karta.png", "A 60293-2025")</f>
        <v/>
      </c>
      <c r="V18">
        <f>HYPERLINK("https://klasma.github.io/Logging_1440/klagomål/A 60293-2025 FSC-klagomål.docx", "A 60293-2025")</f>
        <v/>
      </c>
      <c r="W18">
        <f>HYPERLINK("https://klasma.github.io/Logging_1440/klagomålsmail/A 60293-2025 FSC-klagomål mail.docx", "A 60293-2025")</f>
        <v/>
      </c>
      <c r="X18">
        <f>HYPERLINK("https://klasma.github.io/Logging_1440/tillsyn/A 60293-2025 tillsynsbegäran.docx", "A 60293-2025")</f>
        <v/>
      </c>
      <c r="Y18">
        <f>HYPERLINK("https://klasma.github.io/Logging_1440/tillsynsmail/A 60293-2025 tillsynsbegäran mail.docx", "A 60293-2025")</f>
        <v/>
      </c>
      <c r="Z18">
        <f>HYPERLINK("https://klasma.github.io/Logging_1440/fåglar/A 60293-2025 prioriterade fågelarter.docx", "A 60293-2025")</f>
        <v/>
      </c>
    </row>
    <row r="19" ht="15" customHeight="1">
      <c r="A19" t="inlineStr">
        <is>
          <t>A 63575-2023</t>
        </is>
      </c>
      <c r="B19" s="1" t="n">
        <v>45275.39715277778</v>
      </c>
      <c r="C19" s="1" t="n">
        <v>46077</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58954-2022</t>
        </is>
      </c>
      <c r="B20" s="1" t="n">
        <v>44903</v>
      </c>
      <c r="C20" s="1" t="n">
        <v>46077</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63569-2023</t>
        </is>
      </c>
      <c r="B21" s="1" t="n">
        <v>45275</v>
      </c>
      <c r="C21" s="1" t="n">
        <v>46077</v>
      </c>
      <c r="D21" t="inlineStr">
        <is>
          <t>VÄSTRA GÖTALANDS LÄN</t>
        </is>
      </c>
      <c r="E21" t="inlineStr">
        <is>
          <t>ALE</t>
        </is>
      </c>
      <c r="G21" t="n">
        <v>2.4</v>
      </c>
      <c r="H21" t="n">
        <v>2</v>
      </c>
      <c r="I21" t="n">
        <v>0</v>
      </c>
      <c r="J21" t="n">
        <v>2</v>
      </c>
      <c r="K21" t="n">
        <v>0</v>
      </c>
      <c r="L21" t="n">
        <v>0</v>
      </c>
      <c r="M21" t="n">
        <v>0</v>
      </c>
      <c r="N21" t="n">
        <v>0</v>
      </c>
      <c r="O21" t="n">
        <v>2</v>
      </c>
      <c r="P21" t="n">
        <v>0</v>
      </c>
      <c r="Q21" t="n">
        <v>2</v>
      </c>
      <c r="R21" s="2" t="inlineStr">
        <is>
          <t>Spillkråka
Talltita</t>
        </is>
      </c>
      <c r="S21">
        <f>HYPERLINK("https://klasma.github.io/Logging_1440/artfynd/A 63569-2023 artfynd.xlsx", "A 63569-2023")</f>
        <v/>
      </c>
      <c r="T21">
        <f>HYPERLINK("https://klasma.github.io/Logging_1440/kartor/A 63569-2023 karta.png", "A 63569-2023")</f>
        <v/>
      </c>
      <c r="V21">
        <f>HYPERLINK("https://klasma.github.io/Logging_1440/klagomål/A 63569-2023 FSC-klagomål.docx", "A 63569-2023")</f>
        <v/>
      </c>
      <c r="W21">
        <f>HYPERLINK("https://klasma.github.io/Logging_1440/klagomålsmail/A 63569-2023 FSC-klagomål mail.docx", "A 63569-2023")</f>
        <v/>
      </c>
      <c r="X21">
        <f>HYPERLINK("https://klasma.github.io/Logging_1440/tillsyn/A 63569-2023 tillsynsbegäran.docx", "A 63569-2023")</f>
        <v/>
      </c>
      <c r="Y21">
        <f>HYPERLINK("https://klasma.github.io/Logging_1440/tillsynsmail/A 63569-2023 tillsynsbegäran mail.docx", "A 63569-2023")</f>
        <v/>
      </c>
      <c r="Z21">
        <f>HYPERLINK("https://klasma.github.io/Logging_1440/fåglar/A 63569-2023 prioriterade fågelarter.docx", "A 63569-2023")</f>
        <v/>
      </c>
    </row>
    <row r="22" ht="15" customHeight="1">
      <c r="A22" t="inlineStr">
        <is>
          <t>A 40931-2025</t>
        </is>
      </c>
      <c r="B22" s="1" t="n">
        <v>45897.64783564815</v>
      </c>
      <c r="C22" s="1" t="n">
        <v>46077</v>
      </c>
      <c r="D22" t="inlineStr">
        <is>
          <t>VÄSTRA GÖTALANDS LÄN</t>
        </is>
      </c>
      <c r="E22" t="inlineStr">
        <is>
          <t>ALE</t>
        </is>
      </c>
      <c r="G22" t="n">
        <v>4.3</v>
      </c>
      <c r="H22" t="n">
        <v>1</v>
      </c>
      <c r="I22" t="n">
        <v>1</v>
      </c>
      <c r="J22" t="n">
        <v>1</v>
      </c>
      <c r="K22" t="n">
        <v>0</v>
      </c>
      <c r="L22" t="n">
        <v>0</v>
      </c>
      <c r="M22" t="n">
        <v>0</v>
      </c>
      <c r="N22" t="n">
        <v>0</v>
      </c>
      <c r="O22" t="n">
        <v>1</v>
      </c>
      <c r="P22" t="n">
        <v>0</v>
      </c>
      <c r="Q22" t="n">
        <v>2</v>
      </c>
      <c r="R22" s="2" t="inlineStr">
        <is>
          <t>Spillkråka
Blåmossa</t>
        </is>
      </c>
      <c r="S22">
        <f>HYPERLINK("https://klasma.github.io/Logging_1440/artfynd/A 40931-2025 artfynd.xlsx", "A 40931-2025")</f>
        <v/>
      </c>
      <c r="T22">
        <f>HYPERLINK("https://klasma.github.io/Logging_1440/kartor/A 40931-2025 karta.png", "A 40931-2025")</f>
        <v/>
      </c>
      <c r="V22">
        <f>HYPERLINK("https://klasma.github.io/Logging_1440/klagomål/A 40931-2025 FSC-klagomål.docx", "A 40931-2025")</f>
        <v/>
      </c>
      <c r="W22">
        <f>HYPERLINK("https://klasma.github.io/Logging_1440/klagomålsmail/A 40931-2025 FSC-klagomål mail.docx", "A 40931-2025")</f>
        <v/>
      </c>
      <c r="X22">
        <f>HYPERLINK("https://klasma.github.io/Logging_1440/tillsyn/A 40931-2025 tillsynsbegäran.docx", "A 40931-2025")</f>
        <v/>
      </c>
      <c r="Y22">
        <f>HYPERLINK("https://klasma.github.io/Logging_1440/tillsynsmail/A 40931-2025 tillsynsbegäran mail.docx", "A 40931-2025")</f>
        <v/>
      </c>
      <c r="Z22">
        <f>HYPERLINK("https://klasma.github.io/Logging_1440/fåglar/A 40931-2025 prioriterade fågelarter.docx", "A 40931-2025")</f>
        <v/>
      </c>
    </row>
    <row r="23" ht="15" customHeight="1">
      <c r="A23" t="inlineStr">
        <is>
          <t>A 42660-2024</t>
        </is>
      </c>
      <c r="B23" s="1" t="n">
        <v>45566.33841435185</v>
      </c>
      <c r="C23" s="1" t="n">
        <v>46077</v>
      </c>
      <c r="D23" t="inlineStr">
        <is>
          <t>VÄSTRA GÖTALANDS LÄN</t>
        </is>
      </c>
      <c r="E23" t="inlineStr">
        <is>
          <t>ALE</t>
        </is>
      </c>
      <c r="G23" t="n">
        <v>2.5</v>
      </c>
      <c r="H23" t="n">
        <v>2</v>
      </c>
      <c r="I23" t="n">
        <v>0</v>
      </c>
      <c r="J23" t="n">
        <v>0</v>
      </c>
      <c r="K23" t="n">
        <v>0</v>
      </c>
      <c r="L23" t="n">
        <v>0</v>
      </c>
      <c r="M23" t="n">
        <v>0</v>
      </c>
      <c r="N23" t="n">
        <v>0</v>
      </c>
      <c r="O23" t="n">
        <v>0</v>
      </c>
      <c r="P23" t="n">
        <v>0</v>
      </c>
      <c r="Q23" t="n">
        <v>2</v>
      </c>
      <c r="R23" s="2" t="inlineStr">
        <is>
          <t>Mattlummer
Revlummer</t>
        </is>
      </c>
      <c r="S23">
        <f>HYPERLINK("https://klasma.github.io/Logging_1440/artfynd/A 42660-2024 artfynd.xlsx", "A 42660-2024")</f>
        <v/>
      </c>
      <c r="T23">
        <f>HYPERLINK("https://klasma.github.io/Logging_1440/kartor/A 42660-2024 karta.png", "A 42660-2024")</f>
        <v/>
      </c>
      <c r="V23">
        <f>HYPERLINK("https://klasma.github.io/Logging_1440/klagomål/A 42660-2024 FSC-klagomål.docx", "A 42660-2024")</f>
        <v/>
      </c>
      <c r="W23">
        <f>HYPERLINK("https://klasma.github.io/Logging_1440/klagomålsmail/A 42660-2024 FSC-klagomål mail.docx", "A 42660-2024")</f>
        <v/>
      </c>
      <c r="X23">
        <f>HYPERLINK("https://klasma.github.io/Logging_1440/tillsyn/A 42660-2024 tillsynsbegäran.docx", "A 42660-2024")</f>
        <v/>
      </c>
      <c r="Y23">
        <f>HYPERLINK("https://klasma.github.io/Logging_1440/tillsynsmail/A 42660-2024 tillsynsbegäran mail.docx", "A 42660-2024")</f>
        <v/>
      </c>
    </row>
    <row r="24" ht="15" customHeight="1">
      <c r="A24" t="inlineStr">
        <is>
          <t>A 8955-2025</t>
        </is>
      </c>
      <c r="B24" s="1" t="n">
        <v>45713.46528935185</v>
      </c>
      <c r="C24" s="1" t="n">
        <v>46077</v>
      </c>
      <c r="D24" t="inlineStr">
        <is>
          <t>VÄSTRA GÖTALANDS LÄN</t>
        </is>
      </c>
      <c r="E24" t="inlineStr">
        <is>
          <t>ALE</t>
        </is>
      </c>
      <c r="G24" t="n">
        <v>1</v>
      </c>
      <c r="H24" t="n">
        <v>2</v>
      </c>
      <c r="I24" t="n">
        <v>0</v>
      </c>
      <c r="J24" t="n">
        <v>1</v>
      </c>
      <c r="K24" t="n">
        <v>0</v>
      </c>
      <c r="L24" t="n">
        <v>0</v>
      </c>
      <c r="M24" t="n">
        <v>0</v>
      </c>
      <c r="N24" t="n">
        <v>0</v>
      </c>
      <c r="O24" t="n">
        <v>1</v>
      </c>
      <c r="P24" t="n">
        <v>0</v>
      </c>
      <c r="Q24" t="n">
        <v>2</v>
      </c>
      <c r="R24" s="2" t="inlineStr">
        <is>
          <t>Spillkråka
Revlummer</t>
        </is>
      </c>
      <c r="S24">
        <f>HYPERLINK("https://klasma.github.io/Logging_1440/artfynd/A 8955-2025 artfynd.xlsx", "A 8955-2025")</f>
        <v/>
      </c>
      <c r="T24">
        <f>HYPERLINK("https://klasma.github.io/Logging_1440/kartor/A 8955-2025 karta.png", "A 8955-2025")</f>
        <v/>
      </c>
      <c r="V24">
        <f>HYPERLINK("https://klasma.github.io/Logging_1440/klagomål/A 8955-2025 FSC-klagomål.docx", "A 8955-2025")</f>
        <v/>
      </c>
      <c r="W24">
        <f>HYPERLINK("https://klasma.github.io/Logging_1440/klagomålsmail/A 8955-2025 FSC-klagomål mail.docx", "A 8955-2025")</f>
        <v/>
      </c>
      <c r="X24">
        <f>HYPERLINK("https://klasma.github.io/Logging_1440/tillsyn/A 8955-2025 tillsynsbegäran.docx", "A 8955-2025")</f>
        <v/>
      </c>
      <c r="Y24">
        <f>HYPERLINK("https://klasma.github.io/Logging_1440/tillsynsmail/A 8955-2025 tillsynsbegäran mail.docx", "A 8955-2025")</f>
        <v/>
      </c>
      <c r="Z24">
        <f>HYPERLINK("https://klasma.github.io/Logging_1440/fåglar/A 8955-2025 prioriterade fågelarter.docx", "A 8955-2025")</f>
        <v/>
      </c>
    </row>
    <row r="25" ht="15" customHeight="1">
      <c r="A25" t="inlineStr">
        <is>
          <t>A 2270-2025</t>
        </is>
      </c>
      <c r="B25" s="1" t="n">
        <v>45673.54403935185</v>
      </c>
      <c r="C25" s="1" t="n">
        <v>46077</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45306.35041666667</v>
      </c>
      <c r="C26" s="1" t="n">
        <v>46077</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45735.6765162037</v>
      </c>
      <c r="C27" s="1" t="n">
        <v>46077</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16534-2025</t>
        </is>
      </c>
      <c r="B28" s="1" t="n">
        <v>45751.65315972222</v>
      </c>
      <c r="C28" s="1" t="n">
        <v>46077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16534-2025 artfynd.xlsx", "A 16534-2025")</f>
        <v/>
      </c>
      <c r="T28">
        <f>HYPERLINK("https://klasma.github.io/Logging_1440/kartor/A 16534-2025 karta.png", "A 16534-2025")</f>
        <v/>
      </c>
      <c r="V28">
        <f>HYPERLINK("https://klasma.github.io/Logging_1440/klagomål/A 16534-2025 FSC-klagomål.docx", "A 16534-2025")</f>
        <v/>
      </c>
      <c r="W28">
        <f>HYPERLINK("https://klasma.github.io/Logging_1440/klagomålsmail/A 16534-2025 FSC-klagomål mail.docx", "A 16534-2025")</f>
        <v/>
      </c>
      <c r="X28">
        <f>HYPERLINK("https://klasma.github.io/Logging_1440/tillsyn/A 16534-2025 tillsynsbegäran.docx", "A 16534-2025")</f>
        <v/>
      </c>
      <c r="Y28">
        <f>HYPERLINK("https://klasma.github.io/Logging_1440/tillsynsmail/A 16534-2025 tillsynsbegäran mail.docx", "A 16534-2025")</f>
        <v/>
      </c>
      <c r="Z28">
        <f>HYPERLINK("https://klasma.github.io/Logging_1440/fåglar/A 16534-2025 prioriterade fågelarter.docx", "A 16534-2025")</f>
        <v/>
      </c>
    </row>
    <row r="29" ht="15" customHeight="1">
      <c r="A29" t="inlineStr">
        <is>
          <t>A 20586-2023</t>
        </is>
      </c>
      <c r="B29" s="1" t="n">
        <v>45057</v>
      </c>
      <c r="C29" s="1" t="n">
        <v>46077</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20586-2023 artfynd.xlsx", "A 20586-2023")</f>
        <v/>
      </c>
      <c r="T29">
        <f>HYPERLINK("https://klasma.github.io/Logging_1440/kartor/A 20586-2023 karta.png", "A 20586-2023")</f>
        <v/>
      </c>
      <c r="V29">
        <f>HYPERLINK("https://klasma.github.io/Logging_1440/klagomål/A 20586-2023 FSC-klagomål.docx", "A 20586-2023")</f>
        <v/>
      </c>
      <c r="W29">
        <f>HYPERLINK("https://klasma.github.io/Logging_1440/klagomålsmail/A 20586-2023 FSC-klagomål mail.docx", "A 20586-2023")</f>
        <v/>
      </c>
      <c r="X29">
        <f>HYPERLINK("https://klasma.github.io/Logging_1440/tillsyn/A 20586-2023 tillsynsbegäran.docx", "A 20586-2023")</f>
        <v/>
      </c>
      <c r="Y29">
        <f>HYPERLINK("https://klasma.github.io/Logging_1440/tillsynsmail/A 20586-2023 tillsynsbegäran mail.docx", "A 20586-2023")</f>
        <v/>
      </c>
      <c r="Z29">
        <f>HYPERLINK("https://klasma.github.io/Logging_1440/fåglar/A 20586-2023 prioriterade fågelarter.docx", "A 20586-2023")</f>
        <v/>
      </c>
    </row>
    <row r="30" ht="15" customHeight="1">
      <c r="A30" t="inlineStr">
        <is>
          <t>A 380-2025</t>
        </is>
      </c>
      <c r="B30" s="1" t="n">
        <v>45662.43456018518</v>
      </c>
      <c r="C30" s="1" t="n">
        <v>46077</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26493-2024</t>
        </is>
      </c>
      <c r="B31" s="1" t="n">
        <v>45469</v>
      </c>
      <c r="C31" s="1" t="n">
        <v>46077</v>
      </c>
      <c r="D31" t="inlineStr">
        <is>
          <t>VÄSTRA GÖTALANDS LÄN</t>
        </is>
      </c>
      <c r="E31" t="inlineStr">
        <is>
          <t>ALE</t>
        </is>
      </c>
      <c r="G31" t="n">
        <v>1.6</v>
      </c>
      <c r="H31" t="n">
        <v>1</v>
      </c>
      <c r="I31" t="n">
        <v>0</v>
      </c>
      <c r="J31" t="n">
        <v>0</v>
      </c>
      <c r="K31" t="n">
        <v>0</v>
      </c>
      <c r="L31" t="n">
        <v>0</v>
      </c>
      <c r="M31" t="n">
        <v>0</v>
      </c>
      <c r="N31" t="n">
        <v>0</v>
      </c>
      <c r="O31" t="n">
        <v>0</v>
      </c>
      <c r="P31" t="n">
        <v>0</v>
      </c>
      <c r="Q31" t="n">
        <v>1</v>
      </c>
      <c r="R31" s="2" t="inlineStr">
        <is>
          <t>Grönvit nattviol</t>
        </is>
      </c>
      <c r="S31">
        <f>HYPERLINK("https://klasma.github.io/Logging_1440/artfynd/A 26493-2024 artfynd.xlsx", "A 26493-2024")</f>
        <v/>
      </c>
      <c r="T31">
        <f>HYPERLINK("https://klasma.github.io/Logging_1440/kartor/A 26493-2024 karta.png", "A 26493-2024")</f>
        <v/>
      </c>
      <c r="V31">
        <f>HYPERLINK("https://klasma.github.io/Logging_1440/klagomål/A 26493-2024 FSC-klagomål.docx", "A 26493-2024")</f>
        <v/>
      </c>
      <c r="W31">
        <f>HYPERLINK("https://klasma.github.io/Logging_1440/klagomålsmail/A 26493-2024 FSC-klagomål mail.docx", "A 26493-2024")</f>
        <v/>
      </c>
      <c r="X31">
        <f>HYPERLINK("https://klasma.github.io/Logging_1440/tillsyn/A 26493-2024 tillsynsbegäran.docx", "A 26493-2024")</f>
        <v/>
      </c>
      <c r="Y31">
        <f>HYPERLINK("https://klasma.github.io/Logging_1440/tillsynsmail/A 26493-2024 tillsynsbegäran mail.docx", "A 26493-2024")</f>
        <v/>
      </c>
    </row>
    <row r="32" ht="15" customHeight="1">
      <c r="A32" t="inlineStr">
        <is>
          <t>A 12084-2025</t>
        </is>
      </c>
      <c r="B32" s="1" t="n">
        <v>45728.95387731482</v>
      </c>
      <c r="C32" s="1" t="n">
        <v>46077</v>
      </c>
      <c r="D32" t="inlineStr">
        <is>
          <t>VÄSTRA GÖTALANDS LÄN</t>
        </is>
      </c>
      <c r="E32" t="inlineStr">
        <is>
          <t>ALE</t>
        </is>
      </c>
      <c r="G32" t="n">
        <v>2.4</v>
      </c>
      <c r="H32" t="n">
        <v>1</v>
      </c>
      <c r="I32" t="n">
        <v>0</v>
      </c>
      <c r="J32" t="n">
        <v>1</v>
      </c>
      <c r="K32" t="n">
        <v>0</v>
      </c>
      <c r="L32" t="n">
        <v>0</v>
      </c>
      <c r="M32" t="n">
        <v>0</v>
      </c>
      <c r="N32" t="n">
        <v>0</v>
      </c>
      <c r="O32" t="n">
        <v>1</v>
      </c>
      <c r="P32" t="n">
        <v>0</v>
      </c>
      <c r="Q32" t="n">
        <v>1</v>
      </c>
      <c r="R32" s="2" t="inlineStr">
        <is>
          <t>Spillkråka</t>
        </is>
      </c>
      <c r="S32">
        <f>HYPERLINK("https://klasma.github.io/Logging_1440/artfynd/A 12084-2025 artfynd.xlsx", "A 12084-2025")</f>
        <v/>
      </c>
      <c r="T32">
        <f>HYPERLINK("https://klasma.github.io/Logging_1440/kartor/A 12084-2025 karta.png", "A 12084-2025")</f>
        <v/>
      </c>
      <c r="V32">
        <f>HYPERLINK("https://klasma.github.io/Logging_1440/klagomål/A 12084-2025 FSC-klagomål.docx", "A 12084-2025")</f>
        <v/>
      </c>
      <c r="W32">
        <f>HYPERLINK("https://klasma.github.io/Logging_1440/klagomålsmail/A 12084-2025 FSC-klagomål mail.docx", "A 12084-2025")</f>
        <v/>
      </c>
      <c r="X32">
        <f>HYPERLINK("https://klasma.github.io/Logging_1440/tillsyn/A 12084-2025 tillsynsbegäran.docx", "A 12084-2025")</f>
        <v/>
      </c>
      <c r="Y32">
        <f>HYPERLINK("https://klasma.github.io/Logging_1440/tillsynsmail/A 12084-2025 tillsynsbegäran mail.docx", "A 12084-2025")</f>
        <v/>
      </c>
      <c r="Z32">
        <f>HYPERLINK("https://klasma.github.io/Logging_1440/fåglar/A 12084-2025 prioriterade fågelarter.docx", "A 12084-2025")</f>
        <v/>
      </c>
    </row>
    <row r="33" ht="15" customHeight="1">
      <c r="A33" t="inlineStr">
        <is>
          <t>A 12982-2024</t>
        </is>
      </c>
      <c r="B33" s="1" t="n">
        <v>45385.53569444444</v>
      </c>
      <c r="C33" s="1" t="n">
        <v>46077</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47330-2025</t>
        </is>
      </c>
      <c r="B34" s="1" t="n">
        <v>45930.56170138889</v>
      </c>
      <c r="C34" s="1" t="n">
        <v>46077</v>
      </c>
      <c r="D34" t="inlineStr">
        <is>
          <t>VÄSTRA GÖTALANDS LÄN</t>
        </is>
      </c>
      <c r="E34" t="inlineStr">
        <is>
          <t>ALE</t>
        </is>
      </c>
      <c r="G34" t="n">
        <v>3.7</v>
      </c>
      <c r="H34" t="n">
        <v>1</v>
      </c>
      <c r="I34" t="n">
        <v>0</v>
      </c>
      <c r="J34" t="n">
        <v>1</v>
      </c>
      <c r="K34" t="n">
        <v>0</v>
      </c>
      <c r="L34" t="n">
        <v>0</v>
      </c>
      <c r="M34" t="n">
        <v>0</v>
      </c>
      <c r="N34" t="n">
        <v>0</v>
      </c>
      <c r="O34" t="n">
        <v>1</v>
      </c>
      <c r="P34" t="n">
        <v>0</v>
      </c>
      <c r="Q34" t="n">
        <v>1</v>
      </c>
      <c r="R34" s="2" t="inlineStr">
        <is>
          <t>Spillkråka</t>
        </is>
      </c>
      <c r="S34">
        <f>HYPERLINK("https://klasma.github.io/Logging_1440/artfynd/A 47330-2025 artfynd.xlsx", "A 47330-2025")</f>
        <v/>
      </c>
      <c r="T34">
        <f>HYPERLINK("https://klasma.github.io/Logging_1440/kartor/A 47330-2025 karta.png", "A 47330-2025")</f>
        <v/>
      </c>
      <c r="V34">
        <f>HYPERLINK("https://klasma.github.io/Logging_1440/klagomål/A 47330-2025 FSC-klagomål.docx", "A 47330-2025")</f>
        <v/>
      </c>
      <c r="W34">
        <f>HYPERLINK("https://klasma.github.io/Logging_1440/klagomålsmail/A 47330-2025 FSC-klagomål mail.docx", "A 47330-2025")</f>
        <v/>
      </c>
      <c r="X34">
        <f>HYPERLINK("https://klasma.github.io/Logging_1440/tillsyn/A 47330-2025 tillsynsbegäran.docx", "A 47330-2025")</f>
        <v/>
      </c>
      <c r="Y34">
        <f>HYPERLINK("https://klasma.github.io/Logging_1440/tillsynsmail/A 47330-2025 tillsynsbegäran mail.docx", "A 47330-2025")</f>
        <v/>
      </c>
      <c r="Z34">
        <f>HYPERLINK("https://klasma.github.io/Logging_1440/fåglar/A 47330-2025 prioriterade fågelarter.docx", "A 47330-2025")</f>
        <v/>
      </c>
    </row>
    <row r="35" ht="15" customHeight="1">
      <c r="A35" t="inlineStr">
        <is>
          <t>A 58412-2025</t>
        </is>
      </c>
      <c r="B35" s="1" t="n">
        <v>45985.57564814815</v>
      </c>
      <c r="C35" s="1" t="n">
        <v>46077</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62524-2025</t>
        </is>
      </c>
      <c r="B36" s="1" t="n">
        <v>46007.6247337963</v>
      </c>
      <c r="C36" s="1" t="n">
        <v>46077</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26677-2025</t>
        </is>
      </c>
      <c r="B37" s="1" t="n">
        <v>45810.42446759259</v>
      </c>
      <c r="C37" s="1" t="n">
        <v>46077</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13902-2025</t>
        </is>
      </c>
      <c r="B38" s="1" t="n">
        <v>45737.63446759259</v>
      </c>
      <c r="C38" s="1" t="n">
        <v>46077</v>
      </c>
      <c r="D38" t="inlineStr">
        <is>
          <t>VÄSTRA GÖTALANDS LÄN</t>
        </is>
      </c>
      <c r="E38" t="inlineStr">
        <is>
          <t>ALE</t>
        </is>
      </c>
      <c r="G38" t="n">
        <v>1.4</v>
      </c>
      <c r="H38" t="n">
        <v>1</v>
      </c>
      <c r="I38" t="n">
        <v>0</v>
      </c>
      <c r="J38" t="n">
        <v>1</v>
      </c>
      <c r="K38" t="n">
        <v>0</v>
      </c>
      <c r="L38" t="n">
        <v>0</v>
      </c>
      <c r="M38" t="n">
        <v>0</v>
      </c>
      <c r="N38" t="n">
        <v>0</v>
      </c>
      <c r="O38" t="n">
        <v>1</v>
      </c>
      <c r="P38" t="n">
        <v>0</v>
      </c>
      <c r="Q38" t="n">
        <v>1</v>
      </c>
      <c r="R38" s="2" t="inlineStr">
        <is>
          <t>Svartvit flugsnappare</t>
        </is>
      </c>
      <c r="S38">
        <f>HYPERLINK("https://klasma.github.io/Logging_1440/artfynd/A 13902-2025 artfynd.xlsx", "A 13902-2025")</f>
        <v/>
      </c>
      <c r="T38">
        <f>HYPERLINK("https://klasma.github.io/Logging_1440/kartor/A 13902-2025 karta.png", "A 13902-2025")</f>
        <v/>
      </c>
      <c r="V38">
        <f>HYPERLINK("https://klasma.github.io/Logging_1440/klagomål/A 13902-2025 FSC-klagomål.docx", "A 13902-2025")</f>
        <v/>
      </c>
      <c r="W38">
        <f>HYPERLINK("https://klasma.github.io/Logging_1440/klagomålsmail/A 13902-2025 FSC-klagomål mail.docx", "A 13902-2025")</f>
        <v/>
      </c>
      <c r="X38">
        <f>HYPERLINK("https://klasma.github.io/Logging_1440/tillsyn/A 13902-2025 tillsynsbegäran.docx", "A 13902-2025")</f>
        <v/>
      </c>
      <c r="Y38">
        <f>HYPERLINK("https://klasma.github.io/Logging_1440/tillsynsmail/A 13902-2025 tillsynsbegäran mail.docx", "A 13902-2025")</f>
        <v/>
      </c>
      <c r="Z38">
        <f>HYPERLINK("https://klasma.github.io/Logging_1440/fåglar/A 13902-2025 prioriterade fågelarter.docx", "A 13902-2025")</f>
        <v/>
      </c>
    </row>
    <row r="39" ht="15" customHeight="1">
      <c r="A39" t="inlineStr">
        <is>
          <t>A 21281-2021</t>
        </is>
      </c>
      <c r="B39" s="1" t="n">
        <v>44320.61850694445</v>
      </c>
      <c r="C39" s="1" t="n">
        <v>46077</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46077</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46077</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46077</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46077</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46077</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46077</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46077</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46077</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46077</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46077</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46077</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46077</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46077</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46077</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46077</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46077</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46077</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46077</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46077</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14493-2024</t>
        </is>
      </c>
      <c r="B59" s="1" t="n">
        <v>45394.58491898148</v>
      </c>
      <c r="C59" s="1" t="n">
        <v>46077</v>
      </c>
      <c r="D59" t="inlineStr">
        <is>
          <t>VÄSTRA GÖTALANDS LÄN</t>
        </is>
      </c>
      <c r="E59" t="inlineStr">
        <is>
          <t>ALE</t>
        </is>
      </c>
      <c r="G59" t="n">
        <v>2.3</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46077</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46077</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24642-2022</t>
        </is>
      </c>
      <c r="B62" s="1" t="n">
        <v>44727.59578703704</v>
      </c>
      <c r="C62" s="1" t="n">
        <v>46077</v>
      </c>
      <c r="D62" t="inlineStr">
        <is>
          <t>VÄSTRA GÖTALANDS LÄN</t>
        </is>
      </c>
      <c r="E62" t="inlineStr">
        <is>
          <t>ALE</t>
        </is>
      </c>
      <c r="G62" t="n">
        <v>10</v>
      </c>
      <c r="H62" t="n">
        <v>0</v>
      </c>
      <c r="I62" t="n">
        <v>0</v>
      </c>
      <c r="J62" t="n">
        <v>0</v>
      </c>
      <c r="K62" t="n">
        <v>0</v>
      </c>
      <c r="L62" t="n">
        <v>0</v>
      </c>
      <c r="M62" t="n">
        <v>0</v>
      </c>
      <c r="N62" t="n">
        <v>0</v>
      </c>
      <c r="O62" t="n">
        <v>0</v>
      </c>
      <c r="P62" t="n">
        <v>0</v>
      </c>
      <c r="Q62" t="n">
        <v>0</v>
      </c>
      <c r="R62" s="2" t="inlineStr"/>
    </row>
    <row r="63" ht="15" customHeight="1">
      <c r="A63" t="inlineStr">
        <is>
          <t>A 36763-2022</t>
        </is>
      </c>
      <c r="B63" s="1" t="n">
        <v>44805</v>
      </c>
      <c r="C63" s="1" t="n">
        <v>46077</v>
      </c>
      <c r="D63" t="inlineStr">
        <is>
          <t>VÄSTRA GÖTALANDS LÄN</t>
        </is>
      </c>
      <c r="E63" t="inlineStr">
        <is>
          <t>ALE</t>
        </is>
      </c>
      <c r="G63" t="n">
        <v>6.1</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46077</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35959-2022</t>
        </is>
      </c>
      <c r="B65" s="1" t="n">
        <v>44802.57002314815</v>
      </c>
      <c r="C65" s="1" t="n">
        <v>46077</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200-2022</t>
        </is>
      </c>
      <c r="B66" s="1" t="n">
        <v>44564</v>
      </c>
      <c r="C66" s="1" t="n">
        <v>46077</v>
      </c>
      <c r="D66" t="inlineStr">
        <is>
          <t>VÄSTRA GÖTALANDS LÄN</t>
        </is>
      </c>
      <c r="E66" t="inlineStr">
        <is>
          <t>ALE</t>
        </is>
      </c>
      <c r="G66" t="n">
        <v>6.8</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46077</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17044-2025</t>
        </is>
      </c>
      <c r="B68" s="1" t="n">
        <v>45755.58891203703</v>
      </c>
      <c r="C68" s="1" t="n">
        <v>46077</v>
      </c>
      <c r="D68" t="inlineStr">
        <is>
          <t>VÄSTRA GÖTALANDS LÄN</t>
        </is>
      </c>
      <c r="E68" t="inlineStr">
        <is>
          <t>ALE</t>
        </is>
      </c>
      <c r="G68" t="n">
        <v>1.5</v>
      </c>
      <c r="H68" t="n">
        <v>0</v>
      </c>
      <c r="I68" t="n">
        <v>0</v>
      </c>
      <c r="J68" t="n">
        <v>0</v>
      </c>
      <c r="K68" t="n">
        <v>0</v>
      </c>
      <c r="L68" t="n">
        <v>0</v>
      </c>
      <c r="M68" t="n">
        <v>0</v>
      </c>
      <c r="N68" t="n">
        <v>0</v>
      </c>
      <c r="O68" t="n">
        <v>0</v>
      </c>
      <c r="P68" t="n">
        <v>0</v>
      </c>
      <c r="Q68" t="n">
        <v>0</v>
      </c>
      <c r="R68" s="2" t="inlineStr"/>
    </row>
    <row r="69" ht="15" customHeight="1">
      <c r="A69" t="inlineStr">
        <is>
          <t>A 48257-2022</t>
        </is>
      </c>
      <c r="B69" s="1" t="n">
        <v>44858.47591435185</v>
      </c>
      <c r="C69" s="1" t="n">
        <v>46077</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18999-2021</t>
        </is>
      </c>
      <c r="B70" s="1" t="n">
        <v>44308</v>
      </c>
      <c r="C70" s="1" t="n">
        <v>46077</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1687-2024</t>
        </is>
      </c>
      <c r="B71" s="1" t="n">
        <v>45306</v>
      </c>
      <c r="C71" s="1" t="n">
        <v>46077</v>
      </c>
      <c r="D71" t="inlineStr">
        <is>
          <t>VÄSTRA GÖTALANDS LÄN</t>
        </is>
      </c>
      <c r="E71" t="inlineStr">
        <is>
          <t>ALE</t>
        </is>
      </c>
      <c r="G71" t="n">
        <v>3.4</v>
      </c>
      <c r="H71" t="n">
        <v>0</v>
      </c>
      <c r="I71" t="n">
        <v>0</v>
      </c>
      <c r="J71" t="n">
        <v>0</v>
      </c>
      <c r="K71" t="n">
        <v>0</v>
      </c>
      <c r="L71" t="n">
        <v>0</v>
      </c>
      <c r="M71" t="n">
        <v>0</v>
      </c>
      <c r="N71" t="n">
        <v>0</v>
      </c>
      <c r="O71" t="n">
        <v>0</v>
      </c>
      <c r="P71" t="n">
        <v>0</v>
      </c>
      <c r="Q71" t="n">
        <v>0</v>
      </c>
      <c r="R71" s="2" t="inlineStr"/>
    </row>
    <row r="72" ht="15" customHeight="1">
      <c r="A72" t="inlineStr">
        <is>
          <t>A 50451-2024</t>
        </is>
      </c>
      <c r="B72" s="1" t="n">
        <v>45601.44248842593</v>
      </c>
      <c r="C72" s="1" t="n">
        <v>46077</v>
      </c>
      <c r="D72" t="inlineStr">
        <is>
          <t>VÄSTRA GÖTALANDS LÄN</t>
        </is>
      </c>
      <c r="E72" t="inlineStr">
        <is>
          <t>ALE</t>
        </is>
      </c>
      <c r="G72" t="n">
        <v>2.9</v>
      </c>
      <c r="H72" t="n">
        <v>0</v>
      </c>
      <c r="I72" t="n">
        <v>0</v>
      </c>
      <c r="J72" t="n">
        <v>0</v>
      </c>
      <c r="K72" t="n">
        <v>0</v>
      </c>
      <c r="L72" t="n">
        <v>0</v>
      </c>
      <c r="M72" t="n">
        <v>0</v>
      </c>
      <c r="N72" t="n">
        <v>0</v>
      </c>
      <c r="O72" t="n">
        <v>0</v>
      </c>
      <c r="P72" t="n">
        <v>0</v>
      </c>
      <c r="Q72" t="n">
        <v>0</v>
      </c>
      <c r="R72" s="2" t="inlineStr"/>
    </row>
    <row r="73" ht="15" customHeight="1">
      <c r="A73" t="inlineStr">
        <is>
          <t>A 49680-2024</t>
        </is>
      </c>
      <c r="B73" s="1" t="n">
        <v>45596.66880787037</v>
      </c>
      <c r="C73" s="1" t="n">
        <v>46077</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26083-2023</t>
        </is>
      </c>
      <c r="B74" s="1" t="n">
        <v>45091</v>
      </c>
      <c r="C74" s="1" t="n">
        <v>46077</v>
      </c>
      <c r="D74" t="inlineStr">
        <is>
          <t>VÄSTRA GÖTALANDS LÄN</t>
        </is>
      </c>
      <c r="E74" t="inlineStr">
        <is>
          <t>ALE</t>
        </is>
      </c>
      <c r="G74" t="n">
        <v>1.6</v>
      </c>
      <c r="H74" t="n">
        <v>0</v>
      </c>
      <c r="I74" t="n">
        <v>0</v>
      </c>
      <c r="J74" t="n">
        <v>0</v>
      </c>
      <c r="K74" t="n">
        <v>0</v>
      </c>
      <c r="L74" t="n">
        <v>0</v>
      </c>
      <c r="M74" t="n">
        <v>0</v>
      </c>
      <c r="N74" t="n">
        <v>0</v>
      </c>
      <c r="O74" t="n">
        <v>0</v>
      </c>
      <c r="P74" t="n">
        <v>0</v>
      </c>
      <c r="Q74" t="n">
        <v>0</v>
      </c>
      <c r="R74" s="2" t="inlineStr"/>
    </row>
    <row r="75" ht="15" customHeight="1">
      <c r="A75" t="inlineStr">
        <is>
          <t>A 41598-2022</t>
        </is>
      </c>
      <c r="B75" s="1" t="n">
        <v>44827.4609837963</v>
      </c>
      <c r="C75" s="1" t="n">
        <v>46077</v>
      </c>
      <c r="D75" t="inlineStr">
        <is>
          <t>VÄSTRA GÖTALANDS LÄN</t>
        </is>
      </c>
      <c r="E75" t="inlineStr">
        <is>
          <t>ALE</t>
        </is>
      </c>
      <c r="G75" t="n">
        <v>2</v>
      </c>
      <c r="H75" t="n">
        <v>0</v>
      </c>
      <c r="I75" t="n">
        <v>0</v>
      </c>
      <c r="J75" t="n">
        <v>0</v>
      </c>
      <c r="K75" t="n">
        <v>0</v>
      </c>
      <c r="L75" t="n">
        <v>0</v>
      </c>
      <c r="M75" t="n">
        <v>0</v>
      </c>
      <c r="N75" t="n">
        <v>0</v>
      </c>
      <c r="O75" t="n">
        <v>0</v>
      </c>
      <c r="P75" t="n">
        <v>0</v>
      </c>
      <c r="Q75" t="n">
        <v>0</v>
      </c>
      <c r="R75" s="2" t="inlineStr"/>
    </row>
    <row r="76" ht="15" customHeight="1">
      <c r="A76" t="inlineStr">
        <is>
          <t>A 14458-2024</t>
        </is>
      </c>
      <c r="B76" s="1" t="n">
        <v>45394</v>
      </c>
      <c r="C76" s="1" t="n">
        <v>46077</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56493-2021</t>
        </is>
      </c>
      <c r="B77" s="1" t="n">
        <v>44480.57173611111</v>
      </c>
      <c r="C77" s="1" t="n">
        <v>46077</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46077</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47087-2023</t>
        </is>
      </c>
      <c r="B79" s="1" t="n">
        <v>45196</v>
      </c>
      <c r="C79" s="1" t="n">
        <v>46077</v>
      </c>
      <c r="D79" t="inlineStr">
        <is>
          <t>VÄSTRA GÖTALANDS LÄN</t>
        </is>
      </c>
      <c r="E79" t="inlineStr">
        <is>
          <t>ALE</t>
        </is>
      </c>
      <c r="G79" t="n">
        <v>1.6</v>
      </c>
      <c r="H79" t="n">
        <v>0</v>
      </c>
      <c r="I79" t="n">
        <v>0</v>
      </c>
      <c r="J79" t="n">
        <v>0</v>
      </c>
      <c r="K79" t="n">
        <v>0</v>
      </c>
      <c r="L79" t="n">
        <v>0</v>
      </c>
      <c r="M79" t="n">
        <v>0</v>
      </c>
      <c r="N79" t="n">
        <v>0</v>
      </c>
      <c r="O79" t="n">
        <v>0</v>
      </c>
      <c r="P79" t="n">
        <v>0</v>
      </c>
      <c r="Q79" t="n">
        <v>0</v>
      </c>
      <c r="R79" s="2" t="inlineStr"/>
    </row>
    <row r="80" ht="15" customHeight="1">
      <c r="A80" t="inlineStr">
        <is>
          <t>A 4642-2024</t>
        </is>
      </c>
      <c r="B80" s="1" t="n">
        <v>45328.43502314815</v>
      </c>
      <c r="C80" s="1" t="n">
        <v>46077</v>
      </c>
      <c r="D80" t="inlineStr">
        <is>
          <t>VÄSTRA GÖTALANDS LÄN</t>
        </is>
      </c>
      <c r="E80" t="inlineStr">
        <is>
          <t>ALE</t>
        </is>
      </c>
      <c r="G80" t="n">
        <v>7.1</v>
      </c>
      <c r="H80" t="n">
        <v>0</v>
      </c>
      <c r="I80" t="n">
        <v>0</v>
      </c>
      <c r="J80" t="n">
        <v>0</v>
      </c>
      <c r="K80" t="n">
        <v>0</v>
      </c>
      <c r="L80" t="n">
        <v>0</v>
      </c>
      <c r="M80" t="n">
        <v>0</v>
      </c>
      <c r="N80" t="n">
        <v>0</v>
      </c>
      <c r="O80" t="n">
        <v>0</v>
      </c>
      <c r="P80" t="n">
        <v>0</v>
      </c>
      <c r="Q80" t="n">
        <v>0</v>
      </c>
      <c r="R80" s="2" t="inlineStr"/>
    </row>
    <row r="81" ht="15" customHeight="1">
      <c r="A81" t="inlineStr">
        <is>
          <t>A 5875-2023</t>
        </is>
      </c>
      <c r="B81" s="1" t="n">
        <v>44963</v>
      </c>
      <c r="C81" s="1" t="n">
        <v>46077</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3407-2023</t>
        </is>
      </c>
      <c r="B82" s="1" t="n">
        <v>44949.54909722223</v>
      </c>
      <c r="C82" s="1" t="n">
        <v>46077</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7807-2023</t>
        </is>
      </c>
      <c r="B83" s="1" t="n">
        <v>44973</v>
      </c>
      <c r="C83" s="1" t="n">
        <v>46077</v>
      </c>
      <c r="D83" t="inlineStr">
        <is>
          <t>VÄSTRA GÖTALANDS LÄN</t>
        </is>
      </c>
      <c r="E83" t="inlineStr">
        <is>
          <t>ALE</t>
        </is>
      </c>
      <c r="G83" t="n">
        <v>10.5</v>
      </c>
      <c r="H83" t="n">
        <v>0</v>
      </c>
      <c r="I83" t="n">
        <v>0</v>
      </c>
      <c r="J83" t="n">
        <v>0</v>
      </c>
      <c r="K83" t="n">
        <v>0</v>
      </c>
      <c r="L83" t="n">
        <v>0</v>
      </c>
      <c r="M83" t="n">
        <v>0</v>
      </c>
      <c r="N83" t="n">
        <v>0</v>
      </c>
      <c r="O83" t="n">
        <v>0</v>
      </c>
      <c r="P83" t="n">
        <v>0</v>
      </c>
      <c r="Q83" t="n">
        <v>0</v>
      </c>
      <c r="R83" s="2" t="inlineStr"/>
    </row>
    <row r="84" ht="15" customHeight="1">
      <c r="A84" t="inlineStr">
        <is>
          <t>A 55488-2022</t>
        </is>
      </c>
      <c r="B84" s="1" t="n">
        <v>44887</v>
      </c>
      <c r="C84" s="1" t="n">
        <v>46077</v>
      </c>
      <c r="D84" t="inlineStr">
        <is>
          <t>VÄSTRA GÖTALANDS LÄN</t>
        </is>
      </c>
      <c r="E84" t="inlineStr">
        <is>
          <t>ALE</t>
        </is>
      </c>
      <c r="G84" t="n">
        <v>2.5</v>
      </c>
      <c r="H84" t="n">
        <v>0</v>
      </c>
      <c r="I84" t="n">
        <v>0</v>
      </c>
      <c r="J84" t="n">
        <v>0</v>
      </c>
      <c r="K84" t="n">
        <v>0</v>
      </c>
      <c r="L84" t="n">
        <v>0</v>
      </c>
      <c r="M84" t="n">
        <v>0</v>
      </c>
      <c r="N84" t="n">
        <v>0</v>
      </c>
      <c r="O84" t="n">
        <v>0</v>
      </c>
      <c r="P84" t="n">
        <v>0</v>
      </c>
      <c r="Q84" t="n">
        <v>0</v>
      </c>
      <c r="R84" s="2" t="inlineStr"/>
    </row>
    <row r="85" ht="15" customHeight="1">
      <c r="A85" t="inlineStr">
        <is>
          <t>A 14731-2022</t>
        </is>
      </c>
      <c r="B85" s="1" t="n">
        <v>44656</v>
      </c>
      <c r="C85" s="1" t="n">
        <v>46077</v>
      </c>
      <c r="D85" t="inlineStr">
        <is>
          <t>VÄSTRA GÖTALANDS LÄN</t>
        </is>
      </c>
      <c r="E85" t="inlineStr">
        <is>
          <t>ALE</t>
        </is>
      </c>
      <c r="G85" t="n">
        <v>1.8</v>
      </c>
      <c r="H85" t="n">
        <v>0</v>
      </c>
      <c r="I85" t="n">
        <v>0</v>
      </c>
      <c r="J85" t="n">
        <v>0</v>
      </c>
      <c r="K85" t="n">
        <v>0</v>
      </c>
      <c r="L85" t="n">
        <v>0</v>
      </c>
      <c r="M85" t="n">
        <v>0</v>
      </c>
      <c r="N85" t="n">
        <v>0</v>
      </c>
      <c r="O85" t="n">
        <v>0</v>
      </c>
      <c r="P85" t="n">
        <v>0</v>
      </c>
      <c r="Q85" t="n">
        <v>0</v>
      </c>
      <c r="R85" s="2" t="inlineStr"/>
    </row>
    <row r="86" ht="15" customHeight="1">
      <c r="A86" t="inlineStr">
        <is>
          <t>A 1822-2024</t>
        </is>
      </c>
      <c r="B86" s="1" t="n">
        <v>45307.6205787037</v>
      </c>
      <c r="C86" s="1" t="n">
        <v>46077</v>
      </c>
      <c r="D86" t="inlineStr">
        <is>
          <t>VÄSTRA GÖTALANDS LÄN</t>
        </is>
      </c>
      <c r="E86" t="inlineStr">
        <is>
          <t>ALE</t>
        </is>
      </c>
      <c r="G86" t="n">
        <v>2</v>
      </c>
      <c r="H86" t="n">
        <v>0</v>
      </c>
      <c r="I86" t="n">
        <v>0</v>
      </c>
      <c r="J86" t="n">
        <v>0</v>
      </c>
      <c r="K86" t="n">
        <v>0</v>
      </c>
      <c r="L86" t="n">
        <v>0</v>
      </c>
      <c r="M86" t="n">
        <v>0</v>
      </c>
      <c r="N86" t="n">
        <v>0</v>
      </c>
      <c r="O86" t="n">
        <v>0</v>
      </c>
      <c r="P86" t="n">
        <v>0</v>
      </c>
      <c r="Q86" t="n">
        <v>0</v>
      </c>
      <c r="R86" s="2" t="inlineStr"/>
    </row>
    <row r="87" ht="15" customHeight="1">
      <c r="A87" t="inlineStr">
        <is>
          <t>A 42446-2023</t>
        </is>
      </c>
      <c r="B87" s="1" t="n">
        <v>45180</v>
      </c>
      <c r="C87" s="1" t="n">
        <v>46077</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15241-2025</t>
        </is>
      </c>
      <c r="B88" s="1" t="n">
        <v>45744.61255787037</v>
      </c>
      <c r="C88" s="1" t="n">
        <v>46077</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3520-2022</t>
        </is>
      </c>
      <c r="B89" s="1" t="n">
        <v>44585.72818287037</v>
      </c>
      <c r="C89" s="1" t="n">
        <v>46077</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67160-2021</t>
        </is>
      </c>
      <c r="B90" s="1" t="n">
        <v>44523</v>
      </c>
      <c r="C90" s="1" t="n">
        <v>46077</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16344-2023</t>
        </is>
      </c>
      <c r="B91" s="1" t="n">
        <v>45028</v>
      </c>
      <c r="C91" s="1" t="n">
        <v>46077</v>
      </c>
      <c r="D91" t="inlineStr">
        <is>
          <t>VÄSTRA GÖTALANDS LÄN</t>
        </is>
      </c>
      <c r="E91" t="inlineStr">
        <is>
          <t>ALE</t>
        </is>
      </c>
      <c r="G91" t="n">
        <v>6.6</v>
      </c>
      <c r="H91" t="n">
        <v>0</v>
      </c>
      <c r="I91" t="n">
        <v>0</v>
      </c>
      <c r="J91" t="n">
        <v>0</v>
      </c>
      <c r="K91" t="n">
        <v>0</v>
      </c>
      <c r="L91" t="n">
        <v>0</v>
      </c>
      <c r="M91" t="n">
        <v>0</v>
      </c>
      <c r="N91" t="n">
        <v>0</v>
      </c>
      <c r="O91" t="n">
        <v>0</v>
      </c>
      <c r="P91" t="n">
        <v>0</v>
      </c>
      <c r="Q91" t="n">
        <v>0</v>
      </c>
      <c r="R91" s="2" t="inlineStr"/>
    </row>
    <row r="92" ht="15" customHeight="1">
      <c r="A92" t="inlineStr">
        <is>
          <t>A 32762-2023</t>
        </is>
      </c>
      <c r="B92" s="1" t="n">
        <v>45123.46649305556</v>
      </c>
      <c r="C92" s="1" t="n">
        <v>46077</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51564-2023</t>
        </is>
      </c>
      <c r="B93" s="1" t="n">
        <v>45222</v>
      </c>
      <c r="C93" s="1" t="n">
        <v>46077</v>
      </c>
      <c r="D93" t="inlineStr">
        <is>
          <t>VÄSTRA GÖTALANDS LÄN</t>
        </is>
      </c>
      <c r="E93" t="inlineStr">
        <is>
          <t>ALE</t>
        </is>
      </c>
      <c r="G93" t="n">
        <v>1.5</v>
      </c>
      <c r="H93" t="n">
        <v>0</v>
      </c>
      <c r="I93" t="n">
        <v>0</v>
      </c>
      <c r="J93" t="n">
        <v>0</v>
      </c>
      <c r="K93" t="n">
        <v>0</v>
      </c>
      <c r="L93" t="n">
        <v>0</v>
      </c>
      <c r="M93" t="n">
        <v>0</v>
      </c>
      <c r="N93" t="n">
        <v>0</v>
      </c>
      <c r="O93" t="n">
        <v>0</v>
      </c>
      <c r="P93" t="n">
        <v>0</v>
      </c>
      <c r="Q93" t="n">
        <v>0</v>
      </c>
      <c r="R93" s="2" t="inlineStr"/>
    </row>
    <row r="94" ht="15" customHeight="1">
      <c r="A94" t="inlineStr">
        <is>
          <t>A 33237-2024</t>
        </is>
      </c>
      <c r="B94" s="1" t="n">
        <v>45518.59173611111</v>
      </c>
      <c r="C94" s="1" t="n">
        <v>46077</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44429-2023</t>
        </is>
      </c>
      <c r="B95" s="1" t="n">
        <v>45189.35101851852</v>
      </c>
      <c r="C95" s="1" t="n">
        <v>46077</v>
      </c>
      <c r="D95" t="inlineStr">
        <is>
          <t>VÄSTRA GÖTALANDS LÄN</t>
        </is>
      </c>
      <c r="E95" t="inlineStr">
        <is>
          <t>ALE</t>
        </is>
      </c>
      <c r="G95" t="n">
        <v>0.1</v>
      </c>
      <c r="H95" t="n">
        <v>0</v>
      </c>
      <c r="I95" t="n">
        <v>0</v>
      </c>
      <c r="J95" t="n">
        <v>0</v>
      </c>
      <c r="K95" t="n">
        <v>0</v>
      </c>
      <c r="L95" t="n">
        <v>0</v>
      </c>
      <c r="M95" t="n">
        <v>0</v>
      </c>
      <c r="N95" t="n">
        <v>0</v>
      </c>
      <c r="O95" t="n">
        <v>0</v>
      </c>
      <c r="P95" t="n">
        <v>0</v>
      </c>
      <c r="Q95" t="n">
        <v>0</v>
      </c>
      <c r="R95" s="2" t="inlineStr"/>
    </row>
    <row r="96" ht="15" customHeight="1">
      <c r="A96" t="inlineStr">
        <is>
          <t>A 7892-2024</t>
        </is>
      </c>
      <c r="B96" s="1" t="n">
        <v>45350.40921296296</v>
      </c>
      <c r="C96" s="1" t="n">
        <v>46077</v>
      </c>
      <c r="D96" t="inlineStr">
        <is>
          <t>VÄSTRA GÖTALANDS LÄN</t>
        </is>
      </c>
      <c r="E96" t="inlineStr">
        <is>
          <t>ALE</t>
        </is>
      </c>
      <c r="G96" t="n">
        <v>3.6</v>
      </c>
      <c r="H96" t="n">
        <v>0</v>
      </c>
      <c r="I96" t="n">
        <v>0</v>
      </c>
      <c r="J96" t="n">
        <v>0</v>
      </c>
      <c r="K96" t="n">
        <v>0</v>
      </c>
      <c r="L96" t="n">
        <v>0</v>
      </c>
      <c r="M96" t="n">
        <v>0</v>
      </c>
      <c r="N96" t="n">
        <v>0</v>
      </c>
      <c r="O96" t="n">
        <v>0</v>
      </c>
      <c r="P96" t="n">
        <v>0</v>
      </c>
      <c r="Q96" t="n">
        <v>0</v>
      </c>
      <c r="R96" s="2" t="inlineStr"/>
    </row>
    <row r="97" ht="15" customHeight="1">
      <c r="A97" t="inlineStr">
        <is>
          <t>A 51164-2024</t>
        </is>
      </c>
      <c r="B97" s="1" t="n">
        <v>45603.5830787037</v>
      </c>
      <c r="C97" s="1" t="n">
        <v>46077</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4444-2024</t>
        </is>
      </c>
      <c r="B98" s="1" t="n">
        <v>45327</v>
      </c>
      <c r="C98" s="1" t="n">
        <v>46077</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6947-2024</t>
        </is>
      </c>
      <c r="B99" s="1" t="n">
        <v>45343</v>
      </c>
      <c r="C99" s="1" t="n">
        <v>46077</v>
      </c>
      <c r="D99" t="inlineStr">
        <is>
          <t>VÄSTRA GÖTALANDS LÄN</t>
        </is>
      </c>
      <c r="E99" t="inlineStr">
        <is>
          <t>ALE</t>
        </is>
      </c>
      <c r="G99" t="n">
        <v>3.7</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46077</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40074-2025</t>
        </is>
      </c>
      <c r="B101" s="1" t="n">
        <v>45894.44685185186</v>
      </c>
      <c r="C101" s="1" t="n">
        <v>46077</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34153-2024</t>
        </is>
      </c>
      <c r="B102" s="1" t="n">
        <v>45524.38400462963</v>
      </c>
      <c r="C102" s="1" t="n">
        <v>46077</v>
      </c>
      <c r="D102" t="inlineStr">
        <is>
          <t>VÄSTRA GÖTALANDS LÄN</t>
        </is>
      </c>
      <c r="E102" t="inlineStr">
        <is>
          <t>ALE</t>
        </is>
      </c>
      <c r="G102" t="n">
        <v>0.8</v>
      </c>
      <c r="H102" t="n">
        <v>0</v>
      </c>
      <c r="I102" t="n">
        <v>0</v>
      </c>
      <c r="J102" t="n">
        <v>0</v>
      </c>
      <c r="K102" t="n">
        <v>0</v>
      </c>
      <c r="L102" t="n">
        <v>0</v>
      </c>
      <c r="M102" t="n">
        <v>0</v>
      </c>
      <c r="N102" t="n">
        <v>0</v>
      </c>
      <c r="O102" t="n">
        <v>0</v>
      </c>
      <c r="P102" t="n">
        <v>0</v>
      </c>
      <c r="Q102" t="n">
        <v>0</v>
      </c>
      <c r="R102" s="2" t="inlineStr"/>
    </row>
    <row r="103" ht="15" customHeight="1">
      <c r="A103" t="inlineStr">
        <is>
          <t>A 36403-2024</t>
        </is>
      </c>
      <c r="B103" s="1" t="n">
        <v>45535.69445601852</v>
      </c>
      <c r="C103" s="1" t="n">
        <v>46077</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41309-2024</t>
        </is>
      </c>
      <c r="B104" s="1" t="n">
        <v>45559</v>
      </c>
      <c r="C104" s="1" t="n">
        <v>46077</v>
      </c>
      <c r="D104" t="inlineStr">
        <is>
          <t>VÄSTRA GÖTALANDS LÄN</t>
        </is>
      </c>
      <c r="E104" t="inlineStr">
        <is>
          <t>ALE</t>
        </is>
      </c>
      <c r="G104" t="n">
        <v>8.4</v>
      </c>
      <c r="H104" t="n">
        <v>0</v>
      </c>
      <c r="I104" t="n">
        <v>0</v>
      </c>
      <c r="J104" t="n">
        <v>0</v>
      </c>
      <c r="K104" t="n">
        <v>0</v>
      </c>
      <c r="L104" t="n">
        <v>0</v>
      </c>
      <c r="M104" t="n">
        <v>0</v>
      </c>
      <c r="N104" t="n">
        <v>0</v>
      </c>
      <c r="O104" t="n">
        <v>0</v>
      </c>
      <c r="P104" t="n">
        <v>0</v>
      </c>
      <c r="Q104" t="n">
        <v>0</v>
      </c>
      <c r="R104" s="2" t="inlineStr"/>
    </row>
    <row r="105" ht="15" customHeight="1">
      <c r="A105" t="inlineStr">
        <is>
          <t>A 15499-2022</t>
        </is>
      </c>
      <c r="B105" s="1" t="n">
        <v>44662</v>
      </c>
      <c r="C105" s="1" t="n">
        <v>46077</v>
      </c>
      <c r="D105" t="inlineStr">
        <is>
          <t>VÄSTRA GÖTALANDS LÄN</t>
        </is>
      </c>
      <c r="E105" t="inlineStr">
        <is>
          <t>ALE</t>
        </is>
      </c>
      <c r="G105" t="n">
        <v>4.7</v>
      </c>
      <c r="H105" t="n">
        <v>0</v>
      </c>
      <c r="I105" t="n">
        <v>0</v>
      </c>
      <c r="J105" t="n">
        <v>0</v>
      </c>
      <c r="K105" t="n">
        <v>0</v>
      </c>
      <c r="L105" t="n">
        <v>0</v>
      </c>
      <c r="M105" t="n">
        <v>0</v>
      </c>
      <c r="N105" t="n">
        <v>0</v>
      </c>
      <c r="O105" t="n">
        <v>0</v>
      </c>
      <c r="P105" t="n">
        <v>0</v>
      </c>
      <c r="Q105" t="n">
        <v>0</v>
      </c>
      <c r="R105" s="2" t="inlineStr"/>
    </row>
    <row r="106" ht="15" customHeight="1">
      <c r="A106" t="inlineStr">
        <is>
          <t>A 55405-2021</t>
        </is>
      </c>
      <c r="B106" s="1" t="n">
        <v>44475.53733796296</v>
      </c>
      <c r="C106" s="1" t="n">
        <v>46077</v>
      </c>
      <c r="D106" t="inlineStr">
        <is>
          <t>VÄSTRA GÖTALANDS LÄN</t>
        </is>
      </c>
      <c r="E106" t="inlineStr">
        <is>
          <t>ALE</t>
        </is>
      </c>
      <c r="G106" t="n">
        <v>0.5</v>
      </c>
      <c r="H106" t="n">
        <v>0</v>
      </c>
      <c r="I106" t="n">
        <v>0</v>
      </c>
      <c r="J106" t="n">
        <v>0</v>
      </c>
      <c r="K106" t="n">
        <v>0</v>
      </c>
      <c r="L106" t="n">
        <v>0</v>
      </c>
      <c r="M106" t="n">
        <v>0</v>
      </c>
      <c r="N106" t="n">
        <v>0</v>
      </c>
      <c r="O106" t="n">
        <v>0</v>
      </c>
      <c r="P106" t="n">
        <v>0</v>
      </c>
      <c r="Q106" t="n">
        <v>0</v>
      </c>
      <c r="R106" s="2" t="inlineStr"/>
    </row>
    <row r="107" ht="15" customHeight="1">
      <c r="A107" t="inlineStr">
        <is>
          <t>A 3413-2023</t>
        </is>
      </c>
      <c r="B107" s="1" t="n">
        <v>44949</v>
      </c>
      <c r="C107" s="1" t="n">
        <v>46077</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27314-2021</t>
        </is>
      </c>
      <c r="B108" s="1" t="n">
        <v>44351.36537037037</v>
      </c>
      <c r="C108" s="1" t="n">
        <v>46077</v>
      </c>
      <c r="D108" t="inlineStr">
        <is>
          <t>VÄSTRA GÖTALANDS LÄN</t>
        </is>
      </c>
      <c r="E108" t="inlineStr">
        <is>
          <t>ALE</t>
        </is>
      </c>
      <c r="G108" t="n">
        <v>11.3</v>
      </c>
      <c r="H108" t="n">
        <v>0</v>
      </c>
      <c r="I108" t="n">
        <v>0</v>
      </c>
      <c r="J108" t="n">
        <v>0</v>
      </c>
      <c r="K108" t="n">
        <v>0</v>
      </c>
      <c r="L108" t="n">
        <v>0</v>
      </c>
      <c r="M108" t="n">
        <v>0</v>
      </c>
      <c r="N108" t="n">
        <v>0</v>
      </c>
      <c r="O108" t="n">
        <v>0</v>
      </c>
      <c r="P108" t="n">
        <v>0</v>
      </c>
      <c r="Q108" t="n">
        <v>0</v>
      </c>
      <c r="R108" s="2" t="inlineStr"/>
    </row>
    <row r="109" ht="15" customHeight="1">
      <c r="A109" t="inlineStr">
        <is>
          <t>A 13426-2025</t>
        </is>
      </c>
      <c r="B109" s="1" t="n">
        <v>45736.32780092592</v>
      </c>
      <c r="C109" s="1" t="n">
        <v>46077</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1960-2024</t>
        </is>
      </c>
      <c r="B110" s="1" t="n">
        <v>45308.50962962963</v>
      </c>
      <c r="C110" s="1" t="n">
        <v>46077</v>
      </c>
      <c r="D110" t="inlineStr">
        <is>
          <t>VÄSTRA GÖTALANDS LÄN</t>
        </is>
      </c>
      <c r="E110" t="inlineStr">
        <is>
          <t>ALE</t>
        </is>
      </c>
      <c r="G110" t="n">
        <v>1.9</v>
      </c>
      <c r="H110" t="n">
        <v>0</v>
      </c>
      <c r="I110" t="n">
        <v>0</v>
      </c>
      <c r="J110" t="n">
        <v>0</v>
      </c>
      <c r="K110" t="n">
        <v>0</v>
      </c>
      <c r="L110" t="n">
        <v>0</v>
      </c>
      <c r="M110" t="n">
        <v>0</v>
      </c>
      <c r="N110" t="n">
        <v>0</v>
      </c>
      <c r="O110" t="n">
        <v>0</v>
      </c>
      <c r="P110" t="n">
        <v>0</v>
      </c>
      <c r="Q110" t="n">
        <v>0</v>
      </c>
      <c r="R110" s="2" t="inlineStr"/>
    </row>
    <row r="111" ht="15" customHeight="1">
      <c r="A111" t="inlineStr">
        <is>
          <t>A 3418-2023</t>
        </is>
      </c>
      <c r="B111" s="1" t="n">
        <v>44949.56182870371</v>
      </c>
      <c r="C111" s="1" t="n">
        <v>46077</v>
      </c>
      <c r="D111" t="inlineStr">
        <is>
          <t>VÄSTRA GÖTALANDS LÄN</t>
        </is>
      </c>
      <c r="E111" t="inlineStr">
        <is>
          <t>ALE</t>
        </is>
      </c>
      <c r="G111" t="n">
        <v>1.1</v>
      </c>
      <c r="H111" t="n">
        <v>0</v>
      </c>
      <c r="I111" t="n">
        <v>0</v>
      </c>
      <c r="J111" t="n">
        <v>0</v>
      </c>
      <c r="K111" t="n">
        <v>0</v>
      </c>
      <c r="L111" t="n">
        <v>0</v>
      </c>
      <c r="M111" t="n">
        <v>0</v>
      </c>
      <c r="N111" t="n">
        <v>0</v>
      </c>
      <c r="O111" t="n">
        <v>0</v>
      </c>
      <c r="P111" t="n">
        <v>0</v>
      </c>
      <c r="Q111" t="n">
        <v>0</v>
      </c>
      <c r="R111" s="2" t="inlineStr"/>
    </row>
    <row r="112" ht="15" customHeight="1">
      <c r="A112" t="inlineStr">
        <is>
          <t>A 65226-2021</t>
        </is>
      </c>
      <c r="B112" s="1" t="n">
        <v>44515</v>
      </c>
      <c r="C112" s="1" t="n">
        <v>46077</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12055-2022</t>
        </is>
      </c>
      <c r="B113" s="1" t="n">
        <v>44636</v>
      </c>
      <c r="C113" s="1" t="n">
        <v>46077</v>
      </c>
      <c r="D113" t="inlineStr">
        <is>
          <t>VÄSTRA GÖTALANDS LÄN</t>
        </is>
      </c>
      <c r="E113" t="inlineStr">
        <is>
          <t>ALE</t>
        </is>
      </c>
      <c r="G113" t="n">
        <v>0.2</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46077</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46226-2025</t>
        </is>
      </c>
      <c r="B115" s="1" t="n">
        <v>45924</v>
      </c>
      <c r="C115" s="1" t="n">
        <v>46077</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5916-2023</t>
        </is>
      </c>
      <c r="B116" s="1" t="n">
        <v>44963</v>
      </c>
      <c r="C116" s="1" t="n">
        <v>46077</v>
      </c>
      <c r="D116" t="inlineStr">
        <is>
          <t>VÄSTRA GÖTALANDS LÄN</t>
        </is>
      </c>
      <c r="E116" t="inlineStr">
        <is>
          <t>ALE</t>
        </is>
      </c>
      <c r="G116" t="n">
        <v>4.2</v>
      </c>
      <c r="H116" t="n">
        <v>0</v>
      </c>
      <c r="I116" t="n">
        <v>0</v>
      </c>
      <c r="J116" t="n">
        <v>0</v>
      </c>
      <c r="K116" t="n">
        <v>0</v>
      </c>
      <c r="L116" t="n">
        <v>0</v>
      </c>
      <c r="M116" t="n">
        <v>0</v>
      </c>
      <c r="N116" t="n">
        <v>0</v>
      </c>
      <c r="O116" t="n">
        <v>0</v>
      </c>
      <c r="P116" t="n">
        <v>0</v>
      </c>
      <c r="Q116" t="n">
        <v>0</v>
      </c>
      <c r="R116" s="2" t="inlineStr"/>
    </row>
    <row r="117" ht="15" customHeight="1">
      <c r="A117" t="inlineStr">
        <is>
          <t>A 46227-2025</t>
        </is>
      </c>
      <c r="B117" s="1" t="n">
        <v>45924.90386574074</v>
      </c>
      <c r="C117" s="1" t="n">
        <v>46077</v>
      </c>
      <c r="D117" t="inlineStr">
        <is>
          <t>VÄSTRA GÖTALANDS LÄN</t>
        </is>
      </c>
      <c r="E117" t="inlineStr">
        <is>
          <t>ALE</t>
        </is>
      </c>
      <c r="G117" t="n">
        <v>0.3</v>
      </c>
      <c r="H117" t="n">
        <v>0</v>
      </c>
      <c r="I117" t="n">
        <v>0</v>
      </c>
      <c r="J117" t="n">
        <v>0</v>
      </c>
      <c r="K117" t="n">
        <v>0</v>
      </c>
      <c r="L117" t="n">
        <v>0</v>
      </c>
      <c r="M117" t="n">
        <v>0</v>
      </c>
      <c r="N117" t="n">
        <v>0</v>
      </c>
      <c r="O117" t="n">
        <v>0</v>
      </c>
      <c r="P117" t="n">
        <v>0</v>
      </c>
      <c r="Q117" t="n">
        <v>0</v>
      </c>
      <c r="R117" s="2" t="inlineStr"/>
    </row>
    <row r="118" ht="15" customHeight="1">
      <c r="A118" t="inlineStr">
        <is>
          <t>A 47592-2025</t>
        </is>
      </c>
      <c r="B118" s="1" t="n">
        <v>45931.44649305556</v>
      </c>
      <c r="C118" s="1" t="n">
        <v>46077</v>
      </c>
      <c r="D118" t="inlineStr">
        <is>
          <t>VÄSTRA GÖTALANDS LÄN</t>
        </is>
      </c>
      <c r="E118" t="inlineStr">
        <is>
          <t>ALE</t>
        </is>
      </c>
      <c r="G118" t="n">
        <v>0.6</v>
      </c>
      <c r="H118" t="n">
        <v>0</v>
      </c>
      <c r="I118" t="n">
        <v>0</v>
      </c>
      <c r="J118" t="n">
        <v>0</v>
      </c>
      <c r="K118" t="n">
        <v>0</v>
      </c>
      <c r="L118" t="n">
        <v>0</v>
      </c>
      <c r="M118" t="n">
        <v>0</v>
      </c>
      <c r="N118" t="n">
        <v>0</v>
      </c>
      <c r="O118" t="n">
        <v>0</v>
      </c>
      <c r="P118" t="n">
        <v>0</v>
      </c>
      <c r="Q118" t="n">
        <v>0</v>
      </c>
      <c r="R118" s="2" t="inlineStr"/>
    </row>
    <row r="119" ht="15" customHeight="1">
      <c r="A119" t="inlineStr">
        <is>
          <t>A 47593-2025</t>
        </is>
      </c>
      <c r="B119" s="1" t="n">
        <v>45931.4480787037</v>
      </c>
      <c r="C119" s="1" t="n">
        <v>46077</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47728-2025</t>
        </is>
      </c>
      <c r="B120" s="1" t="n">
        <v>45931.63186342592</v>
      </c>
      <c r="C120" s="1" t="n">
        <v>46077</v>
      </c>
      <c r="D120" t="inlineStr">
        <is>
          <t>VÄSTRA GÖTALANDS LÄN</t>
        </is>
      </c>
      <c r="E120" t="inlineStr">
        <is>
          <t>ALE</t>
        </is>
      </c>
      <c r="G120" t="n">
        <v>1.1</v>
      </c>
      <c r="H120" t="n">
        <v>0</v>
      </c>
      <c r="I120" t="n">
        <v>0</v>
      </c>
      <c r="J120" t="n">
        <v>0</v>
      </c>
      <c r="K120" t="n">
        <v>0</v>
      </c>
      <c r="L120" t="n">
        <v>0</v>
      </c>
      <c r="M120" t="n">
        <v>0</v>
      </c>
      <c r="N120" t="n">
        <v>0</v>
      </c>
      <c r="O120" t="n">
        <v>0</v>
      </c>
      <c r="P120" t="n">
        <v>0</v>
      </c>
      <c r="Q120" t="n">
        <v>0</v>
      </c>
      <c r="R120" s="2" t="inlineStr"/>
    </row>
    <row r="121" ht="15" customHeight="1">
      <c r="A121" t="inlineStr">
        <is>
          <t>A 57473-2022</t>
        </is>
      </c>
      <c r="B121" s="1" t="n">
        <v>44896</v>
      </c>
      <c r="C121" s="1" t="n">
        <v>46077</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1566-2022</t>
        </is>
      </c>
      <c r="B122" s="1" t="n">
        <v>44573</v>
      </c>
      <c r="C122" s="1" t="n">
        <v>46077</v>
      </c>
      <c r="D122" t="inlineStr">
        <is>
          <t>VÄSTRA GÖTALANDS LÄN</t>
        </is>
      </c>
      <c r="E122" t="inlineStr">
        <is>
          <t>ALE</t>
        </is>
      </c>
      <c r="G122" t="n">
        <v>3</v>
      </c>
      <c r="H122" t="n">
        <v>0</v>
      </c>
      <c r="I122" t="n">
        <v>0</v>
      </c>
      <c r="J122" t="n">
        <v>0</v>
      </c>
      <c r="K122" t="n">
        <v>0</v>
      </c>
      <c r="L122" t="n">
        <v>0</v>
      </c>
      <c r="M122" t="n">
        <v>0</v>
      </c>
      <c r="N122" t="n">
        <v>0</v>
      </c>
      <c r="O122" t="n">
        <v>0</v>
      </c>
      <c r="P122" t="n">
        <v>0</v>
      </c>
      <c r="Q122" t="n">
        <v>0</v>
      </c>
      <c r="R122" s="2" t="inlineStr"/>
    </row>
    <row r="123" ht="15" customHeight="1">
      <c r="A123" t="inlineStr">
        <is>
          <t>A 12445-2022</t>
        </is>
      </c>
      <c r="B123" s="1" t="n">
        <v>44638</v>
      </c>
      <c r="C123" s="1" t="n">
        <v>46077</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48213-2025</t>
        </is>
      </c>
      <c r="B124" s="1" t="n">
        <v>45933</v>
      </c>
      <c r="C124" s="1" t="n">
        <v>46077</v>
      </c>
      <c r="D124" t="inlineStr">
        <is>
          <t>VÄSTRA GÖTALANDS LÄN</t>
        </is>
      </c>
      <c r="E124" t="inlineStr">
        <is>
          <t>ALE</t>
        </is>
      </c>
      <c r="G124" t="n">
        <v>3.3</v>
      </c>
      <c r="H124" t="n">
        <v>0</v>
      </c>
      <c r="I124" t="n">
        <v>0</v>
      </c>
      <c r="J124" t="n">
        <v>0</v>
      </c>
      <c r="K124" t="n">
        <v>0</v>
      </c>
      <c r="L124" t="n">
        <v>0</v>
      </c>
      <c r="M124" t="n">
        <v>0</v>
      </c>
      <c r="N124" t="n">
        <v>0</v>
      </c>
      <c r="O124" t="n">
        <v>0</v>
      </c>
      <c r="P124" t="n">
        <v>0</v>
      </c>
      <c r="Q124" t="n">
        <v>0</v>
      </c>
      <c r="R124" s="2" t="inlineStr"/>
    </row>
    <row r="125" ht="15" customHeight="1">
      <c r="A125" t="inlineStr">
        <is>
          <t>A 48218-2025</t>
        </is>
      </c>
      <c r="B125" s="1" t="n">
        <v>45933</v>
      </c>
      <c r="C125" s="1" t="n">
        <v>46077</v>
      </c>
      <c r="D125" t="inlineStr">
        <is>
          <t>VÄSTRA GÖTALANDS LÄN</t>
        </is>
      </c>
      <c r="E125" t="inlineStr">
        <is>
          <t>ALE</t>
        </is>
      </c>
      <c r="G125" t="n">
        <v>1.4</v>
      </c>
      <c r="H125" t="n">
        <v>0</v>
      </c>
      <c r="I125" t="n">
        <v>0</v>
      </c>
      <c r="J125" t="n">
        <v>0</v>
      </c>
      <c r="K125" t="n">
        <v>0</v>
      </c>
      <c r="L125" t="n">
        <v>0</v>
      </c>
      <c r="M125" t="n">
        <v>0</v>
      </c>
      <c r="N125" t="n">
        <v>0</v>
      </c>
      <c r="O125" t="n">
        <v>0</v>
      </c>
      <c r="P125" t="n">
        <v>0</v>
      </c>
      <c r="Q125" t="n">
        <v>0</v>
      </c>
      <c r="R125" s="2" t="inlineStr"/>
    </row>
    <row r="126" ht="15" customHeight="1">
      <c r="A126" t="inlineStr">
        <is>
          <t>A 50189-2025</t>
        </is>
      </c>
      <c r="B126" s="1" t="n">
        <v>45943.63476851852</v>
      </c>
      <c r="C126" s="1" t="n">
        <v>46077</v>
      </c>
      <c r="D126" t="inlineStr">
        <is>
          <t>VÄSTRA GÖTALANDS LÄN</t>
        </is>
      </c>
      <c r="E126" t="inlineStr">
        <is>
          <t>ALE</t>
        </is>
      </c>
      <c r="G126" t="n">
        <v>3</v>
      </c>
      <c r="H126" t="n">
        <v>0</v>
      </c>
      <c r="I126" t="n">
        <v>0</v>
      </c>
      <c r="J126" t="n">
        <v>0</v>
      </c>
      <c r="K126" t="n">
        <v>0</v>
      </c>
      <c r="L126" t="n">
        <v>0</v>
      </c>
      <c r="M126" t="n">
        <v>0</v>
      </c>
      <c r="N126" t="n">
        <v>0</v>
      </c>
      <c r="O126" t="n">
        <v>0</v>
      </c>
      <c r="P126" t="n">
        <v>0</v>
      </c>
      <c r="Q126" t="n">
        <v>0</v>
      </c>
      <c r="R126" s="2" t="inlineStr"/>
    </row>
    <row r="127" ht="15" customHeight="1">
      <c r="A127" t="inlineStr">
        <is>
          <t>A 4363-2024</t>
        </is>
      </c>
      <c r="B127" s="1" t="n">
        <v>45325</v>
      </c>
      <c r="C127" s="1" t="n">
        <v>46077</v>
      </c>
      <c r="D127" t="inlineStr">
        <is>
          <t>VÄSTRA GÖTALANDS LÄN</t>
        </is>
      </c>
      <c r="E127" t="inlineStr">
        <is>
          <t>ALE</t>
        </is>
      </c>
      <c r="G127" t="n">
        <v>0.6</v>
      </c>
      <c r="H127" t="n">
        <v>0</v>
      </c>
      <c r="I127" t="n">
        <v>0</v>
      </c>
      <c r="J127" t="n">
        <v>0</v>
      </c>
      <c r="K127" t="n">
        <v>0</v>
      </c>
      <c r="L127" t="n">
        <v>0</v>
      </c>
      <c r="M127" t="n">
        <v>0</v>
      </c>
      <c r="N127" t="n">
        <v>0</v>
      </c>
      <c r="O127" t="n">
        <v>0</v>
      </c>
      <c r="P127" t="n">
        <v>0</v>
      </c>
      <c r="Q127" t="n">
        <v>0</v>
      </c>
      <c r="R127" s="2" t="inlineStr"/>
    </row>
    <row r="128" ht="15" customHeight="1">
      <c r="A128" t="inlineStr">
        <is>
          <t>A 16601-2025</t>
        </is>
      </c>
      <c r="B128" s="1" t="n">
        <v>45753.53189814815</v>
      </c>
      <c r="C128" s="1" t="n">
        <v>46077</v>
      </c>
      <c r="D128" t="inlineStr">
        <is>
          <t>VÄSTRA GÖTALANDS LÄN</t>
        </is>
      </c>
      <c r="E128" t="inlineStr">
        <is>
          <t>ALE</t>
        </is>
      </c>
      <c r="G128" t="n">
        <v>1.7</v>
      </c>
      <c r="H128" t="n">
        <v>0</v>
      </c>
      <c r="I128" t="n">
        <v>0</v>
      </c>
      <c r="J128" t="n">
        <v>0</v>
      </c>
      <c r="K128" t="n">
        <v>0</v>
      </c>
      <c r="L128" t="n">
        <v>0</v>
      </c>
      <c r="M128" t="n">
        <v>0</v>
      </c>
      <c r="N128" t="n">
        <v>0</v>
      </c>
      <c r="O128" t="n">
        <v>0</v>
      </c>
      <c r="P128" t="n">
        <v>0</v>
      </c>
      <c r="Q128" t="n">
        <v>0</v>
      </c>
      <c r="R128" s="2" t="inlineStr"/>
    </row>
    <row r="129" ht="15" customHeight="1">
      <c r="A129" t="inlineStr">
        <is>
          <t>A 50973-2025</t>
        </is>
      </c>
      <c r="B129" s="1" t="n">
        <v>45947.31263888889</v>
      </c>
      <c r="C129" s="1" t="n">
        <v>46077</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20067-2023</t>
        </is>
      </c>
      <c r="B130" s="1" t="n">
        <v>45054</v>
      </c>
      <c r="C130" s="1" t="n">
        <v>46077</v>
      </c>
      <c r="D130" t="inlineStr">
        <is>
          <t>VÄSTRA GÖTALANDS LÄN</t>
        </is>
      </c>
      <c r="E130" t="inlineStr">
        <is>
          <t>ALE</t>
        </is>
      </c>
      <c r="G130" t="n">
        <v>0.4</v>
      </c>
      <c r="H130" t="n">
        <v>0</v>
      </c>
      <c r="I130" t="n">
        <v>0</v>
      </c>
      <c r="J130" t="n">
        <v>0</v>
      </c>
      <c r="K130" t="n">
        <v>0</v>
      </c>
      <c r="L130" t="n">
        <v>0</v>
      </c>
      <c r="M130" t="n">
        <v>0</v>
      </c>
      <c r="N130" t="n">
        <v>0</v>
      </c>
      <c r="O130" t="n">
        <v>0</v>
      </c>
      <c r="P130" t="n">
        <v>0</v>
      </c>
      <c r="Q130" t="n">
        <v>0</v>
      </c>
      <c r="R130" s="2" t="inlineStr"/>
    </row>
    <row r="131" ht="15" customHeight="1">
      <c r="A131" t="inlineStr">
        <is>
          <t>A 51976-2025</t>
        </is>
      </c>
      <c r="B131" s="1" t="n">
        <v>45952.56412037037</v>
      </c>
      <c r="C131" s="1" t="n">
        <v>46077</v>
      </c>
      <c r="D131" t="inlineStr">
        <is>
          <t>VÄSTRA GÖTALANDS LÄN</t>
        </is>
      </c>
      <c r="E131" t="inlineStr">
        <is>
          <t>ALE</t>
        </is>
      </c>
      <c r="G131" t="n">
        <v>5.2</v>
      </c>
      <c r="H131" t="n">
        <v>0</v>
      </c>
      <c r="I131" t="n">
        <v>0</v>
      </c>
      <c r="J131" t="n">
        <v>0</v>
      </c>
      <c r="K131" t="n">
        <v>0</v>
      </c>
      <c r="L131" t="n">
        <v>0</v>
      </c>
      <c r="M131" t="n">
        <v>0</v>
      </c>
      <c r="N131" t="n">
        <v>0</v>
      </c>
      <c r="O131" t="n">
        <v>0</v>
      </c>
      <c r="P131" t="n">
        <v>0</v>
      </c>
      <c r="Q131" t="n">
        <v>0</v>
      </c>
      <c r="R131" s="2" t="inlineStr"/>
    </row>
    <row r="132" ht="15" customHeight="1">
      <c r="A132" t="inlineStr">
        <is>
          <t>A 52391-2025</t>
        </is>
      </c>
      <c r="B132" s="1" t="n">
        <v>45954.34305555555</v>
      </c>
      <c r="C132" s="1" t="n">
        <v>46077</v>
      </c>
      <c r="D132" t="inlineStr">
        <is>
          <t>VÄSTRA GÖTALANDS LÄN</t>
        </is>
      </c>
      <c r="E132" t="inlineStr">
        <is>
          <t>ALE</t>
        </is>
      </c>
      <c r="G132" t="n">
        <v>10.6</v>
      </c>
      <c r="H132" t="n">
        <v>0</v>
      </c>
      <c r="I132" t="n">
        <v>0</v>
      </c>
      <c r="J132" t="n">
        <v>0</v>
      </c>
      <c r="K132" t="n">
        <v>0</v>
      </c>
      <c r="L132" t="n">
        <v>0</v>
      </c>
      <c r="M132" t="n">
        <v>0</v>
      </c>
      <c r="N132" t="n">
        <v>0</v>
      </c>
      <c r="O132" t="n">
        <v>0</v>
      </c>
      <c r="P132" t="n">
        <v>0</v>
      </c>
      <c r="Q132" t="n">
        <v>0</v>
      </c>
      <c r="R132" s="2" t="inlineStr"/>
    </row>
    <row r="133" ht="15" customHeight="1">
      <c r="A133" t="inlineStr">
        <is>
          <t>A 52423-2025</t>
        </is>
      </c>
      <c r="B133" s="1" t="n">
        <v>45954.37650462963</v>
      </c>
      <c r="C133" s="1" t="n">
        <v>46077</v>
      </c>
      <c r="D133" t="inlineStr">
        <is>
          <t>VÄSTRA GÖTALANDS LÄN</t>
        </is>
      </c>
      <c r="E133" t="inlineStr">
        <is>
          <t>ALE</t>
        </is>
      </c>
      <c r="G133" t="n">
        <v>4.1</v>
      </c>
      <c r="H133" t="n">
        <v>0</v>
      </c>
      <c r="I133" t="n">
        <v>0</v>
      </c>
      <c r="J133" t="n">
        <v>0</v>
      </c>
      <c r="K133" t="n">
        <v>0</v>
      </c>
      <c r="L133" t="n">
        <v>0</v>
      </c>
      <c r="M133" t="n">
        <v>0</v>
      </c>
      <c r="N133" t="n">
        <v>0</v>
      </c>
      <c r="O133" t="n">
        <v>0</v>
      </c>
      <c r="P133" t="n">
        <v>0</v>
      </c>
      <c r="Q133" t="n">
        <v>0</v>
      </c>
      <c r="R133" s="2" t="inlineStr"/>
    </row>
    <row r="134" ht="15" customHeight="1">
      <c r="A134" t="inlineStr">
        <is>
          <t>A 1500-2024</t>
        </is>
      </c>
      <c r="B134" s="1" t="n">
        <v>45306</v>
      </c>
      <c r="C134" s="1" t="n">
        <v>46077</v>
      </c>
      <c r="D134" t="inlineStr">
        <is>
          <t>VÄSTRA GÖTALANDS LÄN</t>
        </is>
      </c>
      <c r="E134" t="inlineStr">
        <is>
          <t>ALE</t>
        </is>
      </c>
      <c r="G134" t="n">
        <v>1.3</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44967.53349537037</v>
      </c>
      <c r="C135" s="1" t="n">
        <v>46077</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64199-2021</t>
        </is>
      </c>
      <c r="B136" s="1" t="n">
        <v>44510</v>
      </c>
      <c r="C136" s="1" t="n">
        <v>46077</v>
      </c>
      <c r="D136" t="inlineStr">
        <is>
          <t>VÄSTRA GÖTALANDS LÄN</t>
        </is>
      </c>
      <c r="E136" t="inlineStr">
        <is>
          <t>ALE</t>
        </is>
      </c>
      <c r="G136" t="n">
        <v>5.7</v>
      </c>
      <c r="H136" t="n">
        <v>0</v>
      </c>
      <c r="I136" t="n">
        <v>0</v>
      </c>
      <c r="J136" t="n">
        <v>0</v>
      </c>
      <c r="K136" t="n">
        <v>0</v>
      </c>
      <c r="L136" t="n">
        <v>0</v>
      </c>
      <c r="M136" t="n">
        <v>0</v>
      </c>
      <c r="N136" t="n">
        <v>0</v>
      </c>
      <c r="O136" t="n">
        <v>0</v>
      </c>
      <c r="P136" t="n">
        <v>0</v>
      </c>
      <c r="Q136" t="n">
        <v>0</v>
      </c>
      <c r="R136" s="2" t="inlineStr"/>
    </row>
    <row r="137" ht="15" customHeight="1">
      <c r="A137" t="inlineStr">
        <is>
          <t>A 56905-2025</t>
        </is>
      </c>
      <c r="B137" s="1" t="n">
        <v>45978.57502314815</v>
      </c>
      <c r="C137" s="1" t="n">
        <v>46077</v>
      </c>
      <c r="D137" t="inlineStr">
        <is>
          <t>VÄSTRA GÖTALANDS LÄN</t>
        </is>
      </c>
      <c r="E137" t="inlineStr">
        <is>
          <t>ALE</t>
        </is>
      </c>
      <c r="G137" t="n">
        <v>5.2</v>
      </c>
      <c r="H137" t="n">
        <v>0</v>
      </c>
      <c r="I137" t="n">
        <v>0</v>
      </c>
      <c r="J137" t="n">
        <v>0</v>
      </c>
      <c r="K137" t="n">
        <v>0</v>
      </c>
      <c r="L137" t="n">
        <v>0</v>
      </c>
      <c r="M137" t="n">
        <v>0</v>
      </c>
      <c r="N137" t="n">
        <v>0</v>
      </c>
      <c r="O137" t="n">
        <v>0</v>
      </c>
      <c r="P137" t="n">
        <v>0</v>
      </c>
      <c r="Q137" t="n">
        <v>0</v>
      </c>
      <c r="R137" s="2" t="inlineStr"/>
    </row>
    <row r="138" ht="15" customHeight="1">
      <c r="A138" t="inlineStr">
        <is>
          <t>A 15582-2025</t>
        </is>
      </c>
      <c r="B138" s="1" t="n">
        <v>45747.81394675926</v>
      </c>
      <c r="C138" s="1" t="n">
        <v>46077</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58414-2025</t>
        </is>
      </c>
      <c r="B139" s="1" t="n">
        <v>45985.57778935185</v>
      </c>
      <c r="C139" s="1" t="n">
        <v>46077</v>
      </c>
      <c r="D139" t="inlineStr">
        <is>
          <t>VÄSTRA GÖTALANDS LÄN</t>
        </is>
      </c>
      <c r="E139" t="inlineStr">
        <is>
          <t>ALE</t>
        </is>
      </c>
      <c r="G139" t="n">
        <v>4.3</v>
      </c>
      <c r="H139" t="n">
        <v>0</v>
      </c>
      <c r="I139" t="n">
        <v>0</v>
      </c>
      <c r="J139" t="n">
        <v>0</v>
      </c>
      <c r="K139" t="n">
        <v>0</v>
      </c>
      <c r="L139" t="n">
        <v>0</v>
      </c>
      <c r="M139" t="n">
        <v>0</v>
      </c>
      <c r="N139" t="n">
        <v>0</v>
      </c>
      <c r="O139" t="n">
        <v>0</v>
      </c>
      <c r="P139" t="n">
        <v>0</v>
      </c>
      <c r="Q139" t="n">
        <v>0</v>
      </c>
      <c r="R139" s="2" t="inlineStr"/>
    </row>
    <row r="140" ht="15" customHeight="1">
      <c r="A140" t="inlineStr">
        <is>
          <t>A 31407-2025</t>
        </is>
      </c>
      <c r="B140" s="1" t="n">
        <v>45833</v>
      </c>
      <c r="C140" s="1" t="n">
        <v>46077</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59409-2025</t>
        </is>
      </c>
      <c r="B141" s="1" t="n">
        <v>45989.49545138889</v>
      </c>
      <c r="C141" s="1" t="n">
        <v>46077</v>
      </c>
      <c r="D141" t="inlineStr">
        <is>
          <t>VÄSTRA GÖTALANDS LÄN</t>
        </is>
      </c>
      <c r="E141" t="inlineStr">
        <is>
          <t>ALE</t>
        </is>
      </c>
      <c r="G141" t="n">
        <v>0.3</v>
      </c>
      <c r="H141" t="n">
        <v>0</v>
      </c>
      <c r="I141" t="n">
        <v>0</v>
      </c>
      <c r="J141" t="n">
        <v>0</v>
      </c>
      <c r="K141" t="n">
        <v>0</v>
      </c>
      <c r="L141" t="n">
        <v>0</v>
      </c>
      <c r="M141" t="n">
        <v>0</v>
      </c>
      <c r="N141" t="n">
        <v>0</v>
      </c>
      <c r="O141" t="n">
        <v>0</v>
      </c>
      <c r="P141" t="n">
        <v>0</v>
      </c>
      <c r="Q141" t="n">
        <v>0</v>
      </c>
      <c r="R141" s="2" t="inlineStr"/>
    </row>
    <row r="142" ht="15" customHeight="1">
      <c r="A142" t="inlineStr">
        <is>
          <t>A 60287-2025</t>
        </is>
      </c>
      <c r="B142" s="1" t="n">
        <v>45994.64711805555</v>
      </c>
      <c r="C142" s="1" t="n">
        <v>46077</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2414-2026</t>
        </is>
      </c>
      <c r="B143" s="1" t="n">
        <v>46036.74319444445</v>
      </c>
      <c r="C143" s="1" t="n">
        <v>46077</v>
      </c>
      <c r="D143" t="inlineStr">
        <is>
          <t>VÄSTRA GÖTALANDS LÄN</t>
        </is>
      </c>
      <c r="E143" t="inlineStr">
        <is>
          <t>ALE</t>
        </is>
      </c>
      <c r="G143" t="n">
        <v>3.3</v>
      </c>
      <c r="H143" t="n">
        <v>0</v>
      </c>
      <c r="I143" t="n">
        <v>0</v>
      </c>
      <c r="J143" t="n">
        <v>0</v>
      </c>
      <c r="K143" t="n">
        <v>0</v>
      </c>
      <c r="L143" t="n">
        <v>0</v>
      </c>
      <c r="M143" t="n">
        <v>0</v>
      </c>
      <c r="N143" t="n">
        <v>0</v>
      </c>
      <c r="O143" t="n">
        <v>0</v>
      </c>
      <c r="P143" t="n">
        <v>0</v>
      </c>
      <c r="Q143" t="n">
        <v>0</v>
      </c>
      <c r="R143" s="2" t="inlineStr"/>
    </row>
    <row r="144" ht="15" customHeight="1">
      <c r="A144" t="inlineStr">
        <is>
          <t>A 22946-2025</t>
        </is>
      </c>
      <c r="B144" s="1" t="n">
        <v>45790.48229166667</v>
      </c>
      <c r="C144" s="1" t="n">
        <v>46077</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3261-2026</t>
        </is>
      </c>
      <c r="B145" s="1" t="n">
        <v>46041.5952662037</v>
      </c>
      <c r="C145" s="1" t="n">
        <v>46077</v>
      </c>
      <c r="D145" t="inlineStr">
        <is>
          <t>VÄSTRA GÖTALANDS LÄN</t>
        </is>
      </c>
      <c r="E145" t="inlineStr">
        <is>
          <t>ALE</t>
        </is>
      </c>
      <c r="G145" t="n">
        <v>3.4</v>
      </c>
      <c r="H145" t="n">
        <v>0</v>
      </c>
      <c r="I145" t="n">
        <v>0</v>
      </c>
      <c r="J145" t="n">
        <v>0</v>
      </c>
      <c r="K145" t="n">
        <v>0</v>
      </c>
      <c r="L145" t="n">
        <v>0</v>
      </c>
      <c r="M145" t="n">
        <v>0</v>
      </c>
      <c r="N145" t="n">
        <v>0</v>
      </c>
      <c r="O145" t="n">
        <v>0</v>
      </c>
      <c r="P145" t="n">
        <v>0</v>
      </c>
      <c r="Q145" t="n">
        <v>0</v>
      </c>
      <c r="R145" s="2" t="inlineStr"/>
    </row>
    <row r="146" ht="15" customHeight="1">
      <c r="A146" t="inlineStr">
        <is>
          <t>A 4971-2024</t>
        </is>
      </c>
      <c r="B146" s="1" t="n">
        <v>45329</v>
      </c>
      <c r="C146" s="1" t="n">
        <v>46077</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37461-2024</t>
        </is>
      </c>
      <c r="B147" s="1" t="n">
        <v>45540.72516203704</v>
      </c>
      <c r="C147" s="1" t="n">
        <v>46077</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61744-2025</t>
        </is>
      </c>
      <c r="B148" s="1" t="n">
        <v>46002.60298611111</v>
      </c>
      <c r="C148" s="1" t="n">
        <v>46077</v>
      </c>
      <c r="D148" t="inlineStr">
        <is>
          <t>VÄSTRA GÖTALANDS LÄN</t>
        </is>
      </c>
      <c r="E148" t="inlineStr">
        <is>
          <t>ALE</t>
        </is>
      </c>
      <c r="G148" t="n">
        <v>3.1</v>
      </c>
      <c r="H148" t="n">
        <v>0</v>
      </c>
      <c r="I148" t="n">
        <v>0</v>
      </c>
      <c r="J148" t="n">
        <v>0</v>
      </c>
      <c r="K148" t="n">
        <v>0</v>
      </c>
      <c r="L148" t="n">
        <v>0</v>
      </c>
      <c r="M148" t="n">
        <v>0</v>
      </c>
      <c r="N148" t="n">
        <v>0</v>
      </c>
      <c r="O148" t="n">
        <v>0</v>
      </c>
      <c r="P148" t="n">
        <v>0</v>
      </c>
      <c r="Q148" t="n">
        <v>0</v>
      </c>
      <c r="R148" s="2" t="inlineStr"/>
    </row>
    <row r="149" ht="15" customHeight="1">
      <c r="A149" t="inlineStr">
        <is>
          <t>A 61771-2025</t>
        </is>
      </c>
      <c r="B149" s="1" t="n">
        <v>46002.6478587963</v>
      </c>
      <c r="C149" s="1" t="n">
        <v>46077</v>
      </c>
      <c r="D149" t="inlineStr">
        <is>
          <t>VÄSTRA GÖTALANDS LÄN</t>
        </is>
      </c>
      <c r="E149" t="inlineStr">
        <is>
          <t>ALE</t>
        </is>
      </c>
      <c r="G149" t="n">
        <v>3.9</v>
      </c>
      <c r="H149" t="n">
        <v>0</v>
      </c>
      <c r="I149" t="n">
        <v>0</v>
      </c>
      <c r="J149" t="n">
        <v>0</v>
      </c>
      <c r="K149" t="n">
        <v>0</v>
      </c>
      <c r="L149" t="n">
        <v>0</v>
      </c>
      <c r="M149" t="n">
        <v>0</v>
      </c>
      <c r="N149" t="n">
        <v>0</v>
      </c>
      <c r="O149" t="n">
        <v>0</v>
      </c>
      <c r="P149" t="n">
        <v>0</v>
      </c>
      <c r="Q149" t="n">
        <v>0</v>
      </c>
      <c r="R149" s="2" t="inlineStr"/>
    </row>
    <row r="150" ht="15" customHeight="1">
      <c r="A150" t="inlineStr">
        <is>
          <t>A 61819-2025</t>
        </is>
      </c>
      <c r="B150" s="1" t="n">
        <v>46003.3241087963</v>
      </c>
      <c r="C150" s="1" t="n">
        <v>46077</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25849-2025</t>
        </is>
      </c>
      <c r="B151" s="1" t="n">
        <v>45804</v>
      </c>
      <c r="C151" s="1" t="n">
        <v>46077</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25848-2025</t>
        </is>
      </c>
      <c r="B152" s="1" t="n">
        <v>45804</v>
      </c>
      <c r="C152" s="1" t="n">
        <v>46077</v>
      </c>
      <c r="D152" t="inlineStr">
        <is>
          <t>VÄSTRA GÖTALANDS LÄN</t>
        </is>
      </c>
      <c r="E152" t="inlineStr">
        <is>
          <t>ALE</t>
        </is>
      </c>
      <c r="G152" t="n">
        <v>1.1</v>
      </c>
      <c r="H152" t="n">
        <v>0</v>
      </c>
      <c r="I152" t="n">
        <v>0</v>
      </c>
      <c r="J152" t="n">
        <v>0</v>
      </c>
      <c r="K152" t="n">
        <v>0</v>
      </c>
      <c r="L152" t="n">
        <v>0</v>
      </c>
      <c r="M152" t="n">
        <v>0</v>
      </c>
      <c r="N152" t="n">
        <v>0</v>
      </c>
      <c r="O152" t="n">
        <v>0</v>
      </c>
      <c r="P152" t="n">
        <v>0</v>
      </c>
      <c r="Q152" t="n">
        <v>0</v>
      </c>
      <c r="R152" s="2" t="inlineStr"/>
    </row>
    <row r="153" ht="15" customHeight="1">
      <c r="A153" t="inlineStr">
        <is>
          <t>A 25840-2025</t>
        </is>
      </c>
      <c r="B153" s="1" t="n">
        <v>45804</v>
      </c>
      <c r="C153" s="1" t="n">
        <v>46077</v>
      </c>
      <c r="D153" t="inlineStr">
        <is>
          <t>VÄSTRA GÖTALANDS LÄN</t>
        </is>
      </c>
      <c r="E153" t="inlineStr">
        <is>
          <t>ALE</t>
        </is>
      </c>
      <c r="G153" t="n">
        <v>3.8</v>
      </c>
      <c r="H153" t="n">
        <v>0</v>
      </c>
      <c r="I153" t="n">
        <v>0</v>
      </c>
      <c r="J153" t="n">
        <v>0</v>
      </c>
      <c r="K153" t="n">
        <v>0</v>
      </c>
      <c r="L153" t="n">
        <v>0</v>
      </c>
      <c r="M153" t="n">
        <v>0</v>
      </c>
      <c r="N153" t="n">
        <v>0</v>
      </c>
      <c r="O153" t="n">
        <v>0</v>
      </c>
      <c r="P153" t="n">
        <v>0</v>
      </c>
      <c r="Q153" t="n">
        <v>0</v>
      </c>
      <c r="R153" s="2" t="inlineStr"/>
    </row>
    <row r="154" ht="15" customHeight="1">
      <c r="A154" t="inlineStr">
        <is>
          <t>A 62828-2025</t>
        </is>
      </c>
      <c r="B154" s="1" t="n">
        <v>46008.66553240741</v>
      </c>
      <c r="C154" s="1" t="n">
        <v>46077</v>
      </c>
      <c r="D154" t="inlineStr">
        <is>
          <t>VÄSTRA GÖTALANDS LÄN</t>
        </is>
      </c>
      <c r="E154" t="inlineStr">
        <is>
          <t>ALE</t>
        </is>
      </c>
      <c r="G154" t="n">
        <v>2.6</v>
      </c>
      <c r="H154" t="n">
        <v>0</v>
      </c>
      <c r="I154" t="n">
        <v>0</v>
      </c>
      <c r="J154" t="n">
        <v>0</v>
      </c>
      <c r="K154" t="n">
        <v>0</v>
      </c>
      <c r="L154" t="n">
        <v>0</v>
      </c>
      <c r="M154" t="n">
        <v>0</v>
      </c>
      <c r="N154" t="n">
        <v>0</v>
      </c>
      <c r="O154" t="n">
        <v>0</v>
      </c>
      <c r="P154" t="n">
        <v>0</v>
      </c>
      <c r="Q154" t="n">
        <v>0</v>
      </c>
      <c r="R154" s="2" t="inlineStr"/>
    </row>
    <row r="155" ht="15" customHeight="1">
      <c r="A155" t="inlineStr">
        <is>
          <t>A 8956-2025</t>
        </is>
      </c>
      <c r="B155" s="1" t="n">
        <v>45713.46825231481</v>
      </c>
      <c r="C155" s="1" t="n">
        <v>46077</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6621-2026</t>
        </is>
      </c>
      <c r="B156" s="1" t="n">
        <v>46056.4970949074</v>
      </c>
      <c r="C156" s="1" t="n">
        <v>46077</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8659-2025</t>
        </is>
      </c>
      <c r="B157" s="1" t="n">
        <v>45712</v>
      </c>
      <c r="C157" s="1" t="n">
        <v>46077</v>
      </c>
      <c r="D157" t="inlineStr">
        <is>
          <t>VÄSTRA GÖTALANDS LÄN</t>
        </is>
      </c>
      <c r="E157" t="inlineStr">
        <is>
          <t>ALE</t>
        </is>
      </c>
      <c r="G157" t="n">
        <v>5.7</v>
      </c>
      <c r="H157" t="n">
        <v>0</v>
      </c>
      <c r="I157" t="n">
        <v>0</v>
      </c>
      <c r="J157" t="n">
        <v>0</v>
      </c>
      <c r="K157" t="n">
        <v>0</v>
      </c>
      <c r="L157" t="n">
        <v>0</v>
      </c>
      <c r="M157" t="n">
        <v>0</v>
      </c>
      <c r="N157" t="n">
        <v>0</v>
      </c>
      <c r="O157" t="n">
        <v>0</v>
      </c>
      <c r="P157" t="n">
        <v>0</v>
      </c>
      <c r="Q157" t="n">
        <v>0</v>
      </c>
      <c r="R157" s="2" t="inlineStr"/>
    </row>
    <row r="158" ht="15" customHeight="1">
      <c r="A158" t="inlineStr">
        <is>
          <t>A 5344-2024</t>
        </is>
      </c>
      <c r="B158" s="1" t="n">
        <v>45331</v>
      </c>
      <c r="C158" s="1" t="n">
        <v>46077</v>
      </c>
      <c r="D158" t="inlineStr">
        <is>
          <t>VÄSTRA GÖTALANDS LÄN</t>
        </is>
      </c>
      <c r="E158" t="inlineStr">
        <is>
          <t>ALE</t>
        </is>
      </c>
      <c r="G158" t="n">
        <v>2.5</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46077</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59933-2023</t>
        </is>
      </c>
      <c r="B160" s="1" t="n">
        <v>45257</v>
      </c>
      <c r="C160" s="1" t="n">
        <v>46077</v>
      </c>
      <c r="D160" t="inlineStr">
        <is>
          <t>VÄSTRA GÖTALANDS LÄN</t>
        </is>
      </c>
      <c r="E160" t="inlineStr">
        <is>
          <t>ALE</t>
        </is>
      </c>
      <c r="G160" t="n">
        <v>2.7</v>
      </c>
      <c r="H160" t="n">
        <v>0</v>
      </c>
      <c r="I160" t="n">
        <v>0</v>
      </c>
      <c r="J160" t="n">
        <v>0</v>
      </c>
      <c r="K160" t="n">
        <v>0</v>
      </c>
      <c r="L160" t="n">
        <v>0</v>
      </c>
      <c r="M160" t="n">
        <v>0</v>
      </c>
      <c r="N160" t="n">
        <v>0</v>
      </c>
      <c r="O160" t="n">
        <v>0</v>
      </c>
      <c r="P160" t="n">
        <v>0</v>
      </c>
      <c r="Q160" t="n">
        <v>0</v>
      </c>
      <c r="R160" s="2" t="inlineStr"/>
    </row>
    <row r="161" ht="15" customHeight="1">
      <c r="A161" t="inlineStr">
        <is>
          <t>A 7296-2026</t>
        </is>
      </c>
      <c r="B161" s="1" t="n">
        <v>46058.64341435185</v>
      </c>
      <c r="C161" s="1" t="n">
        <v>46077</v>
      </c>
      <c r="D161" t="inlineStr">
        <is>
          <t>VÄSTRA GÖTALANDS LÄN</t>
        </is>
      </c>
      <c r="E161" t="inlineStr">
        <is>
          <t>ALE</t>
        </is>
      </c>
      <c r="G161" t="n">
        <v>7.2</v>
      </c>
      <c r="H161" t="n">
        <v>0</v>
      </c>
      <c r="I161" t="n">
        <v>0</v>
      </c>
      <c r="J161" t="n">
        <v>0</v>
      </c>
      <c r="K161" t="n">
        <v>0</v>
      </c>
      <c r="L161" t="n">
        <v>0</v>
      </c>
      <c r="M161" t="n">
        <v>0</v>
      </c>
      <c r="N161" t="n">
        <v>0</v>
      </c>
      <c r="O161" t="n">
        <v>0</v>
      </c>
      <c r="P161" t="n">
        <v>0</v>
      </c>
      <c r="Q161" t="n">
        <v>0</v>
      </c>
      <c r="R161" s="2" t="inlineStr"/>
    </row>
    <row r="162" ht="15" customHeight="1">
      <c r="A162" t="inlineStr">
        <is>
          <t>A 29373-2025</t>
        </is>
      </c>
      <c r="B162" s="1" t="n">
        <v>45824.579375</v>
      </c>
      <c r="C162" s="1" t="n">
        <v>46077</v>
      </c>
      <c r="D162" t="inlineStr">
        <is>
          <t>VÄSTRA GÖTALANDS LÄN</t>
        </is>
      </c>
      <c r="E162" t="inlineStr">
        <is>
          <t>ALE</t>
        </is>
      </c>
      <c r="G162" t="n">
        <v>4.6</v>
      </c>
      <c r="H162" t="n">
        <v>0</v>
      </c>
      <c r="I162" t="n">
        <v>0</v>
      </c>
      <c r="J162" t="n">
        <v>0</v>
      </c>
      <c r="K162" t="n">
        <v>0</v>
      </c>
      <c r="L162" t="n">
        <v>0</v>
      </c>
      <c r="M162" t="n">
        <v>0</v>
      </c>
      <c r="N162" t="n">
        <v>0</v>
      </c>
      <c r="O162" t="n">
        <v>0</v>
      </c>
      <c r="P162" t="n">
        <v>0</v>
      </c>
      <c r="Q162" t="n">
        <v>0</v>
      </c>
      <c r="R162" s="2" t="inlineStr"/>
    </row>
    <row r="163" ht="15" customHeight="1">
      <c r="A163" t="inlineStr">
        <is>
          <t>A 8111-2026</t>
        </is>
      </c>
      <c r="B163" s="1" t="n">
        <v>46062</v>
      </c>
      <c r="C163" s="1" t="n">
        <v>46077</v>
      </c>
      <c r="D163" t="inlineStr">
        <is>
          <t>VÄSTRA GÖTALANDS LÄN</t>
        </is>
      </c>
      <c r="E163" t="inlineStr">
        <is>
          <t>ALE</t>
        </is>
      </c>
      <c r="G163" t="n">
        <v>0.3</v>
      </c>
      <c r="H163" t="n">
        <v>0</v>
      </c>
      <c r="I163" t="n">
        <v>0</v>
      </c>
      <c r="J163" t="n">
        <v>0</v>
      </c>
      <c r="K163" t="n">
        <v>0</v>
      </c>
      <c r="L163" t="n">
        <v>0</v>
      </c>
      <c r="M163" t="n">
        <v>0</v>
      </c>
      <c r="N163" t="n">
        <v>0</v>
      </c>
      <c r="O163" t="n">
        <v>0</v>
      </c>
      <c r="P163" t="n">
        <v>0</v>
      </c>
      <c r="Q163" t="n">
        <v>0</v>
      </c>
      <c r="R163" s="2" t="inlineStr"/>
    </row>
    <row r="164" ht="15" customHeight="1">
      <c r="A164" t="inlineStr">
        <is>
          <t>A 13382-2025</t>
        </is>
      </c>
      <c r="B164" s="1" t="n">
        <v>45735.67928240741</v>
      </c>
      <c r="C164" s="1" t="n">
        <v>46077</v>
      </c>
      <c r="D164" t="inlineStr">
        <is>
          <t>VÄSTRA GÖTALANDS LÄN</t>
        </is>
      </c>
      <c r="E164" t="inlineStr">
        <is>
          <t>ALE</t>
        </is>
      </c>
      <c r="G164" t="n">
        <v>0.9</v>
      </c>
      <c r="H164" t="n">
        <v>0</v>
      </c>
      <c r="I164" t="n">
        <v>0</v>
      </c>
      <c r="J164" t="n">
        <v>0</v>
      </c>
      <c r="K164" t="n">
        <v>0</v>
      </c>
      <c r="L164" t="n">
        <v>0</v>
      </c>
      <c r="M164" t="n">
        <v>0</v>
      </c>
      <c r="N164" t="n">
        <v>0</v>
      </c>
      <c r="O164" t="n">
        <v>0</v>
      </c>
      <c r="P164" t="n">
        <v>0</v>
      </c>
      <c r="Q164" t="n">
        <v>0</v>
      </c>
      <c r="R164" s="2" t="inlineStr"/>
    </row>
    <row r="165" ht="15" customHeight="1">
      <c r="A165" t="inlineStr">
        <is>
          <t>A 13903-2025</t>
        </is>
      </c>
      <c r="B165" s="1" t="n">
        <v>45737.63481481482</v>
      </c>
      <c r="C165" s="1" t="n">
        <v>46077</v>
      </c>
      <c r="D165" t="inlineStr">
        <is>
          <t>VÄSTRA GÖTALANDS LÄN</t>
        </is>
      </c>
      <c r="E165" t="inlineStr">
        <is>
          <t>ALE</t>
        </is>
      </c>
      <c r="G165" t="n">
        <v>0.5</v>
      </c>
      <c r="H165" t="n">
        <v>0</v>
      </c>
      <c r="I165" t="n">
        <v>0</v>
      </c>
      <c r="J165" t="n">
        <v>0</v>
      </c>
      <c r="K165" t="n">
        <v>0</v>
      </c>
      <c r="L165" t="n">
        <v>0</v>
      </c>
      <c r="M165" t="n">
        <v>0</v>
      </c>
      <c r="N165" t="n">
        <v>0</v>
      </c>
      <c r="O165" t="n">
        <v>0</v>
      </c>
      <c r="P165" t="n">
        <v>0</v>
      </c>
      <c r="Q165" t="n">
        <v>0</v>
      </c>
      <c r="R165" s="2" t="inlineStr"/>
    </row>
    <row r="166" ht="15" customHeight="1">
      <c r="A166" t="inlineStr">
        <is>
          <t>A 8110-2026</t>
        </is>
      </c>
      <c r="B166" s="1" t="n">
        <v>46062</v>
      </c>
      <c r="C166" s="1" t="n">
        <v>46077</v>
      </c>
      <c r="D166" t="inlineStr">
        <is>
          <t>VÄSTRA GÖTALANDS LÄN</t>
        </is>
      </c>
      <c r="E166" t="inlineStr">
        <is>
          <t>ALE</t>
        </is>
      </c>
      <c r="G166" t="n">
        <v>0.7</v>
      </c>
      <c r="H166" t="n">
        <v>0</v>
      </c>
      <c r="I166" t="n">
        <v>0</v>
      </c>
      <c r="J166" t="n">
        <v>0</v>
      </c>
      <c r="K166" t="n">
        <v>0</v>
      </c>
      <c r="L166" t="n">
        <v>0</v>
      </c>
      <c r="M166" t="n">
        <v>0</v>
      </c>
      <c r="N166" t="n">
        <v>0</v>
      </c>
      <c r="O166" t="n">
        <v>0</v>
      </c>
      <c r="P166" t="n">
        <v>0</v>
      </c>
      <c r="Q166" t="n">
        <v>0</v>
      </c>
      <c r="R166" s="2" t="inlineStr"/>
    </row>
    <row r="167" ht="15" customHeight="1">
      <c r="A167" t="inlineStr">
        <is>
          <t>A 8112-2026</t>
        </is>
      </c>
      <c r="B167" s="1" t="n">
        <v>46062</v>
      </c>
      <c r="C167" s="1" t="n">
        <v>46077</v>
      </c>
      <c r="D167" t="inlineStr">
        <is>
          <t>VÄSTRA GÖTALANDS LÄN</t>
        </is>
      </c>
      <c r="E167" t="inlineStr">
        <is>
          <t>ALE</t>
        </is>
      </c>
      <c r="G167" t="n">
        <v>0.4</v>
      </c>
      <c r="H167" t="n">
        <v>0</v>
      </c>
      <c r="I167" t="n">
        <v>0</v>
      </c>
      <c r="J167" t="n">
        <v>0</v>
      </c>
      <c r="K167" t="n">
        <v>0</v>
      </c>
      <c r="L167" t="n">
        <v>0</v>
      </c>
      <c r="M167" t="n">
        <v>0</v>
      </c>
      <c r="N167" t="n">
        <v>0</v>
      </c>
      <c r="O167" t="n">
        <v>0</v>
      </c>
      <c r="P167" t="n">
        <v>0</v>
      </c>
      <c r="Q167" t="n">
        <v>0</v>
      </c>
      <c r="R167" s="2" t="inlineStr"/>
    </row>
    <row r="168" ht="15" customHeight="1">
      <c r="A168" t="inlineStr">
        <is>
          <t>A 31409-2025</t>
        </is>
      </c>
      <c r="B168" s="1" t="n">
        <v>45833</v>
      </c>
      <c r="C168" s="1" t="n">
        <v>46077</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31533-2025</t>
        </is>
      </c>
      <c r="B169" s="1" t="n">
        <v>45833</v>
      </c>
      <c r="C169" s="1" t="n">
        <v>46077</v>
      </c>
      <c r="D169" t="inlineStr">
        <is>
          <t>VÄSTRA GÖTALANDS LÄN</t>
        </is>
      </c>
      <c r="E169" t="inlineStr">
        <is>
          <t>ALE</t>
        </is>
      </c>
      <c r="G169" t="n">
        <v>1.6</v>
      </c>
      <c r="H169" t="n">
        <v>0</v>
      </c>
      <c r="I169" t="n">
        <v>0</v>
      </c>
      <c r="J169" t="n">
        <v>0</v>
      </c>
      <c r="K169" t="n">
        <v>0</v>
      </c>
      <c r="L169" t="n">
        <v>0</v>
      </c>
      <c r="M169" t="n">
        <v>0</v>
      </c>
      <c r="N169" t="n">
        <v>0</v>
      </c>
      <c r="O169" t="n">
        <v>0</v>
      </c>
      <c r="P169" t="n">
        <v>0</v>
      </c>
      <c r="Q169" t="n">
        <v>0</v>
      </c>
      <c r="R169" s="2" t="inlineStr"/>
    </row>
    <row r="170" ht="15" customHeight="1">
      <c r="A170" t="inlineStr">
        <is>
          <t>A 31488-2025</t>
        </is>
      </c>
      <c r="B170" s="1" t="n">
        <v>45833</v>
      </c>
      <c r="C170" s="1" t="n">
        <v>46077</v>
      </c>
      <c r="D170" t="inlineStr">
        <is>
          <t>VÄSTRA GÖTALANDS LÄN</t>
        </is>
      </c>
      <c r="E170" t="inlineStr">
        <is>
          <t>ALE</t>
        </is>
      </c>
      <c r="G170" t="n">
        <v>1.8</v>
      </c>
      <c r="H170" t="n">
        <v>0</v>
      </c>
      <c r="I170" t="n">
        <v>0</v>
      </c>
      <c r="J170" t="n">
        <v>0</v>
      </c>
      <c r="K170" t="n">
        <v>0</v>
      </c>
      <c r="L170" t="n">
        <v>0</v>
      </c>
      <c r="M170" t="n">
        <v>0</v>
      </c>
      <c r="N170" t="n">
        <v>0</v>
      </c>
      <c r="O170" t="n">
        <v>0</v>
      </c>
      <c r="P170" t="n">
        <v>0</v>
      </c>
      <c r="Q170" t="n">
        <v>0</v>
      </c>
      <c r="R170" s="2" t="inlineStr"/>
    </row>
    <row r="171" ht="15" customHeight="1">
      <c r="A171" t="inlineStr">
        <is>
          <t>A 9783-2026</t>
        </is>
      </c>
      <c r="B171" s="1" t="n">
        <v>46072.58835648148</v>
      </c>
      <c r="C171" s="1" t="n">
        <v>46077</v>
      </c>
      <c r="D171" t="inlineStr">
        <is>
          <t>VÄSTRA GÖTALANDS LÄN</t>
        </is>
      </c>
      <c r="E171" t="inlineStr">
        <is>
          <t>ALE</t>
        </is>
      </c>
      <c r="G171" t="n">
        <v>4.9</v>
      </c>
      <c r="H171" t="n">
        <v>0</v>
      </c>
      <c r="I171" t="n">
        <v>0</v>
      </c>
      <c r="J171" t="n">
        <v>0</v>
      </c>
      <c r="K171" t="n">
        <v>0</v>
      </c>
      <c r="L171" t="n">
        <v>0</v>
      </c>
      <c r="M171" t="n">
        <v>0</v>
      </c>
      <c r="N171" t="n">
        <v>0</v>
      </c>
      <c r="O171" t="n">
        <v>0</v>
      </c>
      <c r="P171" t="n">
        <v>0</v>
      </c>
      <c r="Q171" t="n">
        <v>0</v>
      </c>
      <c r="R171" s="2" t="inlineStr"/>
    </row>
    <row r="172" ht="15" customHeight="1">
      <c r="A172" t="inlineStr">
        <is>
          <t>A 1291-2026</t>
        </is>
      </c>
      <c r="B172" s="1" t="n">
        <v>46031.50569444444</v>
      </c>
      <c r="C172" s="1" t="n">
        <v>46077</v>
      </c>
      <c r="D172" t="inlineStr">
        <is>
          <t>VÄSTRA GÖTALANDS LÄN</t>
        </is>
      </c>
      <c r="E172" t="inlineStr">
        <is>
          <t>ALE</t>
        </is>
      </c>
      <c r="G172" t="n">
        <v>0.9</v>
      </c>
      <c r="H172" t="n">
        <v>0</v>
      </c>
      <c r="I172" t="n">
        <v>0</v>
      </c>
      <c r="J172" t="n">
        <v>0</v>
      </c>
      <c r="K172" t="n">
        <v>0</v>
      </c>
      <c r="L172" t="n">
        <v>0</v>
      </c>
      <c r="M172" t="n">
        <v>0</v>
      </c>
      <c r="N172" t="n">
        <v>0</v>
      </c>
      <c r="O172" t="n">
        <v>0</v>
      </c>
      <c r="P172" t="n">
        <v>0</v>
      </c>
      <c r="Q172" t="n">
        <v>0</v>
      </c>
      <c r="R172" s="2" t="inlineStr"/>
    </row>
    <row r="173">
      <c r="A173" t="inlineStr">
        <is>
          <t>A 49955-2021</t>
        </is>
      </c>
      <c r="B173" s="1" t="n">
        <v>44456</v>
      </c>
      <c r="C173" s="1" t="n">
        <v>46077</v>
      </c>
      <c r="D173" t="inlineStr">
        <is>
          <t>VÄSTRA GÖTALANDS LÄN</t>
        </is>
      </c>
      <c r="E173" t="inlineStr">
        <is>
          <t>ALE</t>
        </is>
      </c>
      <c r="G173" t="n">
        <v>2.2</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2026-02-24T11:05:55Z</dcterms:created>
  <dcterms:modified xmlns:dcterms="http://purl.org/dc/terms/" xmlns:xsi="http://www.w3.org/2001/XMLSchema-instance" xsi:type="dcterms:W3CDTF">2026-02-24T11:05:55Z</dcterms:modified>
</cp:coreProperties>
</file>