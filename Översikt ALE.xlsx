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46070</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46070</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46070</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46070</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46070</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46070</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46070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46070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37005-2025</t>
        </is>
      </c>
      <c r="B11" s="1" t="n">
        <v>45874.69311342593</v>
      </c>
      <c r="C11" s="1" t="n">
        <v>46070</v>
      </c>
      <c r="D11" t="inlineStr">
        <is>
          <t>VÄSTRA GÖTALANDS LÄN</t>
        </is>
      </c>
      <c r="E11" t="inlineStr">
        <is>
          <t>ALE</t>
        </is>
      </c>
      <c r="G11" t="n">
        <v>1.9</v>
      </c>
      <c r="H11" t="n">
        <v>4</v>
      </c>
      <c r="I11" t="n">
        <v>3</v>
      </c>
      <c r="J11" t="n">
        <v>1</v>
      </c>
      <c r="K11" t="n">
        <v>0</v>
      </c>
      <c r="L11" t="n">
        <v>0</v>
      </c>
      <c r="M11" t="n">
        <v>1</v>
      </c>
      <c r="N11" t="n">
        <v>0</v>
      </c>
      <c r="O11" t="n">
        <v>2</v>
      </c>
      <c r="P11" t="n">
        <v>1</v>
      </c>
      <c r="Q11" t="n">
        <v>8</v>
      </c>
      <c r="R11" s="2" t="inlineStr">
        <is>
          <t>Skogsalm
Spillkråka
Blomkålssvamp
Grovticka
Västlig hakmossa
Kungsfågel
Vanlig groda
Revlummer</t>
        </is>
      </c>
      <c r="S11">
        <f>HYPERLINK("https://klasma.github.io/Logging_1440/artfynd/A 37005-2025 artfynd.xlsx", "A 37005-2025")</f>
        <v/>
      </c>
      <c r="T11">
        <f>HYPERLINK("https://klasma.github.io/Logging_1440/kartor/A 37005-2025 karta.png", "A 37005-2025")</f>
        <v/>
      </c>
      <c r="V11">
        <f>HYPERLINK("https://klasma.github.io/Logging_1440/klagomål/A 37005-2025 FSC-klagomål.docx", "A 37005-2025")</f>
        <v/>
      </c>
      <c r="W11">
        <f>HYPERLINK("https://klasma.github.io/Logging_1440/klagomålsmail/A 37005-2025 FSC-klagomål mail.docx", "A 37005-2025")</f>
        <v/>
      </c>
      <c r="X11">
        <f>HYPERLINK("https://klasma.github.io/Logging_1440/tillsyn/A 37005-2025 tillsynsbegäran.docx", "A 37005-2025")</f>
        <v/>
      </c>
      <c r="Y11">
        <f>HYPERLINK("https://klasma.github.io/Logging_1440/tillsynsmail/A 37005-2025 tillsynsbegäran mail.docx", "A 37005-2025")</f>
        <v/>
      </c>
      <c r="Z11">
        <f>HYPERLINK("https://klasma.github.io/Logging_1440/fåglar/A 37005-2025 prioriterade fågelarter.docx", "A 37005-2025")</f>
        <v/>
      </c>
    </row>
    <row r="12" ht="15" customHeight="1">
      <c r="A12" t="inlineStr">
        <is>
          <t>A 40059-2025</t>
        </is>
      </c>
      <c r="B12" s="1" t="n">
        <v>45894.42600694444</v>
      </c>
      <c r="C12" s="1" t="n">
        <v>46070</v>
      </c>
      <c r="D12" t="inlineStr">
        <is>
          <t>VÄSTRA GÖTALANDS LÄN</t>
        </is>
      </c>
      <c r="E12" t="inlineStr">
        <is>
          <t>ALE</t>
        </is>
      </c>
      <c r="G12" t="n">
        <v>0.9</v>
      </c>
      <c r="H12" t="n">
        <v>6</v>
      </c>
      <c r="I12" t="n">
        <v>1</v>
      </c>
      <c r="J12" t="n">
        <v>2</v>
      </c>
      <c r="K12" t="n">
        <v>0</v>
      </c>
      <c r="L12" t="n">
        <v>0</v>
      </c>
      <c r="M12" t="n">
        <v>0</v>
      </c>
      <c r="N12" t="n">
        <v>0</v>
      </c>
      <c r="O12" t="n">
        <v>2</v>
      </c>
      <c r="P12" t="n">
        <v>0</v>
      </c>
      <c r="Q12" t="n">
        <v>7</v>
      </c>
      <c r="R12" s="2" t="inlineStr">
        <is>
          <t>Spillkråka
Talltita
Blåmossa
Grönsiska
Tjäder
Trana
Revlummer</t>
        </is>
      </c>
      <c r="S12">
        <f>HYPERLINK("https://klasma.github.io/Logging_1440/artfynd/A 40059-2025 artfynd.xlsx", "A 40059-2025")</f>
        <v/>
      </c>
      <c r="T12">
        <f>HYPERLINK("https://klasma.github.io/Logging_1440/kartor/A 40059-2025 karta.png", "A 40059-2025")</f>
        <v/>
      </c>
      <c r="V12">
        <f>HYPERLINK("https://klasma.github.io/Logging_1440/klagomål/A 40059-2025 FSC-klagomål.docx", "A 40059-2025")</f>
        <v/>
      </c>
      <c r="W12">
        <f>HYPERLINK("https://klasma.github.io/Logging_1440/klagomålsmail/A 40059-2025 FSC-klagomål mail.docx", "A 40059-2025")</f>
        <v/>
      </c>
      <c r="X12">
        <f>HYPERLINK("https://klasma.github.io/Logging_1440/tillsyn/A 40059-2025 tillsynsbegäran.docx", "A 40059-2025")</f>
        <v/>
      </c>
      <c r="Y12">
        <f>HYPERLINK("https://klasma.github.io/Logging_1440/tillsynsmail/A 40059-2025 tillsynsbegäran mail.docx", "A 40059-2025")</f>
        <v/>
      </c>
      <c r="Z12">
        <f>HYPERLINK("https://klasma.github.io/Logging_1440/fåglar/A 40059-2025 prioriterade fågelarter.docx", "A 40059-2025")</f>
        <v/>
      </c>
    </row>
    <row r="13" ht="15" customHeight="1">
      <c r="A13" t="inlineStr">
        <is>
          <t>A 46084-2025</t>
        </is>
      </c>
      <c r="B13" s="1" t="n">
        <v>45924.51282407407</v>
      </c>
      <c r="C13" s="1" t="n">
        <v>46070</v>
      </c>
      <c r="D13" t="inlineStr">
        <is>
          <t>VÄSTRA GÖTALANDS LÄN</t>
        </is>
      </c>
      <c r="E13" t="inlineStr">
        <is>
          <t>ALE</t>
        </is>
      </c>
      <c r="G13" t="n">
        <v>4.2</v>
      </c>
      <c r="H13" t="n">
        <v>3</v>
      </c>
      <c r="I13" t="n">
        <v>4</v>
      </c>
      <c r="J13" t="n">
        <v>2</v>
      </c>
      <c r="K13" t="n">
        <v>0</v>
      </c>
      <c r="L13" t="n">
        <v>0</v>
      </c>
      <c r="M13" t="n">
        <v>0</v>
      </c>
      <c r="N13" t="n">
        <v>0</v>
      </c>
      <c r="O13" t="n">
        <v>2</v>
      </c>
      <c r="P13" t="n">
        <v>0</v>
      </c>
      <c r="Q13" t="n">
        <v>7</v>
      </c>
      <c r="R13" s="2" t="inlineStr">
        <is>
          <t>Spillkråka
Talltita
Blåmossa
Havstulpanlav
Kambräken
Stor revmossa
Kungsfågel</t>
        </is>
      </c>
      <c r="S13">
        <f>HYPERLINK("https://klasma.github.io/Logging_1440/artfynd/A 46084-2025 artfynd.xlsx", "A 46084-2025")</f>
        <v/>
      </c>
      <c r="T13">
        <f>HYPERLINK("https://klasma.github.io/Logging_1440/kartor/A 46084-2025 karta.png", "A 46084-2025")</f>
        <v/>
      </c>
      <c r="V13">
        <f>HYPERLINK("https://klasma.github.io/Logging_1440/klagomål/A 46084-2025 FSC-klagomål.docx", "A 46084-2025")</f>
        <v/>
      </c>
      <c r="W13">
        <f>HYPERLINK("https://klasma.github.io/Logging_1440/klagomålsmail/A 46084-2025 FSC-klagomål mail.docx", "A 46084-2025")</f>
        <v/>
      </c>
      <c r="X13">
        <f>HYPERLINK("https://klasma.github.io/Logging_1440/tillsyn/A 46084-2025 tillsynsbegäran.docx", "A 46084-2025")</f>
        <v/>
      </c>
      <c r="Y13">
        <f>HYPERLINK("https://klasma.github.io/Logging_1440/tillsynsmail/A 46084-2025 tillsynsbegäran mail.docx", "A 46084-2025")</f>
        <v/>
      </c>
      <c r="Z13">
        <f>HYPERLINK("https://klasma.github.io/Logging_1440/fåglar/A 46084-2025 prioriterade fågelarter.docx", "A 46084-2025")</f>
        <v/>
      </c>
    </row>
    <row r="14" ht="15" customHeight="1">
      <c r="A14" t="inlineStr">
        <is>
          <t>A 24162-2025</t>
        </is>
      </c>
      <c r="B14" s="1" t="n">
        <v>45796</v>
      </c>
      <c r="C14" s="1" t="n">
        <v>46070</v>
      </c>
      <c r="D14" t="inlineStr">
        <is>
          <t>VÄSTRA GÖTALANDS LÄN</t>
        </is>
      </c>
      <c r="E14" t="inlineStr">
        <is>
          <t>ALE</t>
        </is>
      </c>
      <c r="G14" t="n">
        <v>5.5</v>
      </c>
      <c r="H14" t="n">
        <v>4</v>
      </c>
      <c r="I14" t="n">
        <v>2</v>
      </c>
      <c r="J14" t="n">
        <v>1</v>
      </c>
      <c r="K14" t="n">
        <v>0</v>
      </c>
      <c r="L14" t="n">
        <v>0</v>
      </c>
      <c r="M14" t="n">
        <v>0</v>
      </c>
      <c r="N14" t="n">
        <v>0</v>
      </c>
      <c r="O14" t="n">
        <v>1</v>
      </c>
      <c r="P14" t="n">
        <v>0</v>
      </c>
      <c r="Q14" t="n">
        <v>6</v>
      </c>
      <c r="R14" s="2" t="inlineStr">
        <is>
          <t>Spillkråka
Blanksvart trämyra
Blåmossa
Kungsfågel
Trana
Revlummer</t>
        </is>
      </c>
      <c r="S14">
        <f>HYPERLINK("https://klasma.github.io/Logging_1440/artfynd/A 24162-2025 artfynd.xlsx", "A 24162-2025")</f>
        <v/>
      </c>
      <c r="T14">
        <f>HYPERLINK("https://klasma.github.io/Logging_1440/kartor/A 24162-2025 karta.png", "A 24162-2025")</f>
        <v/>
      </c>
      <c r="V14">
        <f>HYPERLINK("https://klasma.github.io/Logging_1440/klagomål/A 24162-2025 FSC-klagomål.docx", "A 24162-2025")</f>
        <v/>
      </c>
      <c r="W14">
        <f>HYPERLINK("https://klasma.github.io/Logging_1440/klagomålsmail/A 24162-2025 FSC-klagomål mail.docx", "A 24162-2025")</f>
        <v/>
      </c>
      <c r="X14">
        <f>HYPERLINK("https://klasma.github.io/Logging_1440/tillsyn/A 24162-2025 tillsynsbegäran.docx", "A 24162-2025")</f>
        <v/>
      </c>
      <c r="Y14">
        <f>HYPERLINK("https://klasma.github.io/Logging_1440/tillsynsmail/A 24162-2025 tillsynsbegäran mail.docx", "A 24162-2025")</f>
        <v/>
      </c>
      <c r="Z14">
        <f>HYPERLINK("https://klasma.github.io/Logging_1440/fåglar/A 24162-2025 prioriterade fågelarter.docx", "A 24162-2025")</f>
        <v/>
      </c>
    </row>
    <row r="15" ht="15" customHeight="1">
      <c r="A15" t="inlineStr">
        <is>
          <t>A 8113-2026</t>
        </is>
      </c>
      <c r="B15" s="1" t="n">
        <v>46062</v>
      </c>
      <c r="C15" s="1" t="n">
        <v>46070</v>
      </c>
      <c r="D15" t="inlineStr">
        <is>
          <t>VÄSTRA GÖTALANDS LÄN</t>
        </is>
      </c>
      <c r="E15" t="inlineStr">
        <is>
          <t>ALE</t>
        </is>
      </c>
      <c r="G15" t="n">
        <v>0.8</v>
      </c>
      <c r="H15" t="n">
        <v>0</v>
      </c>
      <c r="I15" t="n">
        <v>4</v>
      </c>
      <c r="J15" t="n">
        <v>1</v>
      </c>
      <c r="K15" t="n">
        <v>0</v>
      </c>
      <c r="L15" t="n">
        <v>0</v>
      </c>
      <c r="M15" t="n">
        <v>0</v>
      </c>
      <c r="N15" t="n">
        <v>0</v>
      </c>
      <c r="O15" t="n">
        <v>1</v>
      </c>
      <c r="P15" t="n">
        <v>0</v>
      </c>
      <c r="Q15" t="n">
        <v>5</v>
      </c>
      <c r="R15" s="2" t="inlineStr">
        <is>
          <t>Brunpudrad nållav
Kattfotslav
Kornig nållav
Stor revmossa
Vågbandad barkbock</t>
        </is>
      </c>
      <c r="S15">
        <f>HYPERLINK("https://klasma.github.io/Logging_1440/artfynd/A 8113-2026 artfynd.xlsx", "A 8113-2026")</f>
        <v/>
      </c>
      <c r="T15">
        <f>HYPERLINK("https://klasma.github.io/Logging_1440/kartor/A 8113-2026 karta.png", "A 8113-2026")</f>
        <v/>
      </c>
      <c r="V15">
        <f>HYPERLINK("https://klasma.github.io/Logging_1440/klagomål/A 8113-2026 FSC-klagomål.docx", "A 8113-2026")</f>
        <v/>
      </c>
      <c r="W15">
        <f>HYPERLINK("https://klasma.github.io/Logging_1440/klagomålsmail/A 8113-2026 FSC-klagomål mail.docx", "A 8113-2026")</f>
        <v/>
      </c>
      <c r="X15">
        <f>HYPERLINK("https://klasma.github.io/Logging_1440/tillsyn/A 8113-2026 tillsynsbegäran.docx", "A 8113-2026")</f>
        <v/>
      </c>
      <c r="Y15">
        <f>HYPERLINK("https://klasma.github.io/Logging_1440/tillsynsmail/A 8113-2026 tillsynsbegäran mail.docx", "A 8113-2026")</f>
        <v/>
      </c>
    </row>
    <row r="16" ht="15" customHeight="1">
      <c r="A16" t="inlineStr">
        <is>
          <t>A 26491-2024</t>
        </is>
      </c>
      <c r="B16" s="1" t="n">
        <v>45469</v>
      </c>
      <c r="C16" s="1" t="n">
        <v>46070</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7903-2024</t>
        </is>
      </c>
      <c r="B17" s="1" t="n">
        <v>45350</v>
      </c>
      <c r="C17" s="1" t="n">
        <v>46070</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60293-2025</t>
        </is>
      </c>
      <c r="B18" s="1" t="n">
        <v>45994.65568287037</v>
      </c>
      <c r="C18" s="1" t="n">
        <v>46070</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19934-2025</t>
        </is>
      </c>
      <c r="B19" s="1" t="n">
        <v>45771</v>
      </c>
      <c r="C19" s="1" t="n">
        <v>46070</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63575-2023</t>
        </is>
      </c>
      <c r="B20" s="1" t="n">
        <v>45275.39715277778</v>
      </c>
      <c r="C20" s="1" t="n">
        <v>46070</v>
      </c>
      <c r="D20" t="inlineStr">
        <is>
          <t>VÄSTRA GÖTALANDS LÄN</t>
        </is>
      </c>
      <c r="E20" t="inlineStr">
        <is>
          <t>ALE</t>
        </is>
      </c>
      <c r="G20" t="n">
        <v>1.2</v>
      </c>
      <c r="H20" t="n">
        <v>3</v>
      </c>
      <c r="I20" t="n">
        <v>0</v>
      </c>
      <c r="J20" t="n">
        <v>3</v>
      </c>
      <c r="K20" t="n">
        <v>0</v>
      </c>
      <c r="L20" t="n">
        <v>0</v>
      </c>
      <c r="M20" t="n">
        <v>0</v>
      </c>
      <c r="N20" t="n">
        <v>0</v>
      </c>
      <c r="O20" t="n">
        <v>3</v>
      </c>
      <c r="P20" t="n">
        <v>0</v>
      </c>
      <c r="Q20" t="n">
        <v>3</v>
      </c>
      <c r="R20" s="2" t="inlineStr">
        <is>
          <t>Gulsparv
Spillkråka
Talltita</t>
        </is>
      </c>
      <c r="S20">
        <f>HYPERLINK("https://klasma.github.io/Logging_1440/artfynd/A 63575-2023 artfynd.xlsx", "A 63575-2023")</f>
        <v/>
      </c>
      <c r="T20">
        <f>HYPERLINK("https://klasma.github.io/Logging_1440/kartor/A 63575-2023 karta.png", "A 63575-2023")</f>
        <v/>
      </c>
      <c r="V20">
        <f>HYPERLINK("https://klasma.github.io/Logging_1440/klagomål/A 63575-2023 FSC-klagomål.docx", "A 63575-2023")</f>
        <v/>
      </c>
      <c r="W20">
        <f>HYPERLINK("https://klasma.github.io/Logging_1440/klagomålsmail/A 63575-2023 FSC-klagomål mail.docx", "A 63575-2023")</f>
        <v/>
      </c>
      <c r="X20">
        <f>HYPERLINK("https://klasma.github.io/Logging_1440/tillsyn/A 63575-2023 tillsynsbegäran.docx", "A 63575-2023")</f>
        <v/>
      </c>
      <c r="Y20">
        <f>HYPERLINK("https://klasma.github.io/Logging_1440/tillsynsmail/A 63575-2023 tillsynsbegäran mail.docx", "A 63575-2023")</f>
        <v/>
      </c>
      <c r="Z20">
        <f>HYPERLINK("https://klasma.github.io/Logging_1440/fåglar/A 63575-2023 prioriterade fågelarter.docx", "A 63575-2023")</f>
        <v/>
      </c>
    </row>
    <row r="21" ht="15" customHeight="1">
      <c r="A21" t="inlineStr">
        <is>
          <t>A 40931-2025</t>
        </is>
      </c>
      <c r="B21" s="1" t="n">
        <v>45897.64783564815</v>
      </c>
      <c r="C21" s="1" t="n">
        <v>46070</v>
      </c>
      <c r="D21" t="inlineStr">
        <is>
          <t>VÄSTRA GÖTALANDS LÄN</t>
        </is>
      </c>
      <c r="E21" t="inlineStr">
        <is>
          <t>ALE</t>
        </is>
      </c>
      <c r="G21" t="n">
        <v>4.3</v>
      </c>
      <c r="H21" t="n">
        <v>1</v>
      </c>
      <c r="I21" t="n">
        <v>1</v>
      </c>
      <c r="J21" t="n">
        <v>1</v>
      </c>
      <c r="K21" t="n">
        <v>0</v>
      </c>
      <c r="L21" t="n">
        <v>0</v>
      </c>
      <c r="M21" t="n">
        <v>0</v>
      </c>
      <c r="N21" t="n">
        <v>0</v>
      </c>
      <c r="O21" t="n">
        <v>1</v>
      </c>
      <c r="P21" t="n">
        <v>0</v>
      </c>
      <c r="Q21" t="n">
        <v>2</v>
      </c>
      <c r="R21" s="2" t="inlineStr">
        <is>
          <t>Spillkråka
Blåmossa</t>
        </is>
      </c>
      <c r="S21">
        <f>HYPERLINK("https://klasma.github.io/Logging_1440/artfynd/A 40931-2025 artfynd.xlsx", "A 40931-2025")</f>
        <v/>
      </c>
      <c r="T21">
        <f>HYPERLINK("https://klasma.github.io/Logging_1440/kartor/A 40931-2025 karta.png", "A 40931-2025")</f>
        <v/>
      </c>
      <c r="V21">
        <f>HYPERLINK("https://klasma.github.io/Logging_1440/klagomål/A 40931-2025 FSC-klagomål.docx", "A 40931-2025")</f>
        <v/>
      </c>
      <c r="W21">
        <f>HYPERLINK("https://klasma.github.io/Logging_1440/klagomålsmail/A 40931-2025 FSC-klagomål mail.docx", "A 40931-2025")</f>
        <v/>
      </c>
      <c r="X21">
        <f>HYPERLINK("https://klasma.github.io/Logging_1440/tillsyn/A 40931-2025 tillsynsbegäran.docx", "A 40931-2025")</f>
        <v/>
      </c>
      <c r="Y21">
        <f>HYPERLINK("https://klasma.github.io/Logging_1440/tillsynsmail/A 40931-2025 tillsynsbegäran mail.docx", "A 40931-2025")</f>
        <v/>
      </c>
      <c r="Z21">
        <f>HYPERLINK("https://klasma.github.io/Logging_1440/fåglar/A 40931-2025 prioriterade fågelarter.docx", "A 40931-2025")</f>
        <v/>
      </c>
    </row>
    <row r="22" ht="15" customHeight="1">
      <c r="A22" t="inlineStr">
        <is>
          <t>A 1503-2024</t>
        </is>
      </c>
      <c r="B22" s="1" t="n">
        <v>45306.35041666667</v>
      </c>
      <c r="C22" s="1" t="n">
        <v>46070</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2270-2025</t>
        </is>
      </c>
      <c r="B23" s="1" t="n">
        <v>45673.54403935185</v>
      </c>
      <c r="C23" s="1" t="n">
        <v>46070</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13380-2025</t>
        </is>
      </c>
      <c r="B24" s="1" t="n">
        <v>45735.6765162037</v>
      </c>
      <c r="C24" s="1" t="n">
        <v>46070</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63569-2023</t>
        </is>
      </c>
      <c r="B25" s="1" t="n">
        <v>45275</v>
      </c>
      <c r="C25" s="1" t="n">
        <v>46070</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16534-2025</t>
        </is>
      </c>
      <c r="B26" s="1" t="n">
        <v>45751.65315972222</v>
      </c>
      <c r="C26" s="1" t="n">
        <v>46070</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46070</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46070</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8955-2025</t>
        </is>
      </c>
      <c r="B29" s="1" t="n">
        <v>45713.46528935185</v>
      </c>
      <c r="C29" s="1" t="n">
        <v>46070</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46070</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58954-2022</t>
        </is>
      </c>
      <c r="B31" s="1" t="n">
        <v>44903</v>
      </c>
      <c r="C31" s="1" t="n">
        <v>46070</v>
      </c>
      <c r="D31" t="inlineStr">
        <is>
          <t>VÄSTRA GÖTALANDS LÄN</t>
        </is>
      </c>
      <c r="E31" t="inlineStr">
        <is>
          <t>ALE</t>
        </is>
      </c>
      <c r="G31" t="n">
        <v>2.3</v>
      </c>
      <c r="H31" t="n">
        <v>1</v>
      </c>
      <c r="I31" t="n">
        <v>1</v>
      </c>
      <c r="J31" t="n">
        <v>1</v>
      </c>
      <c r="K31" t="n">
        <v>0</v>
      </c>
      <c r="L31" t="n">
        <v>0</v>
      </c>
      <c r="M31" t="n">
        <v>0</v>
      </c>
      <c r="N31" t="n">
        <v>0</v>
      </c>
      <c r="O31" t="n">
        <v>1</v>
      </c>
      <c r="P31" t="n">
        <v>0</v>
      </c>
      <c r="Q31" t="n">
        <v>2</v>
      </c>
      <c r="R31" s="2" t="inlineStr">
        <is>
          <t>Spillkråka
Västlig hakmossa</t>
        </is>
      </c>
      <c r="S31">
        <f>HYPERLINK("https://klasma.github.io/Logging_1440/artfynd/A 58954-2022 artfynd.xlsx", "A 58954-2022")</f>
        <v/>
      </c>
      <c r="T31">
        <f>HYPERLINK("https://klasma.github.io/Logging_1440/kartor/A 58954-2022 karta.png", "A 58954-2022")</f>
        <v/>
      </c>
      <c r="V31">
        <f>HYPERLINK("https://klasma.github.io/Logging_1440/klagomål/A 58954-2022 FSC-klagomål.docx", "A 58954-2022")</f>
        <v/>
      </c>
      <c r="W31">
        <f>HYPERLINK("https://klasma.github.io/Logging_1440/klagomålsmail/A 58954-2022 FSC-klagomål mail.docx", "A 58954-2022")</f>
        <v/>
      </c>
      <c r="X31">
        <f>HYPERLINK("https://klasma.github.io/Logging_1440/tillsyn/A 58954-2022 tillsynsbegäran.docx", "A 58954-2022")</f>
        <v/>
      </c>
      <c r="Y31">
        <f>HYPERLINK("https://klasma.github.io/Logging_1440/tillsynsmail/A 58954-2022 tillsynsbegäran mail.docx", "A 58954-2022")</f>
        <v/>
      </c>
      <c r="Z31">
        <f>HYPERLINK("https://klasma.github.io/Logging_1440/fåglar/A 58954-2022 prioriterade fågelarter.docx", "A 58954-2022")</f>
        <v/>
      </c>
    </row>
    <row r="32" ht="15" customHeight="1">
      <c r="A32" t="inlineStr">
        <is>
          <t>A 26677-2025</t>
        </is>
      </c>
      <c r="B32" s="1" t="n">
        <v>45810.42446759259</v>
      </c>
      <c r="C32" s="1" t="n">
        <v>46070</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62524-2025</t>
        </is>
      </c>
      <c r="B33" s="1" t="n">
        <v>46007.6247337963</v>
      </c>
      <c r="C33" s="1" t="n">
        <v>46070</v>
      </c>
      <c r="D33" t="inlineStr">
        <is>
          <t>VÄSTRA GÖTALANDS LÄN</t>
        </is>
      </c>
      <c r="E33" t="inlineStr">
        <is>
          <t>ALE</t>
        </is>
      </c>
      <c r="G33" t="n">
        <v>8</v>
      </c>
      <c r="H33" t="n">
        <v>1</v>
      </c>
      <c r="I33" t="n">
        <v>0</v>
      </c>
      <c r="J33" t="n">
        <v>0</v>
      </c>
      <c r="K33" t="n">
        <v>0</v>
      </c>
      <c r="L33" t="n">
        <v>0</v>
      </c>
      <c r="M33" t="n">
        <v>0</v>
      </c>
      <c r="N33" t="n">
        <v>0</v>
      </c>
      <c r="O33" t="n">
        <v>0</v>
      </c>
      <c r="P33" t="n">
        <v>0</v>
      </c>
      <c r="Q33" t="n">
        <v>1</v>
      </c>
      <c r="R33" s="2" t="inlineStr">
        <is>
          <t>Revlummer</t>
        </is>
      </c>
      <c r="S33">
        <f>HYPERLINK("https://klasma.github.io/Logging_1440/artfynd/A 62524-2025 artfynd.xlsx", "A 62524-2025")</f>
        <v/>
      </c>
      <c r="T33">
        <f>HYPERLINK("https://klasma.github.io/Logging_1440/kartor/A 62524-2025 karta.png", "A 62524-2025")</f>
        <v/>
      </c>
      <c r="V33">
        <f>HYPERLINK("https://klasma.github.io/Logging_1440/klagomål/A 62524-2025 FSC-klagomål.docx", "A 62524-2025")</f>
        <v/>
      </c>
      <c r="W33">
        <f>HYPERLINK("https://klasma.github.io/Logging_1440/klagomålsmail/A 62524-2025 FSC-klagomål mail.docx", "A 62524-2025")</f>
        <v/>
      </c>
      <c r="X33">
        <f>HYPERLINK("https://klasma.github.io/Logging_1440/tillsyn/A 62524-2025 tillsynsbegäran.docx", "A 62524-2025")</f>
        <v/>
      </c>
      <c r="Y33">
        <f>HYPERLINK("https://klasma.github.io/Logging_1440/tillsynsmail/A 62524-2025 tillsynsbegäran mail.docx", "A 62524-2025")</f>
        <v/>
      </c>
    </row>
    <row r="34" ht="15" customHeight="1">
      <c r="A34" t="inlineStr">
        <is>
          <t>A 13902-2025</t>
        </is>
      </c>
      <c r="B34" s="1" t="n">
        <v>45737.63446759259</v>
      </c>
      <c r="C34" s="1" t="n">
        <v>46070</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46070</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58412-2025</t>
        </is>
      </c>
      <c r="B36" s="1" t="n">
        <v>45985.57564814815</v>
      </c>
      <c r="C36" s="1" t="n">
        <v>46070</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12084-2025</t>
        </is>
      </c>
      <c r="B37" s="1" t="n">
        <v>45728.95387731482</v>
      </c>
      <c r="C37" s="1" t="n">
        <v>46070</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26493-2024</t>
        </is>
      </c>
      <c r="B38" s="1" t="n">
        <v>45469</v>
      </c>
      <c r="C38" s="1" t="n">
        <v>46070</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12982-2024</t>
        </is>
      </c>
      <c r="B39" s="1" t="n">
        <v>45385.53569444444</v>
      </c>
      <c r="C39" s="1" t="n">
        <v>46070</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21281-2021</t>
        </is>
      </c>
      <c r="B40" s="1" t="n">
        <v>44320.61850694445</v>
      </c>
      <c r="C40" s="1" t="n">
        <v>46070</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46070</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46070</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46070</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46070</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46070</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46070</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3179-2022</t>
        </is>
      </c>
      <c r="B47" s="1" t="n">
        <v>44582.61788194445</v>
      </c>
      <c r="C47" s="1" t="n">
        <v>46070</v>
      </c>
      <c r="D47" t="inlineStr">
        <is>
          <t>VÄSTRA GÖTALANDS LÄN</t>
        </is>
      </c>
      <c r="E47" t="inlineStr">
        <is>
          <t>ALE</t>
        </is>
      </c>
      <c r="G47" t="n">
        <v>2.9</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46070</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46070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46070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46070</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66893-2021</t>
        </is>
      </c>
      <c r="B52" s="1" t="n">
        <v>44522.49439814815</v>
      </c>
      <c r="C52" s="1" t="n">
        <v>46070</v>
      </c>
      <c r="D52" t="inlineStr">
        <is>
          <t>VÄSTRA GÖTALANDS LÄN</t>
        </is>
      </c>
      <c r="E52" t="inlineStr">
        <is>
          <t>ALE</t>
        </is>
      </c>
      <c r="G52" t="n">
        <v>1.4</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46070</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31566-2021</t>
        </is>
      </c>
      <c r="B54" s="1" t="n">
        <v>44369</v>
      </c>
      <c r="C54" s="1" t="n">
        <v>46070</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46070</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46070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46070</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46070</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46070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45189.35101851852</v>
      </c>
      <c r="C60" s="1" t="n">
        <v>46070</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44967.53349537037</v>
      </c>
      <c r="C61" s="1" t="n">
        <v>46070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1822-2024</t>
        </is>
      </c>
      <c r="B62" s="1" t="n">
        <v>45307.6205787037</v>
      </c>
      <c r="C62" s="1" t="n">
        <v>46070</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46070</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3418-2023</t>
        </is>
      </c>
      <c r="B64" s="1" t="n">
        <v>44949.56182870371</v>
      </c>
      <c r="C64" s="1" t="n">
        <v>46070</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4971-2024</t>
        </is>
      </c>
      <c r="B65" s="1" t="n">
        <v>45329</v>
      </c>
      <c r="C65" s="1" t="n">
        <v>46070</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22946-2025</t>
        </is>
      </c>
      <c r="B66" s="1" t="n">
        <v>45790.48229166667</v>
      </c>
      <c r="C66" s="1" t="n">
        <v>46070</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49955-2021</t>
        </is>
      </c>
      <c r="B67" s="1" t="n">
        <v>44456</v>
      </c>
      <c r="C67" s="1" t="n">
        <v>46070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61771-2025</t>
        </is>
      </c>
      <c r="B68" s="1" t="n">
        <v>46002.6478587963</v>
      </c>
      <c r="C68" s="1" t="n">
        <v>46070</v>
      </c>
      <c r="D68" t="inlineStr">
        <is>
          <t>VÄSTRA GÖTALANDS LÄN</t>
        </is>
      </c>
      <c r="E68" t="inlineStr">
        <is>
          <t>ALE</t>
        </is>
      </c>
      <c r="G68" t="n">
        <v>3.9</v>
      </c>
      <c r="H68" t="n">
        <v>0</v>
      </c>
      <c r="I68" t="n">
        <v>0</v>
      </c>
      <c r="J68" t="n">
        <v>0</v>
      </c>
      <c r="K68" t="n">
        <v>0</v>
      </c>
      <c r="L68" t="n">
        <v>0</v>
      </c>
      <c r="M68" t="n">
        <v>0</v>
      </c>
      <c r="N68" t="n">
        <v>0</v>
      </c>
      <c r="O68" t="n">
        <v>0</v>
      </c>
      <c r="P68" t="n">
        <v>0</v>
      </c>
      <c r="Q68" t="n">
        <v>0</v>
      </c>
      <c r="R68" s="2" t="inlineStr"/>
    </row>
    <row r="69" ht="15" customHeight="1">
      <c r="A69" t="inlineStr">
        <is>
          <t>A 37461-2024</t>
        </is>
      </c>
      <c r="B69" s="1" t="n">
        <v>45540.72516203704</v>
      </c>
      <c r="C69" s="1" t="n">
        <v>46070</v>
      </c>
      <c r="D69" t="inlineStr">
        <is>
          <t>VÄSTRA GÖTALANDS LÄN</t>
        </is>
      </c>
      <c r="E69" t="inlineStr">
        <is>
          <t>ALE</t>
        </is>
      </c>
      <c r="G69" t="n">
        <v>1.6</v>
      </c>
      <c r="H69" t="n">
        <v>0</v>
      </c>
      <c r="I69" t="n">
        <v>0</v>
      </c>
      <c r="J69" t="n">
        <v>0</v>
      </c>
      <c r="K69" t="n">
        <v>0</v>
      </c>
      <c r="L69" t="n">
        <v>0</v>
      </c>
      <c r="M69" t="n">
        <v>0</v>
      </c>
      <c r="N69" t="n">
        <v>0</v>
      </c>
      <c r="O69" t="n">
        <v>0</v>
      </c>
      <c r="P69" t="n">
        <v>0</v>
      </c>
      <c r="Q69" t="n">
        <v>0</v>
      </c>
      <c r="R69" s="2" t="inlineStr"/>
    </row>
    <row r="70" ht="15" customHeight="1">
      <c r="A70" t="inlineStr">
        <is>
          <t>A 61744-2025</t>
        </is>
      </c>
      <c r="B70" s="1" t="n">
        <v>46002.60298611111</v>
      </c>
      <c r="C70" s="1" t="n">
        <v>46070</v>
      </c>
      <c r="D70" t="inlineStr">
        <is>
          <t>VÄSTRA GÖTALANDS LÄN</t>
        </is>
      </c>
      <c r="E70" t="inlineStr">
        <is>
          <t>ALE</t>
        </is>
      </c>
      <c r="G70" t="n">
        <v>3.1</v>
      </c>
      <c r="H70" t="n">
        <v>0</v>
      </c>
      <c r="I70" t="n">
        <v>0</v>
      </c>
      <c r="J70" t="n">
        <v>0</v>
      </c>
      <c r="K70" t="n">
        <v>0</v>
      </c>
      <c r="L70" t="n">
        <v>0</v>
      </c>
      <c r="M70" t="n">
        <v>0</v>
      </c>
      <c r="N70" t="n">
        <v>0</v>
      </c>
      <c r="O70" t="n">
        <v>0</v>
      </c>
      <c r="P70" t="n">
        <v>0</v>
      </c>
      <c r="Q70" t="n">
        <v>0</v>
      </c>
      <c r="R70" s="2" t="inlineStr"/>
    </row>
    <row r="71" ht="15" customHeight="1">
      <c r="A71" t="inlineStr">
        <is>
          <t>A 61819-2025</t>
        </is>
      </c>
      <c r="B71" s="1" t="n">
        <v>46003.3241087963</v>
      </c>
      <c r="C71" s="1" t="n">
        <v>46070</v>
      </c>
      <c r="D71" t="inlineStr">
        <is>
          <t>VÄSTRA GÖTALANDS LÄN</t>
        </is>
      </c>
      <c r="E71" t="inlineStr">
        <is>
          <t>ALE</t>
        </is>
      </c>
      <c r="G71" t="n">
        <v>5.1</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46070</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46070</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46070</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46070</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46070</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25848-2025</t>
        </is>
      </c>
      <c r="B77" s="1" t="n">
        <v>45804</v>
      </c>
      <c r="C77" s="1" t="n">
        <v>46070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25840-2025</t>
        </is>
      </c>
      <c r="B78" s="1" t="n">
        <v>45804</v>
      </c>
      <c r="C78" s="1" t="n">
        <v>46070</v>
      </c>
      <c r="D78" t="inlineStr">
        <is>
          <t>VÄSTRA GÖTALANDS LÄN</t>
        </is>
      </c>
      <c r="E78" t="inlineStr">
        <is>
          <t>ALE</t>
        </is>
      </c>
      <c r="G78" t="n">
        <v>3.8</v>
      </c>
      <c r="H78" t="n">
        <v>0</v>
      </c>
      <c r="I78" t="n">
        <v>0</v>
      </c>
      <c r="J78" t="n">
        <v>0</v>
      </c>
      <c r="K78" t="n">
        <v>0</v>
      </c>
      <c r="L78" t="n">
        <v>0</v>
      </c>
      <c r="M78" t="n">
        <v>0</v>
      </c>
      <c r="N78" t="n">
        <v>0</v>
      </c>
      <c r="O78" t="n">
        <v>0</v>
      </c>
      <c r="P78" t="n">
        <v>0</v>
      </c>
      <c r="Q78" t="n">
        <v>0</v>
      </c>
      <c r="R78" s="2" t="inlineStr"/>
    </row>
    <row r="79" ht="15" customHeight="1">
      <c r="A79" t="inlineStr">
        <is>
          <t>A 53476-2023</t>
        </is>
      </c>
      <c r="B79" s="1" t="n">
        <v>45230.33737268519</v>
      </c>
      <c r="C79" s="1" t="n">
        <v>46070</v>
      </c>
      <c r="D79" t="inlineStr">
        <is>
          <t>VÄSTRA GÖTALANDS LÄN</t>
        </is>
      </c>
      <c r="E79" t="inlineStr">
        <is>
          <t>ALE</t>
        </is>
      </c>
      <c r="G79" t="n">
        <v>1.9</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46070</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51164-2024</t>
        </is>
      </c>
      <c r="B81" s="1" t="n">
        <v>45603.5830787037</v>
      </c>
      <c r="C81" s="1" t="n">
        <v>46070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18637-2023</t>
        </is>
      </c>
      <c r="B82" s="1" t="n">
        <v>45043</v>
      </c>
      <c r="C82" s="1" t="n">
        <v>46070</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59933-2023</t>
        </is>
      </c>
      <c r="B83" s="1" t="n">
        <v>45257</v>
      </c>
      <c r="C83" s="1" t="n">
        <v>46070</v>
      </c>
      <c r="D83" t="inlineStr">
        <is>
          <t>VÄSTRA GÖTALANDS LÄN</t>
        </is>
      </c>
      <c r="E83" t="inlineStr">
        <is>
          <t>ALE</t>
        </is>
      </c>
      <c r="G83" t="n">
        <v>2.7</v>
      </c>
      <c r="H83" t="n">
        <v>0</v>
      </c>
      <c r="I83" t="n">
        <v>0</v>
      </c>
      <c r="J83" t="n">
        <v>0</v>
      </c>
      <c r="K83" t="n">
        <v>0</v>
      </c>
      <c r="L83" t="n">
        <v>0</v>
      </c>
      <c r="M83" t="n">
        <v>0</v>
      </c>
      <c r="N83" t="n">
        <v>0</v>
      </c>
      <c r="O83" t="n">
        <v>0</v>
      </c>
      <c r="P83" t="n">
        <v>0</v>
      </c>
      <c r="Q83" t="n">
        <v>0</v>
      </c>
      <c r="R83" s="2" t="inlineStr"/>
    </row>
    <row r="84" ht="15" customHeight="1">
      <c r="A84" t="inlineStr">
        <is>
          <t>A 5344-2024</t>
        </is>
      </c>
      <c r="B84" s="1" t="n">
        <v>45331</v>
      </c>
      <c r="C84" s="1" t="n">
        <v>46070</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56493-2021</t>
        </is>
      </c>
      <c r="B85" s="1" t="n">
        <v>44480.57173611111</v>
      </c>
      <c r="C85" s="1" t="n">
        <v>46070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46070</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24642-2022</t>
        </is>
      </c>
      <c r="B87" s="1" t="n">
        <v>44727.59578703704</v>
      </c>
      <c r="C87" s="1" t="n">
        <v>46070</v>
      </c>
      <c r="D87" t="inlineStr">
        <is>
          <t>VÄSTRA GÖTALANDS LÄN</t>
        </is>
      </c>
      <c r="E87" t="inlineStr">
        <is>
          <t>ALE</t>
        </is>
      </c>
      <c r="G87" t="n">
        <v>10</v>
      </c>
      <c r="H87" t="n">
        <v>0</v>
      </c>
      <c r="I87" t="n">
        <v>0</v>
      </c>
      <c r="J87" t="n">
        <v>0</v>
      </c>
      <c r="K87" t="n">
        <v>0</v>
      </c>
      <c r="L87" t="n">
        <v>0</v>
      </c>
      <c r="M87" t="n">
        <v>0</v>
      </c>
      <c r="N87" t="n">
        <v>0</v>
      </c>
      <c r="O87" t="n">
        <v>0</v>
      </c>
      <c r="P87" t="n">
        <v>0</v>
      </c>
      <c r="Q87" t="n">
        <v>0</v>
      </c>
      <c r="R87" s="2" t="inlineStr"/>
    </row>
    <row r="88" ht="15" customHeight="1">
      <c r="A88" t="inlineStr">
        <is>
          <t>A 29373-2025</t>
        </is>
      </c>
      <c r="B88" s="1" t="n">
        <v>45824.579375</v>
      </c>
      <c r="C88" s="1" t="n">
        <v>46070</v>
      </c>
      <c r="D88" t="inlineStr">
        <is>
          <t>VÄSTRA GÖTALANDS LÄN</t>
        </is>
      </c>
      <c r="E88" t="inlineStr">
        <is>
          <t>ALE</t>
        </is>
      </c>
      <c r="G88" t="n">
        <v>4.6</v>
      </c>
      <c r="H88" t="n">
        <v>0</v>
      </c>
      <c r="I88" t="n">
        <v>0</v>
      </c>
      <c r="J88" t="n">
        <v>0</v>
      </c>
      <c r="K88" t="n">
        <v>0</v>
      </c>
      <c r="L88" t="n">
        <v>0</v>
      </c>
      <c r="M88" t="n">
        <v>0</v>
      </c>
      <c r="N88" t="n">
        <v>0</v>
      </c>
      <c r="O88" t="n">
        <v>0</v>
      </c>
      <c r="P88" t="n">
        <v>0</v>
      </c>
      <c r="Q88" t="n">
        <v>0</v>
      </c>
      <c r="R88" s="2" t="inlineStr"/>
    </row>
    <row r="89" ht="15" customHeight="1">
      <c r="A89" t="inlineStr">
        <is>
          <t>A 13382-2025</t>
        </is>
      </c>
      <c r="B89" s="1" t="n">
        <v>45735.67928240741</v>
      </c>
      <c r="C89" s="1" t="n">
        <v>46070</v>
      </c>
      <c r="D89" t="inlineStr">
        <is>
          <t>VÄSTRA GÖTALANDS LÄN</t>
        </is>
      </c>
      <c r="E89" t="inlineStr">
        <is>
          <t>ALE</t>
        </is>
      </c>
      <c r="G89" t="n">
        <v>0.9</v>
      </c>
      <c r="H89" t="n">
        <v>0</v>
      </c>
      <c r="I89" t="n">
        <v>0</v>
      </c>
      <c r="J89" t="n">
        <v>0</v>
      </c>
      <c r="K89" t="n">
        <v>0</v>
      </c>
      <c r="L89" t="n">
        <v>0</v>
      </c>
      <c r="M89" t="n">
        <v>0</v>
      </c>
      <c r="N89" t="n">
        <v>0</v>
      </c>
      <c r="O89" t="n">
        <v>0</v>
      </c>
      <c r="P89" t="n">
        <v>0</v>
      </c>
      <c r="Q89" t="n">
        <v>0</v>
      </c>
      <c r="R89" s="2" t="inlineStr"/>
    </row>
    <row r="90" ht="15" customHeight="1">
      <c r="A90" t="inlineStr">
        <is>
          <t>A 62828-2025</t>
        </is>
      </c>
      <c r="B90" s="1" t="n">
        <v>46008.66553240741</v>
      </c>
      <c r="C90" s="1" t="n">
        <v>46070</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13903-2025</t>
        </is>
      </c>
      <c r="B91" s="1" t="n">
        <v>45737.63481481482</v>
      </c>
      <c r="C91" s="1" t="n">
        <v>46070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32762-2023</t>
        </is>
      </c>
      <c r="B92" s="1" t="n">
        <v>45123.46649305556</v>
      </c>
      <c r="C92" s="1" t="n">
        <v>46070</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31409-2025</t>
        </is>
      </c>
      <c r="B93" s="1" t="n">
        <v>45833</v>
      </c>
      <c r="C93" s="1" t="n">
        <v>46070</v>
      </c>
      <c r="D93" t="inlineStr">
        <is>
          <t>VÄSTRA GÖTALANDS LÄN</t>
        </is>
      </c>
      <c r="E93" t="inlineStr">
        <is>
          <t>ALE</t>
        </is>
      </c>
      <c r="G93" t="n">
        <v>0.8</v>
      </c>
      <c r="H93" t="n">
        <v>0</v>
      </c>
      <c r="I93" t="n">
        <v>0</v>
      </c>
      <c r="J93" t="n">
        <v>0</v>
      </c>
      <c r="K93" t="n">
        <v>0</v>
      </c>
      <c r="L93" t="n">
        <v>0</v>
      </c>
      <c r="M93" t="n">
        <v>0</v>
      </c>
      <c r="N93" t="n">
        <v>0</v>
      </c>
      <c r="O93" t="n">
        <v>0</v>
      </c>
      <c r="P93" t="n">
        <v>0</v>
      </c>
      <c r="Q93" t="n">
        <v>0</v>
      </c>
      <c r="R93" s="2" t="inlineStr"/>
    </row>
    <row r="94" ht="15" customHeight="1">
      <c r="A94" t="inlineStr">
        <is>
          <t>A 31488-2025</t>
        </is>
      </c>
      <c r="B94" s="1" t="n">
        <v>45833</v>
      </c>
      <c r="C94" s="1" t="n">
        <v>46070</v>
      </c>
      <c r="D94" t="inlineStr">
        <is>
          <t>VÄSTRA GÖTALANDS LÄN</t>
        </is>
      </c>
      <c r="E94" t="inlineStr">
        <is>
          <t>ALE</t>
        </is>
      </c>
      <c r="G94" t="n">
        <v>1.8</v>
      </c>
      <c r="H94" t="n">
        <v>0</v>
      </c>
      <c r="I94" t="n">
        <v>0</v>
      </c>
      <c r="J94" t="n">
        <v>0</v>
      </c>
      <c r="K94" t="n">
        <v>0</v>
      </c>
      <c r="L94" t="n">
        <v>0</v>
      </c>
      <c r="M94" t="n">
        <v>0</v>
      </c>
      <c r="N94" t="n">
        <v>0</v>
      </c>
      <c r="O94" t="n">
        <v>0</v>
      </c>
      <c r="P94" t="n">
        <v>0</v>
      </c>
      <c r="Q94" t="n">
        <v>0</v>
      </c>
      <c r="R94" s="2" t="inlineStr"/>
    </row>
    <row r="95" ht="15" customHeight="1">
      <c r="A95" t="inlineStr">
        <is>
          <t>A 31533-2025</t>
        </is>
      </c>
      <c r="B95" s="1" t="n">
        <v>45833</v>
      </c>
      <c r="C95" s="1" t="n">
        <v>46070</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51564-2023</t>
        </is>
      </c>
      <c r="B96" s="1" t="n">
        <v>45222</v>
      </c>
      <c r="C96" s="1" t="n">
        <v>46070</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46226-2025</t>
        </is>
      </c>
      <c r="B97" s="1" t="n">
        <v>45924</v>
      </c>
      <c r="C97" s="1" t="n">
        <v>46070</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46227-2025</t>
        </is>
      </c>
      <c r="B98" s="1" t="n">
        <v>45924.90386574074</v>
      </c>
      <c r="C98" s="1" t="n">
        <v>46070</v>
      </c>
      <c r="D98" t="inlineStr">
        <is>
          <t>VÄSTRA GÖTALANDS LÄN</t>
        </is>
      </c>
      <c r="E98" t="inlineStr">
        <is>
          <t>ALE</t>
        </is>
      </c>
      <c r="G98" t="n">
        <v>0.3</v>
      </c>
      <c r="H98" t="n">
        <v>0</v>
      </c>
      <c r="I98" t="n">
        <v>0</v>
      </c>
      <c r="J98" t="n">
        <v>0</v>
      </c>
      <c r="K98" t="n">
        <v>0</v>
      </c>
      <c r="L98" t="n">
        <v>0</v>
      </c>
      <c r="M98" t="n">
        <v>0</v>
      </c>
      <c r="N98" t="n">
        <v>0</v>
      </c>
      <c r="O98" t="n">
        <v>0</v>
      </c>
      <c r="P98" t="n">
        <v>0</v>
      </c>
      <c r="Q98" t="n">
        <v>0</v>
      </c>
      <c r="R98" s="2" t="inlineStr"/>
    </row>
    <row r="99" ht="15" customHeight="1">
      <c r="A99" t="inlineStr">
        <is>
          <t>A 47592-2025</t>
        </is>
      </c>
      <c r="B99" s="1" t="n">
        <v>45931.44649305556</v>
      </c>
      <c r="C99" s="1" t="n">
        <v>46070</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46070</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47728-2025</t>
        </is>
      </c>
      <c r="B101" s="1" t="n">
        <v>45931.63186342592</v>
      </c>
      <c r="C101" s="1" t="n">
        <v>46070</v>
      </c>
      <c r="D101" t="inlineStr">
        <is>
          <t>VÄSTRA GÖTALANDS LÄN</t>
        </is>
      </c>
      <c r="E101" t="inlineStr">
        <is>
          <t>ALE</t>
        </is>
      </c>
      <c r="G101" t="n">
        <v>1.1</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46070</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46070</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57473-2022</t>
        </is>
      </c>
      <c r="B104" s="1" t="n">
        <v>44896</v>
      </c>
      <c r="C104" s="1" t="n">
        <v>46070</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48213-2025</t>
        </is>
      </c>
      <c r="B105" s="1" t="n">
        <v>45933</v>
      </c>
      <c r="C105" s="1" t="n">
        <v>46070</v>
      </c>
      <c r="D105" t="inlineStr">
        <is>
          <t>VÄSTRA GÖTALANDS LÄN</t>
        </is>
      </c>
      <c r="E105" t="inlineStr">
        <is>
          <t>ALE</t>
        </is>
      </c>
      <c r="G105" t="n">
        <v>3.3</v>
      </c>
      <c r="H105" t="n">
        <v>0</v>
      </c>
      <c r="I105" t="n">
        <v>0</v>
      </c>
      <c r="J105" t="n">
        <v>0</v>
      </c>
      <c r="K105" t="n">
        <v>0</v>
      </c>
      <c r="L105" t="n">
        <v>0</v>
      </c>
      <c r="M105" t="n">
        <v>0</v>
      </c>
      <c r="N105" t="n">
        <v>0</v>
      </c>
      <c r="O105" t="n">
        <v>0</v>
      </c>
      <c r="P105" t="n">
        <v>0</v>
      </c>
      <c r="Q105" t="n">
        <v>0</v>
      </c>
      <c r="R105" s="2" t="inlineStr"/>
    </row>
    <row r="106" ht="15" customHeight="1">
      <c r="A106" t="inlineStr">
        <is>
          <t>A 48218-2025</t>
        </is>
      </c>
      <c r="B106" s="1" t="n">
        <v>45933</v>
      </c>
      <c r="C106" s="1" t="n">
        <v>46070</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26157-2023</t>
        </is>
      </c>
      <c r="B107" s="1" t="n">
        <v>45091.50479166667</v>
      </c>
      <c r="C107" s="1" t="n">
        <v>46070</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47087-2023</t>
        </is>
      </c>
      <c r="B108" s="1" t="n">
        <v>45196</v>
      </c>
      <c r="C108" s="1" t="n">
        <v>46070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50189-2025</t>
        </is>
      </c>
      <c r="B109" s="1" t="n">
        <v>45943.63476851852</v>
      </c>
      <c r="C109" s="1" t="n">
        <v>46070</v>
      </c>
      <c r="D109" t="inlineStr">
        <is>
          <t>VÄSTRA GÖTALANDS LÄN</t>
        </is>
      </c>
      <c r="E109" t="inlineStr">
        <is>
          <t>ALE</t>
        </is>
      </c>
      <c r="G109" t="n">
        <v>3</v>
      </c>
      <c r="H109" t="n">
        <v>0</v>
      </c>
      <c r="I109" t="n">
        <v>0</v>
      </c>
      <c r="J109" t="n">
        <v>0</v>
      </c>
      <c r="K109" t="n">
        <v>0</v>
      </c>
      <c r="L109" t="n">
        <v>0</v>
      </c>
      <c r="M109" t="n">
        <v>0</v>
      </c>
      <c r="N109" t="n">
        <v>0</v>
      </c>
      <c r="O109" t="n">
        <v>0</v>
      </c>
      <c r="P109" t="n">
        <v>0</v>
      </c>
      <c r="Q109" t="n">
        <v>0</v>
      </c>
      <c r="R109" s="2" t="inlineStr"/>
    </row>
    <row r="110" ht="15" customHeight="1">
      <c r="A110" t="inlineStr">
        <is>
          <t>A 8956-2025</t>
        </is>
      </c>
      <c r="B110" s="1" t="n">
        <v>45713.46825231481</v>
      </c>
      <c r="C110" s="1" t="n">
        <v>46070</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50973-2025</t>
        </is>
      </c>
      <c r="B111" s="1" t="n">
        <v>45947.31263888889</v>
      </c>
      <c r="C111" s="1" t="n">
        <v>46070</v>
      </c>
      <c r="D111" t="inlineStr">
        <is>
          <t>VÄSTRA GÖTALANDS LÄN</t>
        </is>
      </c>
      <c r="E111" t="inlineStr">
        <is>
          <t>ALE</t>
        </is>
      </c>
      <c r="G111" t="n">
        <v>12</v>
      </c>
      <c r="H111" t="n">
        <v>0</v>
      </c>
      <c r="I111" t="n">
        <v>0</v>
      </c>
      <c r="J111" t="n">
        <v>0</v>
      </c>
      <c r="K111" t="n">
        <v>0</v>
      </c>
      <c r="L111" t="n">
        <v>0</v>
      </c>
      <c r="M111" t="n">
        <v>0</v>
      </c>
      <c r="N111" t="n">
        <v>0</v>
      </c>
      <c r="O111" t="n">
        <v>0</v>
      </c>
      <c r="P111" t="n">
        <v>0</v>
      </c>
      <c r="Q111" t="n">
        <v>0</v>
      </c>
      <c r="R111" s="2" t="inlineStr"/>
    </row>
    <row r="112" ht="15" customHeight="1">
      <c r="A112" t="inlineStr">
        <is>
          <t>A 6621-2026</t>
        </is>
      </c>
      <c r="B112" s="1" t="n">
        <v>46056.4970949074</v>
      </c>
      <c r="C112" s="1" t="n">
        <v>46070</v>
      </c>
      <c r="D112" t="inlineStr">
        <is>
          <t>VÄSTRA GÖTALANDS LÄN</t>
        </is>
      </c>
      <c r="E112" t="inlineStr">
        <is>
          <t>ALE</t>
        </is>
      </c>
      <c r="G112" t="n">
        <v>0.9</v>
      </c>
      <c r="H112" t="n">
        <v>0</v>
      </c>
      <c r="I112" t="n">
        <v>0</v>
      </c>
      <c r="J112" t="n">
        <v>0</v>
      </c>
      <c r="K112" t="n">
        <v>0</v>
      </c>
      <c r="L112" t="n">
        <v>0</v>
      </c>
      <c r="M112" t="n">
        <v>0</v>
      </c>
      <c r="N112" t="n">
        <v>0</v>
      </c>
      <c r="O112" t="n">
        <v>0</v>
      </c>
      <c r="P112" t="n">
        <v>0</v>
      </c>
      <c r="Q112" t="n">
        <v>0</v>
      </c>
      <c r="R112" s="2" t="inlineStr"/>
    </row>
    <row r="113" ht="15" customHeight="1">
      <c r="A113" t="inlineStr">
        <is>
          <t>A 27314-2021</t>
        </is>
      </c>
      <c r="B113" s="1" t="n">
        <v>44351.36537037037</v>
      </c>
      <c r="C113" s="1" t="n">
        <v>46070</v>
      </c>
      <c r="D113" t="inlineStr">
        <is>
          <t>VÄSTRA GÖTALANDS LÄN</t>
        </is>
      </c>
      <c r="E113" t="inlineStr">
        <is>
          <t>ALE</t>
        </is>
      </c>
      <c r="G113" t="n">
        <v>11.3</v>
      </c>
      <c r="H113" t="n">
        <v>0</v>
      </c>
      <c r="I113" t="n">
        <v>0</v>
      </c>
      <c r="J113" t="n">
        <v>0</v>
      </c>
      <c r="K113" t="n">
        <v>0</v>
      </c>
      <c r="L113" t="n">
        <v>0</v>
      </c>
      <c r="M113" t="n">
        <v>0</v>
      </c>
      <c r="N113" t="n">
        <v>0</v>
      </c>
      <c r="O113" t="n">
        <v>0</v>
      </c>
      <c r="P113" t="n">
        <v>0</v>
      </c>
      <c r="Q113" t="n">
        <v>0</v>
      </c>
      <c r="R113" s="2" t="inlineStr"/>
    </row>
    <row r="114" ht="15" customHeight="1">
      <c r="A114" t="inlineStr">
        <is>
          <t>A 51976-2025</t>
        </is>
      </c>
      <c r="B114" s="1" t="n">
        <v>45952.56412037037</v>
      </c>
      <c r="C114" s="1" t="n">
        <v>46070</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52423-2025</t>
        </is>
      </c>
      <c r="B115" s="1" t="n">
        <v>45954.37650462963</v>
      </c>
      <c r="C115" s="1" t="n">
        <v>46070</v>
      </c>
      <c r="D115" t="inlineStr">
        <is>
          <t>VÄSTRA GÖTALANDS LÄN</t>
        </is>
      </c>
      <c r="E115" t="inlineStr">
        <is>
          <t>ALE</t>
        </is>
      </c>
      <c r="G115" t="n">
        <v>4.1</v>
      </c>
      <c r="H115" t="n">
        <v>0</v>
      </c>
      <c r="I115" t="n">
        <v>0</v>
      </c>
      <c r="J115" t="n">
        <v>0</v>
      </c>
      <c r="K115" t="n">
        <v>0</v>
      </c>
      <c r="L115" t="n">
        <v>0</v>
      </c>
      <c r="M115" t="n">
        <v>0</v>
      </c>
      <c r="N115" t="n">
        <v>0</v>
      </c>
      <c r="O115" t="n">
        <v>0</v>
      </c>
      <c r="P115" t="n">
        <v>0</v>
      </c>
      <c r="Q115" t="n">
        <v>0</v>
      </c>
      <c r="R115" s="2" t="inlineStr"/>
    </row>
    <row r="116" ht="15" customHeight="1">
      <c r="A116" t="inlineStr">
        <is>
          <t>A 52391-2025</t>
        </is>
      </c>
      <c r="B116" s="1" t="n">
        <v>45954.34305555555</v>
      </c>
      <c r="C116" s="1" t="n">
        <v>46070</v>
      </c>
      <c r="D116" t="inlineStr">
        <is>
          <t>VÄSTRA GÖTALANDS LÄN</t>
        </is>
      </c>
      <c r="E116" t="inlineStr">
        <is>
          <t>ALE</t>
        </is>
      </c>
      <c r="G116" t="n">
        <v>10.6</v>
      </c>
      <c r="H116" t="n">
        <v>0</v>
      </c>
      <c r="I116" t="n">
        <v>0</v>
      </c>
      <c r="J116" t="n">
        <v>0</v>
      </c>
      <c r="K116" t="n">
        <v>0</v>
      </c>
      <c r="L116" t="n">
        <v>0</v>
      </c>
      <c r="M116" t="n">
        <v>0</v>
      </c>
      <c r="N116" t="n">
        <v>0</v>
      </c>
      <c r="O116" t="n">
        <v>0</v>
      </c>
      <c r="P116" t="n">
        <v>0</v>
      </c>
      <c r="Q116" t="n">
        <v>0</v>
      </c>
      <c r="R116" s="2" t="inlineStr"/>
    </row>
    <row r="117" ht="15" customHeight="1">
      <c r="A117" t="inlineStr">
        <is>
          <t>A 8659-2025</t>
        </is>
      </c>
      <c r="B117" s="1" t="n">
        <v>45712</v>
      </c>
      <c r="C117" s="1" t="n">
        <v>46070</v>
      </c>
      <c r="D117" t="inlineStr">
        <is>
          <t>VÄSTRA GÖTALANDS LÄN</t>
        </is>
      </c>
      <c r="E117" t="inlineStr">
        <is>
          <t>ALE</t>
        </is>
      </c>
      <c r="G117" t="n">
        <v>5.7</v>
      </c>
      <c r="H117" t="n">
        <v>0</v>
      </c>
      <c r="I117" t="n">
        <v>0</v>
      </c>
      <c r="J117" t="n">
        <v>0</v>
      </c>
      <c r="K117" t="n">
        <v>0</v>
      </c>
      <c r="L117" t="n">
        <v>0</v>
      </c>
      <c r="M117" t="n">
        <v>0</v>
      </c>
      <c r="N117" t="n">
        <v>0</v>
      </c>
      <c r="O117" t="n">
        <v>0</v>
      </c>
      <c r="P117" t="n">
        <v>0</v>
      </c>
      <c r="Q117" t="n">
        <v>0</v>
      </c>
      <c r="R117" s="2" t="inlineStr"/>
    </row>
    <row r="118" ht="15" customHeight="1">
      <c r="A118" t="inlineStr">
        <is>
          <t>A 5875-2023</t>
        </is>
      </c>
      <c r="B118" s="1" t="n">
        <v>44963</v>
      </c>
      <c r="C118" s="1" t="n">
        <v>46070</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7296-2026</t>
        </is>
      </c>
      <c r="B119" s="1" t="n">
        <v>46058.64341435185</v>
      </c>
      <c r="C119" s="1" t="n">
        <v>46070</v>
      </c>
      <c r="D119" t="inlineStr">
        <is>
          <t>VÄSTRA GÖTALANDS LÄN</t>
        </is>
      </c>
      <c r="E119" t="inlineStr">
        <is>
          <t>ALE</t>
        </is>
      </c>
      <c r="G119" t="n">
        <v>7.2</v>
      </c>
      <c r="H119" t="n">
        <v>0</v>
      </c>
      <c r="I119" t="n">
        <v>0</v>
      </c>
      <c r="J119" t="n">
        <v>0</v>
      </c>
      <c r="K119" t="n">
        <v>0</v>
      </c>
      <c r="L119" t="n">
        <v>0</v>
      </c>
      <c r="M119" t="n">
        <v>0</v>
      </c>
      <c r="N119" t="n">
        <v>0</v>
      </c>
      <c r="O119" t="n">
        <v>0</v>
      </c>
      <c r="P119" t="n">
        <v>0</v>
      </c>
      <c r="Q119" t="n">
        <v>0</v>
      </c>
      <c r="R119" s="2" t="inlineStr"/>
    </row>
    <row r="120" ht="15" customHeight="1">
      <c r="A120" t="inlineStr">
        <is>
          <t>A 64199-2021</t>
        </is>
      </c>
      <c r="B120" s="1" t="n">
        <v>44510</v>
      </c>
      <c r="C120" s="1" t="n">
        <v>46070</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67160-2021</t>
        </is>
      </c>
      <c r="B121" s="1" t="n">
        <v>44523</v>
      </c>
      <c r="C121" s="1" t="n">
        <v>46070</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8111-2026</t>
        </is>
      </c>
      <c r="B122" s="1" t="n">
        <v>46062</v>
      </c>
      <c r="C122" s="1" t="n">
        <v>46070</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56905-2025</t>
        </is>
      </c>
      <c r="B123" s="1" t="n">
        <v>45978.57502314815</v>
      </c>
      <c r="C123" s="1" t="n">
        <v>46070</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58414-2025</t>
        </is>
      </c>
      <c r="B124" s="1" t="n">
        <v>45985.57778935185</v>
      </c>
      <c r="C124" s="1" t="n">
        <v>46070</v>
      </c>
      <c r="D124" t="inlineStr">
        <is>
          <t>VÄSTRA GÖTALANDS LÄN</t>
        </is>
      </c>
      <c r="E124" t="inlineStr">
        <is>
          <t>ALE</t>
        </is>
      </c>
      <c r="G124" t="n">
        <v>4.3</v>
      </c>
      <c r="H124" t="n">
        <v>0</v>
      </c>
      <c r="I124" t="n">
        <v>0</v>
      </c>
      <c r="J124" t="n">
        <v>0</v>
      </c>
      <c r="K124" t="n">
        <v>0</v>
      </c>
      <c r="L124" t="n">
        <v>0</v>
      </c>
      <c r="M124" t="n">
        <v>0</v>
      </c>
      <c r="N124" t="n">
        <v>0</v>
      </c>
      <c r="O124" t="n">
        <v>0</v>
      </c>
      <c r="P124" t="n">
        <v>0</v>
      </c>
      <c r="Q124" t="n">
        <v>0</v>
      </c>
      <c r="R124" s="2" t="inlineStr"/>
    </row>
    <row r="125" ht="15" customHeight="1">
      <c r="A125" t="inlineStr">
        <is>
          <t>A 8110-2026</t>
        </is>
      </c>
      <c r="B125" s="1" t="n">
        <v>46062</v>
      </c>
      <c r="C125" s="1" t="n">
        <v>46070</v>
      </c>
      <c r="D125" t="inlineStr">
        <is>
          <t>VÄSTRA GÖTALANDS LÄN</t>
        </is>
      </c>
      <c r="E125" t="inlineStr">
        <is>
          <t>ALE</t>
        </is>
      </c>
      <c r="G125" t="n">
        <v>0.7</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46070</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46070</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8112-2026</t>
        </is>
      </c>
      <c r="B128" s="1" t="n">
        <v>46062</v>
      </c>
      <c r="C128" s="1" t="n">
        <v>46070</v>
      </c>
      <c r="D128" t="inlineStr">
        <is>
          <t>VÄSTRA GÖTALANDS LÄN</t>
        </is>
      </c>
      <c r="E128" t="inlineStr">
        <is>
          <t>ALE</t>
        </is>
      </c>
      <c r="G128" t="n">
        <v>0.4</v>
      </c>
      <c r="H128" t="n">
        <v>0</v>
      </c>
      <c r="I128" t="n">
        <v>0</v>
      </c>
      <c r="J128" t="n">
        <v>0</v>
      </c>
      <c r="K128" t="n">
        <v>0</v>
      </c>
      <c r="L128" t="n">
        <v>0</v>
      </c>
      <c r="M128" t="n">
        <v>0</v>
      </c>
      <c r="N128" t="n">
        <v>0</v>
      </c>
      <c r="O128" t="n">
        <v>0</v>
      </c>
      <c r="P128" t="n">
        <v>0</v>
      </c>
      <c r="Q128" t="n">
        <v>0</v>
      </c>
      <c r="R128" s="2" t="inlineStr"/>
    </row>
    <row r="129" ht="15" customHeight="1">
      <c r="A129" t="inlineStr">
        <is>
          <t>A 18999-2021</t>
        </is>
      </c>
      <c r="B129" s="1" t="n">
        <v>44308</v>
      </c>
      <c r="C129" s="1" t="n">
        <v>46070</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31407-2025</t>
        </is>
      </c>
      <c r="B130" s="1" t="n">
        <v>45833</v>
      </c>
      <c r="C130" s="1" t="n">
        <v>46070</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59409-2025</t>
        </is>
      </c>
      <c r="B131" s="1" t="n">
        <v>45989.49545138889</v>
      </c>
      <c r="C131" s="1" t="n">
        <v>46070</v>
      </c>
      <c r="D131" t="inlineStr">
        <is>
          <t>VÄSTRA GÖTALANDS LÄN</t>
        </is>
      </c>
      <c r="E131" t="inlineStr">
        <is>
          <t>ALE</t>
        </is>
      </c>
      <c r="G131" t="n">
        <v>0.3</v>
      </c>
      <c r="H131" t="n">
        <v>0</v>
      </c>
      <c r="I131" t="n">
        <v>0</v>
      </c>
      <c r="J131" t="n">
        <v>0</v>
      </c>
      <c r="K131" t="n">
        <v>0</v>
      </c>
      <c r="L131" t="n">
        <v>0</v>
      </c>
      <c r="M131" t="n">
        <v>0</v>
      </c>
      <c r="N131" t="n">
        <v>0</v>
      </c>
      <c r="O131" t="n">
        <v>0</v>
      </c>
      <c r="P131" t="n">
        <v>0</v>
      </c>
      <c r="Q131" t="n">
        <v>0</v>
      </c>
      <c r="R131" s="2" t="inlineStr"/>
    </row>
    <row r="132" ht="15" customHeight="1">
      <c r="A132" t="inlineStr">
        <is>
          <t>A 1291-2026</t>
        </is>
      </c>
      <c r="B132" s="1" t="n">
        <v>46031.50569444444</v>
      </c>
      <c r="C132" s="1" t="n">
        <v>46070</v>
      </c>
      <c r="D132" t="inlineStr">
        <is>
          <t>VÄSTRA GÖTALANDS LÄN</t>
        </is>
      </c>
      <c r="E132" t="inlineStr">
        <is>
          <t>ALE</t>
        </is>
      </c>
      <c r="G132" t="n">
        <v>0.9</v>
      </c>
      <c r="H132" t="n">
        <v>0</v>
      </c>
      <c r="I132" t="n">
        <v>0</v>
      </c>
      <c r="J132" t="n">
        <v>0</v>
      </c>
      <c r="K132" t="n">
        <v>0</v>
      </c>
      <c r="L132" t="n">
        <v>0</v>
      </c>
      <c r="M132" t="n">
        <v>0</v>
      </c>
      <c r="N132" t="n">
        <v>0</v>
      </c>
      <c r="O132" t="n">
        <v>0</v>
      </c>
      <c r="P132" t="n">
        <v>0</v>
      </c>
      <c r="Q132" t="n">
        <v>0</v>
      </c>
      <c r="R132" s="2" t="inlineStr"/>
    </row>
    <row r="133" ht="15" customHeight="1">
      <c r="A133" t="inlineStr">
        <is>
          <t>A 17044-2025</t>
        </is>
      </c>
      <c r="B133" s="1" t="n">
        <v>45755.58891203703</v>
      </c>
      <c r="C133" s="1" t="n">
        <v>46070</v>
      </c>
      <c r="D133" t="inlineStr">
        <is>
          <t>VÄSTRA GÖTALANDS LÄN</t>
        </is>
      </c>
      <c r="E133" t="inlineStr">
        <is>
          <t>ALE</t>
        </is>
      </c>
      <c r="G133" t="n">
        <v>1.5</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46070</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16601-2025</t>
        </is>
      </c>
      <c r="B135" s="1" t="n">
        <v>45753.53189814815</v>
      </c>
      <c r="C135" s="1" t="n">
        <v>46070</v>
      </c>
      <c r="D135" t="inlineStr">
        <is>
          <t>VÄSTRA GÖTALANDS LÄN</t>
        </is>
      </c>
      <c r="E135" t="inlineStr">
        <is>
          <t>ALE</t>
        </is>
      </c>
      <c r="G135" t="n">
        <v>1.7</v>
      </c>
      <c r="H135" t="n">
        <v>0</v>
      </c>
      <c r="I135" t="n">
        <v>0</v>
      </c>
      <c r="J135" t="n">
        <v>0</v>
      </c>
      <c r="K135" t="n">
        <v>0</v>
      </c>
      <c r="L135" t="n">
        <v>0</v>
      </c>
      <c r="M135" t="n">
        <v>0</v>
      </c>
      <c r="N135" t="n">
        <v>0</v>
      </c>
      <c r="O135" t="n">
        <v>0</v>
      </c>
      <c r="P135" t="n">
        <v>0</v>
      </c>
      <c r="Q135" t="n">
        <v>0</v>
      </c>
      <c r="R135" s="2" t="inlineStr"/>
    </row>
    <row r="136" ht="15" customHeight="1">
      <c r="A136" t="inlineStr">
        <is>
          <t>A 2414-2026</t>
        </is>
      </c>
      <c r="B136" s="1" t="n">
        <v>46036.74319444445</v>
      </c>
      <c r="C136" s="1" t="n">
        <v>46070</v>
      </c>
      <c r="D136" t="inlineStr">
        <is>
          <t>VÄSTRA GÖTALANDS LÄN</t>
        </is>
      </c>
      <c r="E136" t="inlineStr">
        <is>
          <t>ALE</t>
        </is>
      </c>
      <c r="G136" t="n">
        <v>3.3</v>
      </c>
      <c r="H136" t="n">
        <v>0</v>
      </c>
      <c r="I136" t="n">
        <v>0</v>
      </c>
      <c r="J136" t="n">
        <v>0</v>
      </c>
      <c r="K136" t="n">
        <v>0</v>
      </c>
      <c r="L136" t="n">
        <v>0</v>
      </c>
      <c r="M136" t="n">
        <v>0</v>
      </c>
      <c r="N136" t="n">
        <v>0</v>
      </c>
      <c r="O136" t="n">
        <v>0</v>
      </c>
      <c r="P136" t="n">
        <v>0</v>
      </c>
      <c r="Q136" t="n">
        <v>0</v>
      </c>
      <c r="R136" s="2" t="inlineStr"/>
    </row>
    <row r="137" ht="15" customHeight="1">
      <c r="A137" t="inlineStr">
        <is>
          <t>A 36403-2024</t>
        </is>
      </c>
      <c r="B137" s="1" t="n">
        <v>45535.69445601852</v>
      </c>
      <c r="C137" s="1" t="n">
        <v>46070</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60287-2025</t>
        </is>
      </c>
      <c r="B138" s="1" t="n">
        <v>45994.64711805555</v>
      </c>
      <c r="C138" s="1" t="n">
        <v>46070</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200-2022</t>
        </is>
      </c>
      <c r="B139" s="1" t="n">
        <v>44564</v>
      </c>
      <c r="C139" s="1" t="n">
        <v>46070</v>
      </c>
      <c r="D139" t="inlineStr">
        <is>
          <t>VÄSTRA GÖTALANDS LÄN</t>
        </is>
      </c>
      <c r="E139" t="inlineStr">
        <is>
          <t>ALE</t>
        </is>
      </c>
      <c r="G139" t="n">
        <v>6.8</v>
      </c>
      <c r="H139" t="n">
        <v>0</v>
      </c>
      <c r="I139" t="n">
        <v>0</v>
      </c>
      <c r="J139" t="n">
        <v>0</v>
      </c>
      <c r="K139" t="n">
        <v>0</v>
      </c>
      <c r="L139" t="n">
        <v>0</v>
      </c>
      <c r="M139" t="n">
        <v>0</v>
      </c>
      <c r="N139" t="n">
        <v>0</v>
      </c>
      <c r="O139" t="n">
        <v>0</v>
      </c>
      <c r="P139" t="n">
        <v>0</v>
      </c>
      <c r="Q139" t="n">
        <v>0</v>
      </c>
      <c r="R139" s="2" t="inlineStr"/>
    </row>
    <row r="140" ht="15" customHeight="1">
      <c r="A140" t="inlineStr">
        <is>
          <t>A 3261-2026</t>
        </is>
      </c>
      <c r="B140" s="1" t="n">
        <v>46041.5952662037</v>
      </c>
      <c r="C140" s="1" t="n">
        <v>46070</v>
      </c>
      <c r="D140" t="inlineStr">
        <is>
          <t>VÄSTRA GÖTALANDS LÄN</t>
        </is>
      </c>
      <c r="E140" t="inlineStr">
        <is>
          <t>ALE</t>
        </is>
      </c>
      <c r="G140" t="n">
        <v>3.4</v>
      </c>
      <c r="H140" t="n">
        <v>0</v>
      </c>
      <c r="I140" t="n">
        <v>0</v>
      </c>
      <c r="J140" t="n">
        <v>0</v>
      </c>
      <c r="K140" t="n">
        <v>0</v>
      </c>
      <c r="L140" t="n">
        <v>0</v>
      </c>
      <c r="M140" t="n">
        <v>0</v>
      </c>
      <c r="N140" t="n">
        <v>0</v>
      </c>
      <c r="O140" t="n">
        <v>0</v>
      </c>
      <c r="P140" t="n">
        <v>0</v>
      </c>
      <c r="Q140" t="n">
        <v>0</v>
      </c>
      <c r="R140" s="2" t="inlineStr"/>
    </row>
    <row r="141" ht="15" customHeight="1">
      <c r="A141" t="inlineStr">
        <is>
          <t>A 15582-2025</t>
        </is>
      </c>
      <c r="B141" s="1" t="n">
        <v>45747.81394675926</v>
      </c>
      <c r="C141" s="1" t="n">
        <v>46070</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7892-2024</t>
        </is>
      </c>
      <c r="B142" s="1" t="n">
        <v>45350.40921296296</v>
      </c>
      <c r="C142" s="1" t="n">
        <v>46070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6947-2024</t>
        </is>
      </c>
      <c r="B143" s="1" t="n">
        <v>45343</v>
      </c>
      <c r="C143" s="1" t="n">
        <v>46070</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4444-2024</t>
        </is>
      </c>
      <c r="B144" s="1" t="n">
        <v>45327</v>
      </c>
      <c r="C144" s="1" t="n">
        <v>46070</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72801-2021</t>
        </is>
      </c>
      <c r="B145" s="1" t="n">
        <v>44546</v>
      </c>
      <c r="C145" s="1" t="n">
        <v>46070</v>
      </c>
      <c r="D145" t="inlineStr">
        <is>
          <t>VÄSTRA GÖTALANDS LÄN</t>
        </is>
      </c>
      <c r="E145" t="inlineStr">
        <is>
          <t>ALE</t>
        </is>
      </c>
      <c r="F145" t="inlineStr">
        <is>
          <t>Naturvårdsverket</t>
        </is>
      </c>
      <c r="G145" t="n">
        <v>1.4</v>
      </c>
      <c r="H145" t="n">
        <v>0</v>
      </c>
      <c r="I145" t="n">
        <v>0</v>
      </c>
      <c r="J145" t="n">
        <v>0</v>
      </c>
      <c r="K145" t="n">
        <v>0</v>
      </c>
      <c r="L145" t="n">
        <v>0</v>
      </c>
      <c r="M145" t="n">
        <v>0</v>
      </c>
      <c r="N145" t="n">
        <v>0</v>
      </c>
      <c r="O145" t="n">
        <v>0</v>
      </c>
      <c r="P145" t="n">
        <v>0</v>
      </c>
      <c r="Q145" t="n">
        <v>0</v>
      </c>
      <c r="R145" s="2" t="inlineStr"/>
    </row>
    <row r="146" ht="15" customHeight="1">
      <c r="A146" t="inlineStr">
        <is>
          <t>A 26083-2023</t>
        </is>
      </c>
      <c r="B146" s="1" t="n">
        <v>45091</v>
      </c>
      <c r="C146" s="1" t="n">
        <v>46070</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46070</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46070</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45988-2021</t>
        </is>
      </c>
      <c r="B149" s="1" t="n">
        <v>44441</v>
      </c>
      <c r="C149" s="1" t="n">
        <v>46070</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46070</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48257-2022</t>
        </is>
      </c>
      <c r="B151" s="1" t="n">
        <v>44858.47591435185</v>
      </c>
      <c r="C151" s="1" t="n">
        <v>46070</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46070</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7807-2023</t>
        </is>
      </c>
      <c r="B153" s="1" t="n">
        <v>44973</v>
      </c>
      <c r="C153" s="1" t="n">
        <v>46070</v>
      </c>
      <c r="D153" t="inlineStr">
        <is>
          <t>VÄSTRA GÖTALANDS LÄN</t>
        </is>
      </c>
      <c r="E153" t="inlineStr">
        <is>
          <t>ALE</t>
        </is>
      </c>
      <c r="G153" t="n">
        <v>10.5</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46070</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35959-2022</t>
        </is>
      </c>
      <c r="B155" s="1" t="n">
        <v>44802.57002314815</v>
      </c>
      <c r="C155" s="1" t="n">
        <v>46070</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14493-2024</t>
        </is>
      </c>
      <c r="B156" s="1" t="n">
        <v>45394.58491898148</v>
      </c>
      <c r="C156" s="1" t="n">
        <v>46070</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1500-2024</t>
        </is>
      </c>
      <c r="B157" s="1" t="n">
        <v>45306</v>
      </c>
      <c r="C157" s="1" t="n">
        <v>46070</v>
      </c>
      <c r="D157" t="inlineStr">
        <is>
          <t>VÄSTRA GÖTALANDS LÄN</t>
        </is>
      </c>
      <c r="E157" t="inlineStr">
        <is>
          <t>ALE</t>
        </is>
      </c>
      <c r="G157" t="n">
        <v>1.3</v>
      </c>
      <c r="H157" t="n">
        <v>0</v>
      </c>
      <c r="I157" t="n">
        <v>0</v>
      </c>
      <c r="J157" t="n">
        <v>0</v>
      </c>
      <c r="K157" t="n">
        <v>0</v>
      </c>
      <c r="L157" t="n">
        <v>0</v>
      </c>
      <c r="M157" t="n">
        <v>0</v>
      </c>
      <c r="N157" t="n">
        <v>0</v>
      </c>
      <c r="O157" t="n">
        <v>0</v>
      </c>
      <c r="P157" t="n">
        <v>0</v>
      </c>
      <c r="Q157" t="n">
        <v>0</v>
      </c>
      <c r="R157" s="2" t="inlineStr"/>
    </row>
    <row r="158" ht="15" customHeight="1">
      <c r="A158" t="inlineStr">
        <is>
          <t>A 1687-2024</t>
        </is>
      </c>
      <c r="B158" s="1" t="n">
        <v>45306</v>
      </c>
      <c r="C158" s="1" t="n">
        <v>46070</v>
      </c>
      <c r="D158" t="inlineStr">
        <is>
          <t>VÄSTRA GÖTALANDS LÄN</t>
        </is>
      </c>
      <c r="E158" t="inlineStr">
        <is>
          <t>ALE</t>
        </is>
      </c>
      <c r="G158" t="n">
        <v>3.4</v>
      </c>
      <c r="H158" t="n">
        <v>0</v>
      </c>
      <c r="I158" t="n">
        <v>0</v>
      </c>
      <c r="J158" t="n">
        <v>0</v>
      </c>
      <c r="K158" t="n">
        <v>0</v>
      </c>
      <c r="L158" t="n">
        <v>0</v>
      </c>
      <c r="M158" t="n">
        <v>0</v>
      </c>
      <c r="N158" t="n">
        <v>0</v>
      </c>
      <c r="O158" t="n">
        <v>0</v>
      </c>
      <c r="P158" t="n">
        <v>0</v>
      </c>
      <c r="Q158" t="n">
        <v>0</v>
      </c>
      <c r="R158" s="2" t="inlineStr"/>
    </row>
    <row r="159" ht="15" customHeight="1">
      <c r="A159" t="inlineStr">
        <is>
          <t>A 14458-2024</t>
        </is>
      </c>
      <c r="B159" s="1" t="n">
        <v>45394</v>
      </c>
      <c r="C159" s="1" t="n">
        <v>46070</v>
      </c>
      <c r="D159" t="inlineStr">
        <is>
          <t>VÄSTRA GÖTALANDS LÄN</t>
        </is>
      </c>
      <c r="E159" t="inlineStr">
        <is>
          <t>ALE</t>
        </is>
      </c>
      <c r="G159" t="n">
        <v>0.5</v>
      </c>
      <c r="H159" t="n">
        <v>0</v>
      </c>
      <c r="I159" t="n">
        <v>0</v>
      </c>
      <c r="J159" t="n">
        <v>0</v>
      </c>
      <c r="K159" t="n">
        <v>0</v>
      </c>
      <c r="L159" t="n">
        <v>0</v>
      </c>
      <c r="M159" t="n">
        <v>0</v>
      </c>
      <c r="N159" t="n">
        <v>0</v>
      </c>
      <c r="O159" t="n">
        <v>0</v>
      </c>
      <c r="P159" t="n">
        <v>0</v>
      </c>
      <c r="Q159" t="n">
        <v>0</v>
      </c>
      <c r="R159" s="2" t="inlineStr"/>
    </row>
    <row r="160" ht="15" customHeight="1">
      <c r="A160" t="inlineStr">
        <is>
          <t>A 42446-2023</t>
        </is>
      </c>
      <c r="B160" s="1" t="n">
        <v>45180</v>
      </c>
      <c r="C160" s="1" t="n">
        <v>46070</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33237-2024</t>
        </is>
      </c>
      <c r="B161" s="1" t="n">
        <v>45518.59173611111</v>
      </c>
      <c r="C161" s="1" t="n">
        <v>46070</v>
      </c>
      <c r="D161" t="inlineStr">
        <is>
          <t>VÄSTRA GÖTALANDS LÄN</t>
        </is>
      </c>
      <c r="E161" t="inlineStr">
        <is>
          <t>ALE</t>
        </is>
      </c>
      <c r="G161" t="n">
        <v>0.6</v>
      </c>
      <c r="H161" t="n">
        <v>0</v>
      </c>
      <c r="I161" t="n">
        <v>0</v>
      </c>
      <c r="J161" t="n">
        <v>0</v>
      </c>
      <c r="K161" t="n">
        <v>0</v>
      </c>
      <c r="L161" t="n">
        <v>0</v>
      </c>
      <c r="M161" t="n">
        <v>0</v>
      </c>
      <c r="N161" t="n">
        <v>0</v>
      </c>
      <c r="O161" t="n">
        <v>0</v>
      </c>
      <c r="P161" t="n">
        <v>0</v>
      </c>
      <c r="Q161" t="n">
        <v>0</v>
      </c>
      <c r="R161" s="2" t="inlineStr"/>
    </row>
    <row r="162" ht="15" customHeight="1">
      <c r="A162" t="inlineStr">
        <is>
          <t>A 12055-2022</t>
        </is>
      </c>
      <c r="B162" s="1" t="n">
        <v>44636</v>
      </c>
      <c r="C162" s="1" t="n">
        <v>46070</v>
      </c>
      <c r="D162" t="inlineStr">
        <is>
          <t>VÄSTRA GÖTALANDS LÄN</t>
        </is>
      </c>
      <c r="E162" t="inlineStr">
        <is>
          <t>ALE</t>
        </is>
      </c>
      <c r="G162" t="n">
        <v>0.2</v>
      </c>
      <c r="H162" t="n">
        <v>0</v>
      </c>
      <c r="I162" t="n">
        <v>0</v>
      </c>
      <c r="J162" t="n">
        <v>0</v>
      </c>
      <c r="K162" t="n">
        <v>0</v>
      </c>
      <c r="L162" t="n">
        <v>0</v>
      </c>
      <c r="M162" t="n">
        <v>0</v>
      </c>
      <c r="N162" t="n">
        <v>0</v>
      </c>
      <c r="O162" t="n">
        <v>0</v>
      </c>
      <c r="P162" t="n">
        <v>0</v>
      </c>
      <c r="Q162" t="n">
        <v>0</v>
      </c>
      <c r="R162" s="2" t="inlineStr"/>
    </row>
    <row r="163" ht="15" customHeight="1">
      <c r="A163" t="inlineStr">
        <is>
          <t>A 36763-2022</t>
        </is>
      </c>
      <c r="B163" s="1" t="n">
        <v>44805</v>
      </c>
      <c r="C163" s="1" t="n">
        <v>46070</v>
      </c>
      <c r="D163" t="inlineStr">
        <is>
          <t>VÄSTRA GÖTALANDS LÄN</t>
        </is>
      </c>
      <c r="E163" t="inlineStr">
        <is>
          <t>ALE</t>
        </is>
      </c>
      <c r="G163" t="n">
        <v>6.1</v>
      </c>
      <c r="H163" t="n">
        <v>0</v>
      </c>
      <c r="I163" t="n">
        <v>0</v>
      </c>
      <c r="J163" t="n">
        <v>0</v>
      </c>
      <c r="K163" t="n">
        <v>0</v>
      </c>
      <c r="L163" t="n">
        <v>0</v>
      </c>
      <c r="M163" t="n">
        <v>0</v>
      </c>
      <c r="N163" t="n">
        <v>0</v>
      </c>
      <c r="O163" t="n">
        <v>0</v>
      </c>
      <c r="P163" t="n">
        <v>0</v>
      </c>
      <c r="Q163" t="n">
        <v>0</v>
      </c>
      <c r="R163" s="2" t="inlineStr"/>
    </row>
    <row r="164" ht="15" customHeight="1">
      <c r="A164" t="inlineStr">
        <is>
          <t>A 3407-2023</t>
        </is>
      </c>
      <c r="B164" s="1" t="n">
        <v>44949.54909722223</v>
      </c>
      <c r="C164" s="1" t="n">
        <v>46070</v>
      </c>
      <c r="D164" t="inlineStr">
        <is>
          <t>VÄSTRA GÖTALANDS LÄN</t>
        </is>
      </c>
      <c r="E164" t="inlineStr">
        <is>
          <t>ALE</t>
        </is>
      </c>
      <c r="G164" t="n">
        <v>1.2</v>
      </c>
      <c r="H164" t="n">
        <v>0</v>
      </c>
      <c r="I164" t="n">
        <v>0</v>
      </c>
      <c r="J164" t="n">
        <v>0</v>
      </c>
      <c r="K164" t="n">
        <v>0</v>
      </c>
      <c r="L164" t="n">
        <v>0</v>
      </c>
      <c r="M164" t="n">
        <v>0</v>
      </c>
      <c r="N164" t="n">
        <v>0</v>
      </c>
      <c r="O164" t="n">
        <v>0</v>
      </c>
      <c r="P164" t="n">
        <v>0</v>
      </c>
      <c r="Q164" t="n">
        <v>0</v>
      </c>
      <c r="R164" s="2" t="inlineStr"/>
    </row>
    <row r="165" ht="15" customHeight="1">
      <c r="A165" t="inlineStr">
        <is>
          <t>A 15241-2025</t>
        </is>
      </c>
      <c r="B165" s="1" t="n">
        <v>45744.61255787037</v>
      </c>
      <c r="C165" s="1" t="n">
        <v>46070</v>
      </c>
      <c r="D165" t="inlineStr">
        <is>
          <t>VÄSTRA GÖTALANDS LÄN</t>
        </is>
      </c>
      <c r="E165" t="inlineStr">
        <is>
          <t>ALE</t>
        </is>
      </c>
      <c r="G165" t="n">
        <v>2.2</v>
      </c>
      <c r="H165" t="n">
        <v>0</v>
      </c>
      <c r="I165" t="n">
        <v>0</v>
      </c>
      <c r="J165" t="n">
        <v>0</v>
      </c>
      <c r="K165" t="n">
        <v>0</v>
      </c>
      <c r="L165" t="n">
        <v>0</v>
      </c>
      <c r="M165" t="n">
        <v>0</v>
      </c>
      <c r="N165" t="n">
        <v>0</v>
      </c>
      <c r="O165" t="n">
        <v>0</v>
      </c>
      <c r="P165" t="n">
        <v>0</v>
      </c>
      <c r="Q165" t="n">
        <v>0</v>
      </c>
      <c r="R165" s="2" t="inlineStr"/>
    </row>
    <row r="166" ht="15" customHeight="1">
      <c r="A166" t="inlineStr">
        <is>
          <t>A 49680-2024</t>
        </is>
      </c>
      <c r="B166" s="1" t="n">
        <v>45596.66880787037</v>
      </c>
      <c r="C166" s="1" t="n">
        <v>46070</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34153-2024</t>
        </is>
      </c>
      <c r="B167" s="1" t="n">
        <v>45524.38400462963</v>
      </c>
      <c r="C167" s="1" t="n">
        <v>46070</v>
      </c>
      <c r="D167" t="inlineStr">
        <is>
          <t>VÄSTRA GÖTALANDS LÄN</t>
        </is>
      </c>
      <c r="E167" t="inlineStr">
        <is>
          <t>ALE</t>
        </is>
      </c>
      <c r="G167" t="n">
        <v>0.8</v>
      </c>
      <c r="H167" t="n">
        <v>0</v>
      </c>
      <c r="I167" t="n">
        <v>0</v>
      </c>
      <c r="J167" t="n">
        <v>0</v>
      </c>
      <c r="K167" t="n">
        <v>0</v>
      </c>
      <c r="L167" t="n">
        <v>0</v>
      </c>
      <c r="M167" t="n">
        <v>0</v>
      </c>
      <c r="N167" t="n">
        <v>0</v>
      </c>
      <c r="O167" t="n">
        <v>0</v>
      </c>
      <c r="P167" t="n">
        <v>0</v>
      </c>
      <c r="Q167" t="n">
        <v>0</v>
      </c>
      <c r="R167" s="2" t="inlineStr"/>
    </row>
    <row r="168" ht="15" customHeight="1">
      <c r="A168" t="inlineStr">
        <is>
          <t>A 14731-2022</t>
        </is>
      </c>
      <c r="B168" s="1" t="n">
        <v>44656</v>
      </c>
      <c r="C168" s="1" t="n">
        <v>46070</v>
      </c>
      <c r="D168" t="inlineStr">
        <is>
          <t>VÄSTRA GÖTALANDS LÄN</t>
        </is>
      </c>
      <c r="E168" t="inlineStr">
        <is>
          <t>ALE</t>
        </is>
      </c>
      <c r="G168" t="n">
        <v>1.8</v>
      </c>
      <c r="H168" t="n">
        <v>0</v>
      </c>
      <c r="I168" t="n">
        <v>0</v>
      </c>
      <c r="J168" t="n">
        <v>0</v>
      </c>
      <c r="K168" t="n">
        <v>0</v>
      </c>
      <c r="L168" t="n">
        <v>0</v>
      </c>
      <c r="M168" t="n">
        <v>0</v>
      </c>
      <c r="N168" t="n">
        <v>0</v>
      </c>
      <c r="O168" t="n">
        <v>0</v>
      </c>
      <c r="P168" t="n">
        <v>0</v>
      </c>
      <c r="Q168" t="n">
        <v>0</v>
      </c>
      <c r="R168" s="2" t="inlineStr"/>
    </row>
    <row r="169" ht="15" customHeight="1">
      <c r="A169" t="inlineStr">
        <is>
          <t>A 41598-2022</t>
        </is>
      </c>
      <c r="B169" s="1" t="n">
        <v>44827.4609837963</v>
      </c>
      <c r="C169" s="1" t="n">
        <v>46070</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4642-2024</t>
        </is>
      </c>
      <c r="B170" s="1" t="n">
        <v>45328.43502314815</v>
      </c>
      <c r="C170" s="1" t="n">
        <v>46070</v>
      </c>
      <c r="D170" t="inlineStr">
        <is>
          <t>VÄSTRA GÖTALANDS LÄN</t>
        </is>
      </c>
      <c r="E170" t="inlineStr">
        <is>
          <t>ALE</t>
        </is>
      </c>
      <c r="G170" t="n">
        <v>7.1</v>
      </c>
      <c r="H170" t="n">
        <v>0</v>
      </c>
      <c r="I170" t="n">
        <v>0</v>
      </c>
      <c r="J170" t="n">
        <v>0</v>
      </c>
      <c r="K170" t="n">
        <v>0</v>
      </c>
      <c r="L170" t="n">
        <v>0</v>
      </c>
      <c r="M170" t="n">
        <v>0</v>
      </c>
      <c r="N170" t="n">
        <v>0</v>
      </c>
      <c r="O170" t="n">
        <v>0</v>
      </c>
      <c r="P170" t="n">
        <v>0</v>
      </c>
      <c r="Q170" t="n">
        <v>0</v>
      </c>
      <c r="R170" s="2" t="inlineStr"/>
    </row>
    <row r="171" ht="15" customHeight="1">
      <c r="A171" t="inlineStr">
        <is>
          <t>A 5916-2023</t>
        </is>
      </c>
      <c r="B171" s="1" t="n">
        <v>44963</v>
      </c>
      <c r="C171" s="1" t="n">
        <v>46070</v>
      </c>
      <c r="D171" t="inlineStr">
        <is>
          <t>VÄSTRA GÖTALANDS LÄN</t>
        </is>
      </c>
      <c r="E171" t="inlineStr">
        <is>
          <t>ALE</t>
        </is>
      </c>
      <c r="G171" t="n">
        <v>4.2</v>
      </c>
      <c r="H171" t="n">
        <v>0</v>
      </c>
      <c r="I171" t="n">
        <v>0</v>
      </c>
      <c r="J171" t="n">
        <v>0</v>
      </c>
      <c r="K171" t="n">
        <v>0</v>
      </c>
      <c r="L171" t="n">
        <v>0</v>
      </c>
      <c r="M171" t="n">
        <v>0</v>
      </c>
      <c r="N171" t="n">
        <v>0</v>
      </c>
      <c r="O171" t="n">
        <v>0</v>
      </c>
      <c r="P171" t="n">
        <v>0</v>
      </c>
      <c r="Q171" t="n">
        <v>0</v>
      </c>
      <c r="R171" s="2" t="inlineStr"/>
    </row>
    <row r="172" ht="15" customHeight="1">
      <c r="A172" t="inlineStr">
        <is>
          <t>A 3457-2022</t>
        </is>
      </c>
      <c r="B172" s="1" t="n">
        <v>44585</v>
      </c>
      <c r="C172" s="1" t="n">
        <v>46070</v>
      </c>
      <c r="D172" t="inlineStr">
        <is>
          <t>VÄSTRA GÖTALANDS LÄN</t>
        </is>
      </c>
      <c r="E172" t="inlineStr">
        <is>
          <t>ALE</t>
        </is>
      </c>
      <c r="G172" t="n">
        <v>5.1</v>
      </c>
      <c r="H172" t="n">
        <v>0</v>
      </c>
      <c r="I172" t="n">
        <v>0</v>
      </c>
      <c r="J172" t="n">
        <v>0</v>
      </c>
      <c r="K172" t="n">
        <v>0</v>
      </c>
      <c r="L172" t="n">
        <v>0</v>
      </c>
      <c r="M172" t="n">
        <v>0</v>
      </c>
      <c r="N172" t="n">
        <v>0</v>
      </c>
      <c r="O172" t="n">
        <v>0</v>
      </c>
      <c r="P172" t="n">
        <v>0</v>
      </c>
      <c r="Q172" t="n">
        <v>0</v>
      </c>
      <c r="R172" s="2" t="inlineStr"/>
    </row>
    <row r="173">
      <c r="A173" t="inlineStr">
        <is>
          <t>A 50451-2024</t>
        </is>
      </c>
      <c r="B173" s="1" t="n">
        <v>45601.44248842593</v>
      </c>
      <c r="C173" s="1" t="n">
        <v>46070</v>
      </c>
      <c r="D173" t="inlineStr">
        <is>
          <t>VÄSTRA GÖTALANDS LÄN</t>
        </is>
      </c>
      <c r="E173" t="inlineStr">
        <is>
          <t>ALE</t>
        </is>
      </c>
      <c r="G173" t="n">
        <v>2.9</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2026-02-17T11:41:16Z</dcterms:created>
  <dcterms:modified xmlns:dcterms="http://purl.org/dc/terms/" xmlns:xsi="http://www.w3.org/2001/XMLSchema-instance" xsi:type="dcterms:W3CDTF">2026-02-17T11:41:17Z</dcterms:modified>
</cp:coreProperties>
</file>