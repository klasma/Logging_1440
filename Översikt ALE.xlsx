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45966</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45966</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45966</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45966</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45966</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45966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45966</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45966</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45966</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35905-2025</t>
        </is>
      </c>
      <c r="B12" s="1" t="n">
        <v>45862</v>
      </c>
      <c r="C12" s="1" t="n">
        <v>45966</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32849-2023</t>
        </is>
      </c>
      <c r="B13" s="1" t="n">
        <v>45124</v>
      </c>
      <c r="C13" s="1" t="n">
        <v>45966</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37005-2025</t>
        </is>
      </c>
      <c r="B14" s="1" t="n">
        <v>45874.69311342593</v>
      </c>
      <c r="C14" s="1" t="n">
        <v>45966</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45966</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51991-2025</t>
        </is>
      </c>
      <c r="B16" s="1" t="n">
        <v>45952.58069444444</v>
      </c>
      <c r="C16" s="1" t="n">
        <v>45966</v>
      </c>
      <c r="D16" t="inlineStr">
        <is>
          <t>VÄSTRA GÖTALANDS LÄN</t>
        </is>
      </c>
      <c r="E16" t="inlineStr">
        <is>
          <t>ALE</t>
        </is>
      </c>
      <c r="G16" t="n">
        <v>4.8</v>
      </c>
      <c r="H16" t="n">
        <v>4</v>
      </c>
      <c r="I16" t="n">
        <v>1</v>
      </c>
      <c r="J16" t="n">
        <v>4</v>
      </c>
      <c r="K16" t="n">
        <v>1</v>
      </c>
      <c r="L16" t="n">
        <v>0</v>
      </c>
      <c r="M16" t="n">
        <v>0</v>
      </c>
      <c r="N16" t="n">
        <v>0</v>
      </c>
      <c r="O16" t="n">
        <v>5</v>
      </c>
      <c r="P16" t="n">
        <v>1</v>
      </c>
      <c r="Q16" t="n">
        <v>7</v>
      </c>
      <c r="R16" s="2" t="inlineStr">
        <is>
          <t>Långskägg
Entita
Orange taggsvamp
Spillkråka
Stubbtrådmossa
Västlig hakmossa
Revlummer</t>
        </is>
      </c>
      <c r="S16">
        <f>HYPERLINK("https://klasma.github.io/Logging_1440/artfynd/A 51991-2025 artfynd.xlsx", "A 51991-2025")</f>
        <v/>
      </c>
      <c r="T16">
        <f>HYPERLINK("https://klasma.github.io/Logging_1440/kartor/A 51991-2025 karta.png", "A 51991-2025")</f>
        <v/>
      </c>
      <c r="V16">
        <f>HYPERLINK("https://klasma.github.io/Logging_1440/klagomål/A 51991-2025 FSC-klagomål.docx", "A 51991-2025")</f>
        <v/>
      </c>
      <c r="W16">
        <f>HYPERLINK("https://klasma.github.io/Logging_1440/klagomålsmail/A 51991-2025 FSC-klagomål mail.docx", "A 51991-2025")</f>
        <v/>
      </c>
      <c r="X16">
        <f>HYPERLINK("https://klasma.github.io/Logging_1440/tillsyn/A 51991-2025 tillsynsbegäran.docx", "A 51991-2025")</f>
        <v/>
      </c>
      <c r="Y16">
        <f>HYPERLINK("https://klasma.github.io/Logging_1440/tillsynsmail/A 51991-2025 tillsynsbegäran mail.docx", "A 51991-2025")</f>
        <v/>
      </c>
      <c r="Z16">
        <f>HYPERLINK("https://klasma.github.io/Logging_1440/fåglar/A 51991-2025 prioriterade fågelarter.docx", "A 51991-2025")</f>
        <v/>
      </c>
    </row>
    <row r="17" ht="15" customHeight="1">
      <c r="A17" t="inlineStr">
        <is>
          <t>A 17566-2024</t>
        </is>
      </c>
      <c r="B17" s="1" t="n">
        <v>45415</v>
      </c>
      <c r="C17" s="1" t="n">
        <v>45966</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45966</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24162-2025</t>
        </is>
      </c>
      <c r="B19" s="1" t="n">
        <v>45796.66684027778</v>
      </c>
      <c r="C19" s="1" t="n">
        <v>45966</v>
      </c>
      <c r="D19" t="inlineStr">
        <is>
          <t>VÄSTRA GÖTALANDS LÄN</t>
        </is>
      </c>
      <c r="E19" t="inlineStr">
        <is>
          <t>ALE</t>
        </is>
      </c>
      <c r="G19" t="n">
        <v>5.5</v>
      </c>
      <c r="H19" t="n">
        <v>4</v>
      </c>
      <c r="I19" t="n">
        <v>2</v>
      </c>
      <c r="J19" t="n">
        <v>1</v>
      </c>
      <c r="K19" t="n">
        <v>0</v>
      </c>
      <c r="L19" t="n">
        <v>0</v>
      </c>
      <c r="M19" t="n">
        <v>0</v>
      </c>
      <c r="N19" t="n">
        <v>0</v>
      </c>
      <c r="O19" t="n">
        <v>1</v>
      </c>
      <c r="P19" t="n">
        <v>0</v>
      </c>
      <c r="Q19" t="n">
        <v>6</v>
      </c>
      <c r="R19" s="2" t="inlineStr">
        <is>
          <t>Spillkråka
Blanksvart trämyra
Blåmossa
Kungsfågel
Trana
Revlummer</t>
        </is>
      </c>
      <c r="S19">
        <f>HYPERLINK("https://klasma.github.io/Logging_1440/artfynd/A 24162-2025 artfynd.xlsx", "A 24162-2025")</f>
        <v/>
      </c>
      <c r="T19">
        <f>HYPERLINK("https://klasma.github.io/Logging_1440/kartor/A 24162-2025 karta.png", "A 24162-2025")</f>
        <v/>
      </c>
      <c r="V19">
        <f>HYPERLINK("https://klasma.github.io/Logging_1440/klagomål/A 24162-2025 FSC-klagomål.docx", "A 24162-2025")</f>
        <v/>
      </c>
      <c r="W19">
        <f>HYPERLINK("https://klasma.github.io/Logging_1440/klagomålsmail/A 24162-2025 FSC-klagomål mail.docx", "A 24162-2025")</f>
        <v/>
      </c>
      <c r="X19">
        <f>HYPERLINK("https://klasma.github.io/Logging_1440/tillsyn/A 24162-2025 tillsynsbegäran.docx", "A 24162-2025")</f>
        <v/>
      </c>
      <c r="Y19">
        <f>HYPERLINK("https://klasma.github.io/Logging_1440/tillsynsmail/A 24162-2025 tillsynsbegäran mail.docx", "A 24162-2025")</f>
        <v/>
      </c>
      <c r="Z19">
        <f>HYPERLINK("https://klasma.github.io/Logging_1440/fåglar/A 24162-2025 prioriterade fågelarter.docx", "A 24162-2025")</f>
        <v/>
      </c>
    </row>
    <row r="20" ht="15" customHeight="1">
      <c r="A20" t="inlineStr">
        <is>
          <t>A 563-2024</t>
        </is>
      </c>
      <c r="B20" s="1" t="n">
        <v>45299</v>
      </c>
      <c r="C20" s="1" t="n">
        <v>45966</v>
      </c>
      <c r="D20" t="inlineStr">
        <is>
          <t>VÄSTRA GÖTALANDS LÄN</t>
        </is>
      </c>
      <c r="E20" t="inlineStr">
        <is>
          <t>ALE</t>
        </is>
      </c>
      <c r="F20" t="inlineStr">
        <is>
          <t>Kyrkan</t>
        </is>
      </c>
      <c r="G20" t="n">
        <v>26</v>
      </c>
      <c r="H20" t="n">
        <v>4</v>
      </c>
      <c r="I20" t="n">
        <v>1</v>
      </c>
      <c r="J20" t="n">
        <v>3</v>
      </c>
      <c r="K20" t="n">
        <v>0</v>
      </c>
      <c r="L20" t="n">
        <v>0</v>
      </c>
      <c r="M20" t="n">
        <v>0</v>
      </c>
      <c r="N20" t="n">
        <v>0</v>
      </c>
      <c r="O20" t="n">
        <v>3</v>
      </c>
      <c r="P20" t="n">
        <v>0</v>
      </c>
      <c r="Q20" t="n">
        <v>6</v>
      </c>
      <c r="R20" s="2" t="inlineStr">
        <is>
          <t>Kortskaftad ärgspik
Spillkråka
Talltita
Björksplintborre
Tjäder
Revlummer</t>
        </is>
      </c>
      <c r="S20">
        <f>HYPERLINK("https://klasma.github.io/Logging_1440/artfynd/A 563-2024 artfynd.xlsx", "A 563-2024")</f>
        <v/>
      </c>
      <c r="T20">
        <f>HYPERLINK("https://klasma.github.io/Logging_1440/kartor/A 563-2024 karta.png", "A 563-2024")</f>
        <v/>
      </c>
      <c r="V20">
        <f>HYPERLINK("https://klasma.github.io/Logging_1440/klagomål/A 563-2024 FSC-klagomål.docx", "A 563-2024")</f>
        <v/>
      </c>
      <c r="W20">
        <f>HYPERLINK("https://klasma.github.io/Logging_1440/klagomålsmail/A 563-2024 FSC-klagomål mail.docx", "A 563-2024")</f>
        <v/>
      </c>
      <c r="X20">
        <f>HYPERLINK("https://klasma.github.io/Logging_1440/tillsyn/A 563-2024 tillsynsbegäran.docx", "A 563-2024")</f>
        <v/>
      </c>
      <c r="Y20">
        <f>HYPERLINK("https://klasma.github.io/Logging_1440/tillsynsmail/A 563-2024 tillsynsbegäran mail.docx", "A 563-2024")</f>
        <v/>
      </c>
      <c r="Z20">
        <f>HYPERLINK("https://klasma.github.io/Logging_1440/fåglar/A 563-2024 prioriterade fågelarter.docx", "A 563-2024")</f>
        <v/>
      </c>
    </row>
    <row r="21" ht="15" customHeight="1">
      <c r="A21" t="inlineStr">
        <is>
          <t>A 7903-2024</t>
        </is>
      </c>
      <c r="B21" s="1" t="n">
        <v>45350</v>
      </c>
      <c r="C21" s="1" t="n">
        <v>45966</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19934-2025</t>
        </is>
      </c>
      <c r="B22" s="1" t="n">
        <v>45771</v>
      </c>
      <c r="C22" s="1" t="n">
        <v>45966</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26491-2024</t>
        </is>
      </c>
      <c r="B23" s="1" t="n">
        <v>45469</v>
      </c>
      <c r="C23" s="1" t="n">
        <v>45966</v>
      </c>
      <c r="D23" t="inlineStr">
        <is>
          <t>VÄSTRA GÖTALANDS LÄN</t>
        </is>
      </c>
      <c r="E23" t="inlineStr">
        <is>
          <t>ALE</t>
        </is>
      </c>
      <c r="G23" t="n">
        <v>5.3</v>
      </c>
      <c r="H23" t="n">
        <v>1</v>
      </c>
      <c r="I23" t="n">
        <v>3</v>
      </c>
      <c r="J23" t="n">
        <v>1</v>
      </c>
      <c r="K23" t="n">
        <v>0</v>
      </c>
      <c r="L23" t="n">
        <v>0</v>
      </c>
      <c r="M23" t="n">
        <v>0</v>
      </c>
      <c r="N23" t="n">
        <v>0</v>
      </c>
      <c r="O23" t="n">
        <v>1</v>
      </c>
      <c r="P23" t="n">
        <v>0</v>
      </c>
      <c r="Q23" t="n">
        <v>4</v>
      </c>
      <c r="R23" s="2" t="inlineStr">
        <is>
          <t>Duvhök
Gulpudrad spiklav
Rostfläck
Sotlav</t>
        </is>
      </c>
      <c r="S23">
        <f>HYPERLINK("https://klasma.github.io/Logging_1440/artfynd/A 26491-2024 artfynd.xlsx", "A 26491-2024")</f>
        <v/>
      </c>
      <c r="T23">
        <f>HYPERLINK("https://klasma.github.io/Logging_1440/kartor/A 26491-2024 karta.png", "A 26491-2024")</f>
        <v/>
      </c>
      <c r="V23">
        <f>HYPERLINK("https://klasma.github.io/Logging_1440/klagomål/A 26491-2024 FSC-klagomål.docx", "A 26491-2024")</f>
        <v/>
      </c>
      <c r="W23">
        <f>HYPERLINK("https://klasma.github.io/Logging_1440/klagomålsmail/A 26491-2024 FSC-klagomål mail.docx", "A 26491-2024")</f>
        <v/>
      </c>
      <c r="X23">
        <f>HYPERLINK("https://klasma.github.io/Logging_1440/tillsyn/A 26491-2024 tillsynsbegäran.docx", "A 26491-2024")</f>
        <v/>
      </c>
      <c r="Y23">
        <f>HYPERLINK("https://klasma.github.io/Logging_1440/tillsynsmail/A 26491-2024 tillsynsbegäran mail.docx", "A 26491-2024")</f>
        <v/>
      </c>
      <c r="Z23">
        <f>HYPERLINK("https://klasma.github.io/Logging_1440/fåglar/A 26491-2024 prioriterade fågelarter.docx", "A 26491-2024")</f>
        <v/>
      </c>
    </row>
    <row r="24" ht="15" customHeight="1">
      <c r="A24" t="inlineStr">
        <is>
          <t>A 63575-2023</t>
        </is>
      </c>
      <c r="B24" s="1" t="n">
        <v>45275.39715277778</v>
      </c>
      <c r="C24" s="1" t="n">
        <v>45966</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42660-2024</t>
        </is>
      </c>
      <c r="B25" s="1" t="n">
        <v>45566.33841435185</v>
      </c>
      <c r="C25" s="1" t="n">
        <v>45966</v>
      </c>
      <c r="D25" t="inlineStr">
        <is>
          <t>VÄSTRA GÖTALANDS LÄN</t>
        </is>
      </c>
      <c r="E25" t="inlineStr">
        <is>
          <t>ALE</t>
        </is>
      </c>
      <c r="G25" t="n">
        <v>2.5</v>
      </c>
      <c r="H25" t="n">
        <v>2</v>
      </c>
      <c r="I25" t="n">
        <v>0</v>
      </c>
      <c r="J25" t="n">
        <v>0</v>
      </c>
      <c r="K25" t="n">
        <v>0</v>
      </c>
      <c r="L25" t="n">
        <v>0</v>
      </c>
      <c r="M25" t="n">
        <v>0</v>
      </c>
      <c r="N25" t="n">
        <v>0</v>
      </c>
      <c r="O25" t="n">
        <v>0</v>
      </c>
      <c r="P25" t="n">
        <v>0</v>
      </c>
      <c r="Q25" t="n">
        <v>2</v>
      </c>
      <c r="R25" s="2" t="inlineStr">
        <is>
          <t>Mattlummer
Revlummer</t>
        </is>
      </c>
      <c r="S25">
        <f>HYPERLINK("https://klasma.github.io/Logging_1440/artfynd/A 42660-2024 artfynd.xlsx", "A 42660-2024")</f>
        <v/>
      </c>
      <c r="T25">
        <f>HYPERLINK("https://klasma.github.io/Logging_1440/kartor/A 42660-2024 karta.png", "A 42660-2024")</f>
        <v/>
      </c>
      <c r="V25">
        <f>HYPERLINK("https://klasma.github.io/Logging_1440/klagomål/A 42660-2024 FSC-klagomål.docx", "A 42660-2024")</f>
        <v/>
      </c>
      <c r="W25">
        <f>HYPERLINK("https://klasma.github.io/Logging_1440/klagomålsmail/A 42660-2024 FSC-klagomål mail.docx", "A 42660-2024")</f>
        <v/>
      </c>
      <c r="X25">
        <f>HYPERLINK("https://klasma.github.io/Logging_1440/tillsyn/A 42660-2024 tillsynsbegäran.docx", "A 42660-2024")</f>
        <v/>
      </c>
      <c r="Y25">
        <f>HYPERLINK("https://klasma.github.io/Logging_1440/tillsynsmail/A 42660-2024 tillsynsbegäran mail.docx", "A 42660-2024")</f>
        <v/>
      </c>
    </row>
    <row r="26" ht="15" customHeight="1">
      <c r="A26" t="inlineStr">
        <is>
          <t>A 58954-2022</t>
        </is>
      </c>
      <c r="B26" s="1" t="n">
        <v>44903</v>
      </c>
      <c r="C26" s="1" t="n">
        <v>45966</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40931-2025</t>
        </is>
      </c>
      <c r="B27" s="1" t="n">
        <v>45897.64783564815</v>
      </c>
      <c r="C27" s="1" t="n">
        <v>45966</v>
      </c>
      <c r="D27" t="inlineStr">
        <is>
          <t>VÄSTRA GÖTALANDS LÄN</t>
        </is>
      </c>
      <c r="E27" t="inlineStr">
        <is>
          <t>ALE</t>
        </is>
      </c>
      <c r="G27" t="n">
        <v>4.3</v>
      </c>
      <c r="H27" t="n">
        <v>1</v>
      </c>
      <c r="I27" t="n">
        <v>1</v>
      </c>
      <c r="J27" t="n">
        <v>1</v>
      </c>
      <c r="K27" t="n">
        <v>0</v>
      </c>
      <c r="L27" t="n">
        <v>0</v>
      </c>
      <c r="M27" t="n">
        <v>0</v>
      </c>
      <c r="N27" t="n">
        <v>0</v>
      </c>
      <c r="O27" t="n">
        <v>1</v>
      </c>
      <c r="P27" t="n">
        <v>0</v>
      </c>
      <c r="Q27" t="n">
        <v>2</v>
      </c>
      <c r="R27" s="2" t="inlineStr">
        <is>
          <t>Spillkråka
Blåmossa</t>
        </is>
      </c>
      <c r="S27">
        <f>HYPERLINK("https://klasma.github.io/Logging_1440/artfynd/A 40931-2025 artfynd.xlsx", "A 40931-2025")</f>
        <v/>
      </c>
      <c r="T27">
        <f>HYPERLINK("https://klasma.github.io/Logging_1440/kartor/A 40931-2025 karta.png", "A 40931-2025")</f>
        <v/>
      </c>
      <c r="V27">
        <f>HYPERLINK("https://klasma.github.io/Logging_1440/klagomål/A 40931-2025 FSC-klagomål.docx", "A 40931-2025")</f>
        <v/>
      </c>
      <c r="W27">
        <f>HYPERLINK("https://klasma.github.io/Logging_1440/klagomålsmail/A 40931-2025 FSC-klagomål mail.docx", "A 40931-2025")</f>
        <v/>
      </c>
      <c r="X27">
        <f>HYPERLINK("https://klasma.github.io/Logging_1440/tillsyn/A 40931-2025 tillsynsbegäran.docx", "A 40931-2025")</f>
        <v/>
      </c>
      <c r="Y27">
        <f>HYPERLINK("https://klasma.github.io/Logging_1440/tillsynsmail/A 40931-2025 tillsynsbegäran mail.docx", "A 40931-2025")</f>
        <v/>
      </c>
      <c r="Z27">
        <f>HYPERLINK("https://klasma.github.io/Logging_1440/fåglar/A 40931-2025 prioriterade fågelarter.docx", "A 40931-2025")</f>
        <v/>
      </c>
    </row>
    <row r="28" ht="15" customHeight="1">
      <c r="A28" t="inlineStr">
        <is>
          <t>A 8955-2025</t>
        </is>
      </c>
      <c r="B28" s="1" t="n">
        <v>45713.46528935185</v>
      </c>
      <c r="C28" s="1" t="n">
        <v>45966</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1503-2024</t>
        </is>
      </c>
      <c r="B29" s="1" t="n">
        <v>45306.35041666667</v>
      </c>
      <c r="C29" s="1" t="n">
        <v>45966</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2270-2025</t>
        </is>
      </c>
      <c r="B30" s="1" t="n">
        <v>45673.54403935185</v>
      </c>
      <c r="C30" s="1" t="n">
        <v>45966</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13380-2025</t>
        </is>
      </c>
      <c r="B31" s="1" t="n">
        <v>45735.6765162037</v>
      </c>
      <c r="C31" s="1" t="n">
        <v>45966</v>
      </c>
      <c r="D31" t="inlineStr">
        <is>
          <t>VÄSTRA GÖTALANDS LÄN</t>
        </is>
      </c>
      <c r="E31" t="inlineStr">
        <is>
          <t>ALE</t>
        </is>
      </c>
      <c r="G31" t="n">
        <v>1.8</v>
      </c>
      <c r="H31" t="n">
        <v>2</v>
      </c>
      <c r="I31" t="n">
        <v>0</v>
      </c>
      <c r="J31" t="n">
        <v>2</v>
      </c>
      <c r="K31" t="n">
        <v>0</v>
      </c>
      <c r="L31" t="n">
        <v>0</v>
      </c>
      <c r="M31" t="n">
        <v>0</v>
      </c>
      <c r="N31" t="n">
        <v>0</v>
      </c>
      <c r="O31" t="n">
        <v>2</v>
      </c>
      <c r="P31" t="n">
        <v>0</v>
      </c>
      <c r="Q31" t="n">
        <v>2</v>
      </c>
      <c r="R31" s="2" t="inlineStr">
        <is>
          <t>Entita
Spillkråka</t>
        </is>
      </c>
      <c r="S31">
        <f>HYPERLINK("https://klasma.github.io/Logging_1440/artfynd/A 13380-2025 artfynd.xlsx", "A 13380-2025")</f>
        <v/>
      </c>
      <c r="T31">
        <f>HYPERLINK("https://klasma.github.io/Logging_1440/kartor/A 13380-2025 karta.png", "A 13380-2025")</f>
        <v/>
      </c>
      <c r="V31">
        <f>HYPERLINK("https://klasma.github.io/Logging_1440/klagomål/A 13380-2025 FSC-klagomål.docx", "A 13380-2025")</f>
        <v/>
      </c>
      <c r="W31">
        <f>HYPERLINK("https://klasma.github.io/Logging_1440/klagomålsmail/A 13380-2025 FSC-klagomål mail.docx", "A 13380-2025")</f>
        <v/>
      </c>
      <c r="X31">
        <f>HYPERLINK("https://klasma.github.io/Logging_1440/tillsyn/A 13380-2025 tillsynsbegäran.docx", "A 13380-2025")</f>
        <v/>
      </c>
      <c r="Y31">
        <f>HYPERLINK("https://klasma.github.io/Logging_1440/tillsynsmail/A 13380-2025 tillsynsbegäran mail.docx", "A 13380-2025")</f>
        <v/>
      </c>
      <c r="Z31">
        <f>HYPERLINK("https://klasma.github.io/Logging_1440/fåglar/A 13380-2025 prioriterade fågelarter.docx", "A 13380-2025")</f>
        <v/>
      </c>
    </row>
    <row r="32" ht="15" customHeight="1">
      <c r="A32" t="inlineStr">
        <is>
          <t>A 16534-2025</t>
        </is>
      </c>
      <c r="B32" s="1" t="n">
        <v>45751.65315972222</v>
      </c>
      <c r="C32" s="1" t="n">
        <v>45966</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16534-2025 artfynd.xlsx", "A 16534-2025")</f>
        <v/>
      </c>
      <c r="T32">
        <f>HYPERLINK("https://klasma.github.io/Logging_1440/kartor/A 16534-2025 karta.png", "A 16534-2025")</f>
        <v/>
      </c>
      <c r="V32">
        <f>HYPERLINK("https://klasma.github.io/Logging_1440/klagomål/A 16534-2025 FSC-klagomål.docx", "A 16534-2025")</f>
        <v/>
      </c>
      <c r="W32">
        <f>HYPERLINK("https://klasma.github.io/Logging_1440/klagomålsmail/A 16534-2025 FSC-klagomål mail.docx", "A 16534-2025")</f>
        <v/>
      </c>
      <c r="X32">
        <f>HYPERLINK("https://klasma.github.io/Logging_1440/tillsyn/A 16534-2025 tillsynsbegäran.docx", "A 16534-2025")</f>
        <v/>
      </c>
      <c r="Y32">
        <f>HYPERLINK("https://klasma.github.io/Logging_1440/tillsynsmail/A 16534-2025 tillsynsbegäran mail.docx", "A 16534-2025")</f>
        <v/>
      </c>
      <c r="Z32">
        <f>HYPERLINK("https://klasma.github.io/Logging_1440/fåglar/A 16534-2025 prioriterade fågelarter.docx", "A 16534-2025")</f>
        <v/>
      </c>
    </row>
    <row r="33" ht="15" customHeight="1">
      <c r="A33" t="inlineStr">
        <is>
          <t>A 20586-2023</t>
        </is>
      </c>
      <c r="B33" s="1" t="n">
        <v>45057</v>
      </c>
      <c r="C33" s="1" t="n">
        <v>45966</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380-2025</t>
        </is>
      </c>
      <c r="B34" s="1" t="n">
        <v>45662.43456018518</v>
      </c>
      <c r="C34" s="1" t="n">
        <v>45966</v>
      </c>
      <c r="D34" t="inlineStr">
        <is>
          <t>VÄSTRA GÖTALANDS LÄN</t>
        </is>
      </c>
      <c r="E34" t="inlineStr">
        <is>
          <t>ALE</t>
        </is>
      </c>
      <c r="G34" t="n">
        <v>8.6</v>
      </c>
      <c r="H34" t="n">
        <v>1</v>
      </c>
      <c r="I34" t="n">
        <v>1</v>
      </c>
      <c r="J34" t="n">
        <v>1</v>
      </c>
      <c r="K34" t="n">
        <v>0</v>
      </c>
      <c r="L34" t="n">
        <v>0</v>
      </c>
      <c r="M34" t="n">
        <v>0</v>
      </c>
      <c r="N34" t="n">
        <v>0</v>
      </c>
      <c r="O34" t="n">
        <v>1</v>
      </c>
      <c r="P34" t="n">
        <v>0</v>
      </c>
      <c r="Q34" t="n">
        <v>2</v>
      </c>
      <c r="R34" s="2" t="inlineStr">
        <is>
          <t>Spillkråka
Blåmossa</t>
        </is>
      </c>
      <c r="S34">
        <f>HYPERLINK("https://klasma.github.io/Logging_1440/artfynd/A 380-2025 artfynd.xlsx", "A 380-2025")</f>
        <v/>
      </c>
      <c r="T34">
        <f>HYPERLINK("https://klasma.github.io/Logging_1440/kartor/A 380-2025 karta.png", "A 380-2025")</f>
        <v/>
      </c>
      <c r="V34">
        <f>HYPERLINK("https://klasma.github.io/Logging_1440/klagomål/A 380-2025 FSC-klagomål.docx", "A 380-2025")</f>
        <v/>
      </c>
      <c r="W34">
        <f>HYPERLINK("https://klasma.github.io/Logging_1440/klagomålsmail/A 380-2025 FSC-klagomål mail.docx", "A 380-2025")</f>
        <v/>
      </c>
      <c r="X34">
        <f>HYPERLINK("https://klasma.github.io/Logging_1440/tillsyn/A 380-2025 tillsynsbegäran.docx", "A 380-2025")</f>
        <v/>
      </c>
      <c r="Y34">
        <f>HYPERLINK("https://klasma.github.io/Logging_1440/tillsynsmail/A 380-2025 tillsynsbegäran mail.docx", "A 380-2025")</f>
        <v/>
      </c>
      <c r="Z34">
        <f>HYPERLINK("https://klasma.github.io/Logging_1440/fåglar/A 380-2025 prioriterade fågelarter.docx", "A 380-2025")</f>
        <v/>
      </c>
    </row>
    <row r="35" ht="15" customHeight="1">
      <c r="A35" t="inlineStr">
        <is>
          <t>A 63569-2023</t>
        </is>
      </c>
      <c r="B35" s="1" t="n">
        <v>45275</v>
      </c>
      <c r="C35" s="1" t="n">
        <v>45966</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12982-2024</t>
        </is>
      </c>
      <c r="B36" s="1" t="n">
        <v>45385.53569444444</v>
      </c>
      <c r="C36" s="1" t="n">
        <v>45966</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26677-2025</t>
        </is>
      </c>
      <c r="B37" s="1" t="n">
        <v>45810.42446759259</v>
      </c>
      <c r="C37" s="1" t="n">
        <v>45966</v>
      </c>
      <c r="D37" t="inlineStr">
        <is>
          <t>VÄSTRA GÖTALANDS LÄN</t>
        </is>
      </c>
      <c r="E37" t="inlineStr">
        <is>
          <t>ALE</t>
        </is>
      </c>
      <c r="G37" t="n">
        <v>1.2</v>
      </c>
      <c r="H37" t="n">
        <v>0</v>
      </c>
      <c r="I37" t="n">
        <v>1</v>
      </c>
      <c r="J37" t="n">
        <v>0</v>
      </c>
      <c r="K37" t="n">
        <v>0</v>
      </c>
      <c r="L37" t="n">
        <v>0</v>
      </c>
      <c r="M37" t="n">
        <v>0</v>
      </c>
      <c r="N37" t="n">
        <v>0</v>
      </c>
      <c r="O37" t="n">
        <v>0</v>
      </c>
      <c r="P37" t="n">
        <v>0</v>
      </c>
      <c r="Q37" t="n">
        <v>1</v>
      </c>
      <c r="R37" s="2" t="inlineStr">
        <is>
          <t>Västlig hakmossa</t>
        </is>
      </c>
      <c r="S37">
        <f>HYPERLINK("https://klasma.github.io/Logging_1440/artfynd/A 26677-2025 artfynd.xlsx", "A 26677-2025")</f>
        <v/>
      </c>
      <c r="T37">
        <f>HYPERLINK("https://klasma.github.io/Logging_1440/kartor/A 26677-2025 karta.png", "A 26677-2025")</f>
        <v/>
      </c>
      <c r="V37">
        <f>HYPERLINK("https://klasma.github.io/Logging_1440/klagomål/A 26677-2025 FSC-klagomål.docx", "A 26677-2025")</f>
        <v/>
      </c>
      <c r="W37">
        <f>HYPERLINK("https://klasma.github.io/Logging_1440/klagomålsmail/A 26677-2025 FSC-klagomål mail.docx", "A 26677-2025")</f>
        <v/>
      </c>
      <c r="X37">
        <f>HYPERLINK("https://klasma.github.io/Logging_1440/tillsyn/A 26677-2025 tillsynsbegäran.docx", "A 26677-2025")</f>
        <v/>
      </c>
      <c r="Y37">
        <f>HYPERLINK("https://klasma.github.io/Logging_1440/tillsynsmail/A 26677-2025 tillsynsbegäran mail.docx", "A 26677-2025")</f>
        <v/>
      </c>
    </row>
    <row r="38" ht="15" customHeight="1">
      <c r="A38" t="inlineStr">
        <is>
          <t>A 12084-2025</t>
        </is>
      </c>
      <c r="B38" s="1" t="n">
        <v>45728.95387731482</v>
      </c>
      <c r="C38" s="1" t="n">
        <v>45966</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45966</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13902-2025</t>
        </is>
      </c>
      <c r="B40" s="1" t="n">
        <v>45737.63446759259</v>
      </c>
      <c r="C40" s="1" t="n">
        <v>45966</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45966</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45966</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45966</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45966</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45966</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45966</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45966</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45966</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45966</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45966</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45966</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45966</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45966</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45966</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65222-2021</t>
        </is>
      </c>
      <c r="B55" s="1" t="n">
        <v>44515</v>
      </c>
      <c r="C55" s="1" t="n">
        <v>45966</v>
      </c>
      <c r="D55" t="inlineStr">
        <is>
          <t>VÄSTRA GÖTALANDS LÄN</t>
        </is>
      </c>
      <c r="E55" t="inlineStr">
        <is>
          <t>ALE</t>
        </is>
      </c>
      <c r="G55" t="n">
        <v>1.2</v>
      </c>
      <c r="H55" t="n">
        <v>0</v>
      </c>
      <c r="I55" t="n">
        <v>0</v>
      </c>
      <c r="J55" t="n">
        <v>0</v>
      </c>
      <c r="K55" t="n">
        <v>0</v>
      </c>
      <c r="L55" t="n">
        <v>0</v>
      </c>
      <c r="M55" t="n">
        <v>0</v>
      </c>
      <c r="N55" t="n">
        <v>0</v>
      </c>
      <c r="O55" t="n">
        <v>0</v>
      </c>
      <c r="P55" t="n">
        <v>0</v>
      </c>
      <c r="Q55" t="n">
        <v>0</v>
      </c>
      <c r="R55" s="2" t="inlineStr"/>
    </row>
    <row r="56" ht="15" customHeight="1">
      <c r="A56" t="inlineStr">
        <is>
          <t>A 22138-2021</t>
        </is>
      </c>
      <c r="B56" s="1" t="n">
        <v>44324.67472222223</v>
      </c>
      <c r="C56" s="1" t="n">
        <v>45966</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45966</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45966</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45966</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45966</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45966</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45966</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46391-2021</t>
        </is>
      </c>
      <c r="B63" s="1" t="n">
        <v>44443</v>
      </c>
      <c r="C63" s="1" t="n">
        <v>45966</v>
      </c>
      <c r="D63" t="inlineStr">
        <is>
          <t>VÄSTRA GÖTALANDS LÄN</t>
        </is>
      </c>
      <c r="E63" t="inlineStr">
        <is>
          <t>ALE</t>
        </is>
      </c>
      <c r="G63" t="n">
        <v>1.3</v>
      </c>
      <c r="H63" t="n">
        <v>0</v>
      </c>
      <c r="I63" t="n">
        <v>0</v>
      </c>
      <c r="J63" t="n">
        <v>0</v>
      </c>
      <c r="K63" t="n">
        <v>0</v>
      </c>
      <c r="L63" t="n">
        <v>0</v>
      </c>
      <c r="M63" t="n">
        <v>0</v>
      </c>
      <c r="N63" t="n">
        <v>0</v>
      </c>
      <c r="O63" t="n">
        <v>0</v>
      </c>
      <c r="P63" t="n">
        <v>0</v>
      </c>
      <c r="Q63" t="n">
        <v>0</v>
      </c>
      <c r="R63" s="2" t="inlineStr"/>
    </row>
    <row r="64" ht="15" customHeight="1">
      <c r="A64" t="inlineStr">
        <is>
          <t>A 45986-2021</t>
        </is>
      </c>
      <c r="B64" s="1" t="n">
        <v>44441</v>
      </c>
      <c r="C64" s="1" t="n">
        <v>45966</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27314-2021</t>
        </is>
      </c>
      <c r="B65" s="1" t="n">
        <v>44351.36537037037</v>
      </c>
      <c r="C65" s="1" t="n">
        <v>45966</v>
      </c>
      <c r="D65" t="inlineStr">
        <is>
          <t>VÄSTRA GÖTALANDS LÄN</t>
        </is>
      </c>
      <c r="E65" t="inlineStr">
        <is>
          <t>ALE</t>
        </is>
      </c>
      <c r="G65" t="n">
        <v>11.3</v>
      </c>
      <c r="H65" t="n">
        <v>0</v>
      </c>
      <c r="I65" t="n">
        <v>0</v>
      </c>
      <c r="J65" t="n">
        <v>0</v>
      </c>
      <c r="K65" t="n">
        <v>0</v>
      </c>
      <c r="L65" t="n">
        <v>0</v>
      </c>
      <c r="M65" t="n">
        <v>0</v>
      </c>
      <c r="N65" t="n">
        <v>0</v>
      </c>
      <c r="O65" t="n">
        <v>0</v>
      </c>
      <c r="P65" t="n">
        <v>0</v>
      </c>
      <c r="Q65" t="n">
        <v>0</v>
      </c>
      <c r="R65" s="2" t="inlineStr"/>
    </row>
    <row r="66" ht="15" customHeight="1">
      <c r="A66" t="inlineStr">
        <is>
          <t>A 3293-2021</t>
        </is>
      </c>
      <c r="B66" s="1" t="n">
        <v>44217</v>
      </c>
      <c r="C66" s="1" t="n">
        <v>45966</v>
      </c>
      <c r="D66" t="inlineStr">
        <is>
          <t>VÄSTRA GÖTALANDS LÄN</t>
        </is>
      </c>
      <c r="E66" t="inlineStr">
        <is>
          <t>ALE</t>
        </is>
      </c>
      <c r="G66" t="n">
        <v>4.2</v>
      </c>
      <c r="H66" t="n">
        <v>0</v>
      </c>
      <c r="I66" t="n">
        <v>0</v>
      </c>
      <c r="J66" t="n">
        <v>0</v>
      </c>
      <c r="K66" t="n">
        <v>0</v>
      </c>
      <c r="L66" t="n">
        <v>0</v>
      </c>
      <c r="M66" t="n">
        <v>0</v>
      </c>
      <c r="N66" t="n">
        <v>0</v>
      </c>
      <c r="O66" t="n">
        <v>0</v>
      </c>
      <c r="P66" t="n">
        <v>0</v>
      </c>
      <c r="Q66" t="n">
        <v>0</v>
      </c>
      <c r="R66" s="2" t="inlineStr"/>
    </row>
    <row r="67" ht="15" customHeight="1">
      <c r="A67" t="inlineStr">
        <is>
          <t>A 35148-2021</t>
        </is>
      </c>
      <c r="B67" s="1" t="n">
        <v>44384</v>
      </c>
      <c r="C67" s="1" t="n">
        <v>45966</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33237-2024</t>
        </is>
      </c>
      <c r="B68" s="1" t="n">
        <v>45518.59173611111</v>
      </c>
      <c r="C68" s="1" t="n">
        <v>45966</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12055-2022</t>
        </is>
      </c>
      <c r="B69" s="1" t="n">
        <v>44636</v>
      </c>
      <c r="C69" s="1" t="n">
        <v>45966</v>
      </c>
      <c r="D69" t="inlineStr">
        <is>
          <t>VÄSTRA GÖTALANDS LÄN</t>
        </is>
      </c>
      <c r="E69" t="inlineStr">
        <is>
          <t>ALE</t>
        </is>
      </c>
      <c r="G69" t="n">
        <v>0.2</v>
      </c>
      <c r="H69" t="n">
        <v>0</v>
      </c>
      <c r="I69" t="n">
        <v>0</v>
      </c>
      <c r="J69" t="n">
        <v>0</v>
      </c>
      <c r="K69" t="n">
        <v>0</v>
      </c>
      <c r="L69" t="n">
        <v>0</v>
      </c>
      <c r="M69" t="n">
        <v>0</v>
      </c>
      <c r="N69" t="n">
        <v>0</v>
      </c>
      <c r="O69" t="n">
        <v>0</v>
      </c>
      <c r="P69" t="n">
        <v>0</v>
      </c>
      <c r="Q69" t="n">
        <v>0</v>
      </c>
      <c r="R69" s="2" t="inlineStr"/>
    </row>
    <row r="70" ht="15" customHeight="1">
      <c r="A70" t="inlineStr">
        <is>
          <t>A 5875-2023</t>
        </is>
      </c>
      <c r="B70" s="1" t="n">
        <v>44963</v>
      </c>
      <c r="C70" s="1" t="n">
        <v>45966</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12445-2022</t>
        </is>
      </c>
      <c r="B71" s="1" t="n">
        <v>44638</v>
      </c>
      <c r="C71" s="1" t="n">
        <v>45966</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64199-2021</t>
        </is>
      </c>
      <c r="B72" s="1" t="n">
        <v>44510</v>
      </c>
      <c r="C72" s="1" t="n">
        <v>45966</v>
      </c>
      <c r="D72" t="inlineStr">
        <is>
          <t>VÄSTRA GÖTALANDS LÄN</t>
        </is>
      </c>
      <c r="E72" t="inlineStr">
        <is>
          <t>ALE</t>
        </is>
      </c>
      <c r="G72" t="n">
        <v>5.7</v>
      </c>
      <c r="H72" t="n">
        <v>0</v>
      </c>
      <c r="I72" t="n">
        <v>0</v>
      </c>
      <c r="J72" t="n">
        <v>0</v>
      </c>
      <c r="K72" t="n">
        <v>0</v>
      </c>
      <c r="L72" t="n">
        <v>0</v>
      </c>
      <c r="M72" t="n">
        <v>0</v>
      </c>
      <c r="N72" t="n">
        <v>0</v>
      </c>
      <c r="O72" t="n">
        <v>0</v>
      </c>
      <c r="P72" t="n">
        <v>0</v>
      </c>
      <c r="Q72" t="n">
        <v>0</v>
      </c>
      <c r="R72" s="2" t="inlineStr"/>
    </row>
    <row r="73" ht="15" customHeight="1">
      <c r="A73" t="inlineStr">
        <is>
          <t>A 46226-2025</t>
        </is>
      </c>
      <c r="B73" s="1" t="n">
        <v>45924</v>
      </c>
      <c r="C73" s="1" t="n">
        <v>45966</v>
      </c>
      <c r="D73" t="inlineStr">
        <is>
          <t>VÄSTRA GÖTALANDS LÄN</t>
        </is>
      </c>
      <c r="E73" t="inlineStr">
        <is>
          <t>ALE</t>
        </is>
      </c>
      <c r="G73" t="n">
        <v>2.3</v>
      </c>
      <c r="H73" t="n">
        <v>0</v>
      </c>
      <c r="I73" t="n">
        <v>0</v>
      </c>
      <c r="J73" t="n">
        <v>0</v>
      </c>
      <c r="K73" t="n">
        <v>0</v>
      </c>
      <c r="L73" t="n">
        <v>0</v>
      </c>
      <c r="M73" t="n">
        <v>0</v>
      </c>
      <c r="N73" t="n">
        <v>0</v>
      </c>
      <c r="O73" t="n">
        <v>0</v>
      </c>
      <c r="P73" t="n">
        <v>0</v>
      </c>
      <c r="Q73" t="n">
        <v>0</v>
      </c>
      <c r="R73" s="2" t="inlineStr"/>
    </row>
    <row r="74" ht="15" customHeight="1">
      <c r="A74" t="inlineStr">
        <is>
          <t>A 36763-2022</t>
        </is>
      </c>
      <c r="B74" s="1" t="n">
        <v>44805</v>
      </c>
      <c r="C74" s="1" t="n">
        <v>45966</v>
      </c>
      <c r="D74" t="inlineStr">
        <is>
          <t>VÄSTRA GÖTALANDS LÄN</t>
        </is>
      </c>
      <c r="E74" t="inlineStr">
        <is>
          <t>ALE</t>
        </is>
      </c>
      <c r="G74" t="n">
        <v>6.1</v>
      </c>
      <c r="H74" t="n">
        <v>0</v>
      </c>
      <c r="I74" t="n">
        <v>0</v>
      </c>
      <c r="J74" t="n">
        <v>0</v>
      </c>
      <c r="K74" t="n">
        <v>0</v>
      </c>
      <c r="L74" t="n">
        <v>0</v>
      </c>
      <c r="M74" t="n">
        <v>0</v>
      </c>
      <c r="N74" t="n">
        <v>0</v>
      </c>
      <c r="O74" t="n">
        <v>0</v>
      </c>
      <c r="P74" t="n">
        <v>0</v>
      </c>
      <c r="Q74" t="n">
        <v>0</v>
      </c>
      <c r="R74" s="2" t="inlineStr"/>
    </row>
    <row r="75" ht="15" customHeight="1">
      <c r="A75" t="inlineStr">
        <is>
          <t>A 49955-2021</t>
        </is>
      </c>
      <c r="B75" s="1" t="n">
        <v>44456</v>
      </c>
      <c r="C75" s="1" t="n">
        <v>45966</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3407-2023</t>
        </is>
      </c>
      <c r="B76" s="1" t="n">
        <v>44949.54909722223</v>
      </c>
      <c r="C76" s="1" t="n">
        <v>45966</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67160-2021</t>
        </is>
      </c>
      <c r="B77" s="1" t="n">
        <v>44523</v>
      </c>
      <c r="C77" s="1" t="n">
        <v>45966</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47330-2025</t>
        </is>
      </c>
      <c r="B78" s="1" t="n">
        <v>45930.56170138889</v>
      </c>
      <c r="C78" s="1" t="n">
        <v>45966</v>
      </c>
      <c r="D78" t="inlineStr">
        <is>
          <t>VÄSTRA GÖTALANDS LÄN</t>
        </is>
      </c>
      <c r="E78" t="inlineStr">
        <is>
          <t>ALE</t>
        </is>
      </c>
      <c r="G78" t="n">
        <v>3.7</v>
      </c>
      <c r="H78" t="n">
        <v>0</v>
      </c>
      <c r="I78" t="n">
        <v>0</v>
      </c>
      <c r="J78" t="n">
        <v>0</v>
      </c>
      <c r="K78" t="n">
        <v>0</v>
      </c>
      <c r="L78" t="n">
        <v>0</v>
      </c>
      <c r="M78" t="n">
        <v>0</v>
      </c>
      <c r="N78" t="n">
        <v>0</v>
      </c>
      <c r="O78" t="n">
        <v>0</v>
      </c>
      <c r="P78" t="n">
        <v>0</v>
      </c>
      <c r="Q78" t="n">
        <v>0</v>
      </c>
      <c r="R78" s="2" t="inlineStr"/>
    </row>
    <row r="79" ht="15" customHeight="1">
      <c r="A79" t="inlineStr">
        <is>
          <t>A 47593-2025</t>
        </is>
      </c>
      <c r="B79" s="1" t="n">
        <v>45931.4480787037</v>
      </c>
      <c r="C79" s="1" t="n">
        <v>45966</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47592-2025</t>
        </is>
      </c>
      <c r="B80" s="1" t="n">
        <v>45931.44649305556</v>
      </c>
      <c r="C80" s="1" t="n">
        <v>45966</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15241-2025</t>
        </is>
      </c>
      <c r="B81" s="1" t="n">
        <v>45744.61255787037</v>
      </c>
      <c r="C81" s="1" t="n">
        <v>45966</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47728-2025</t>
        </is>
      </c>
      <c r="B82" s="1" t="n">
        <v>45931.63186342592</v>
      </c>
      <c r="C82" s="1" t="n">
        <v>45966</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49680-2024</t>
        </is>
      </c>
      <c r="B83" s="1" t="n">
        <v>45596.66880787037</v>
      </c>
      <c r="C83" s="1" t="n">
        <v>45966</v>
      </c>
      <c r="D83" t="inlineStr">
        <is>
          <t>VÄSTRA GÖTALANDS LÄN</t>
        </is>
      </c>
      <c r="E83" t="inlineStr">
        <is>
          <t>ALE</t>
        </is>
      </c>
      <c r="G83" t="n">
        <v>3.7</v>
      </c>
      <c r="H83" t="n">
        <v>0</v>
      </c>
      <c r="I83" t="n">
        <v>0</v>
      </c>
      <c r="J83" t="n">
        <v>0</v>
      </c>
      <c r="K83" t="n">
        <v>0</v>
      </c>
      <c r="L83" t="n">
        <v>0</v>
      </c>
      <c r="M83" t="n">
        <v>0</v>
      </c>
      <c r="N83" t="n">
        <v>0</v>
      </c>
      <c r="O83" t="n">
        <v>0</v>
      </c>
      <c r="P83" t="n">
        <v>0</v>
      </c>
      <c r="Q83" t="n">
        <v>0</v>
      </c>
      <c r="R83" s="2" t="inlineStr"/>
    </row>
    <row r="84" ht="15" customHeight="1">
      <c r="A84" t="inlineStr">
        <is>
          <t>A 34153-2024</t>
        </is>
      </c>
      <c r="B84" s="1" t="n">
        <v>45524.38400462963</v>
      </c>
      <c r="C84" s="1" t="n">
        <v>45966</v>
      </c>
      <c r="D84" t="inlineStr">
        <is>
          <t>VÄSTRA GÖTALANDS LÄN</t>
        </is>
      </c>
      <c r="E84" t="inlineStr">
        <is>
          <t>ALE</t>
        </is>
      </c>
      <c r="G84" t="n">
        <v>0.8</v>
      </c>
      <c r="H84" t="n">
        <v>0</v>
      </c>
      <c r="I84" t="n">
        <v>0</v>
      </c>
      <c r="J84" t="n">
        <v>0</v>
      </c>
      <c r="K84" t="n">
        <v>0</v>
      </c>
      <c r="L84" t="n">
        <v>0</v>
      </c>
      <c r="M84" t="n">
        <v>0</v>
      </c>
      <c r="N84" t="n">
        <v>0</v>
      </c>
      <c r="O84" t="n">
        <v>0</v>
      </c>
      <c r="P84" t="n">
        <v>0</v>
      </c>
      <c r="Q84" t="n">
        <v>0</v>
      </c>
      <c r="R84" s="2" t="inlineStr"/>
    </row>
    <row r="85" ht="15" customHeight="1">
      <c r="A85" t="inlineStr">
        <is>
          <t>A 14731-2022</t>
        </is>
      </c>
      <c r="B85" s="1" t="n">
        <v>44656</v>
      </c>
      <c r="C85" s="1" t="n">
        <v>45966</v>
      </c>
      <c r="D85" t="inlineStr">
        <is>
          <t>VÄSTRA GÖTALANDS LÄN</t>
        </is>
      </c>
      <c r="E85" t="inlineStr">
        <is>
          <t>ALE</t>
        </is>
      </c>
      <c r="G85" t="n">
        <v>1.8</v>
      </c>
      <c r="H85" t="n">
        <v>0</v>
      </c>
      <c r="I85" t="n">
        <v>0</v>
      </c>
      <c r="J85" t="n">
        <v>0</v>
      </c>
      <c r="K85" t="n">
        <v>0</v>
      </c>
      <c r="L85" t="n">
        <v>0</v>
      </c>
      <c r="M85" t="n">
        <v>0</v>
      </c>
      <c r="N85" t="n">
        <v>0</v>
      </c>
      <c r="O85" t="n">
        <v>0</v>
      </c>
      <c r="P85" t="n">
        <v>0</v>
      </c>
      <c r="Q85" t="n">
        <v>0</v>
      </c>
      <c r="R85" s="2" t="inlineStr"/>
    </row>
    <row r="86" ht="15" customHeight="1">
      <c r="A86" t="inlineStr">
        <is>
          <t>A 40074-2025</t>
        </is>
      </c>
      <c r="B86" s="1" t="n">
        <v>45894.44685185186</v>
      </c>
      <c r="C86" s="1" t="n">
        <v>45966</v>
      </c>
      <c r="D86" t="inlineStr">
        <is>
          <t>VÄSTRA GÖTALANDS LÄN</t>
        </is>
      </c>
      <c r="E86" t="inlineStr">
        <is>
          <t>ALE</t>
        </is>
      </c>
      <c r="G86" t="n">
        <v>1</v>
      </c>
      <c r="H86" t="n">
        <v>0</v>
      </c>
      <c r="I86" t="n">
        <v>0</v>
      </c>
      <c r="J86" t="n">
        <v>0</v>
      </c>
      <c r="K86" t="n">
        <v>0</v>
      </c>
      <c r="L86" t="n">
        <v>0</v>
      </c>
      <c r="M86" t="n">
        <v>0</v>
      </c>
      <c r="N86" t="n">
        <v>0</v>
      </c>
      <c r="O86" t="n">
        <v>0</v>
      </c>
      <c r="P86" t="n">
        <v>0</v>
      </c>
      <c r="Q86" t="n">
        <v>0</v>
      </c>
      <c r="R86" s="2" t="inlineStr"/>
    </row>
    <row r="87" ht="15" customHeight="1">
      <c r="A87" t="inlineStr">
        <is>
          <t>A 41598-2022</t>
        </is>
      </c>
      <c r="B87" s="1" t="n">
        <v>44827.4609837963</v>
      </c>
      <c r="C87" s="1" t="n">
        <v>45966</v>
      </c>
      <c r="D87" t="inlineStr">
        <is>
          <t>VÄSTRA GÖTALANDS LÄN</t>
        </is>
      </c>
      <c r="E87" t="inlineStr">
        <is>
          <t>ALE</t>
        </is>
      </c>
      <c r="G87" t="n">
        <v>2</v>
      </c>
      <c r="H87" t="n">
        <v>0</v>
      </c>
      <c r="I87" t="n">
        <v>0</v>
      </c>
      <c r="J87" t="n">
        <v>0</v>
      </c>
      <c r="K87" t="n">
        <v>0</v>
      </c>
      <c r="L87" t="n">
        <v>0</v>
      </c>
      <c r="M87" t="n">
        <v>0</v>
      </c>
      <c r="N87" t="n">
        <v>0</v>
      </c>
      <c r="O87" t="n">
        <v>0</v>
      </c>
      <c r="P87" t="n">
        <v>0</v>
      </c>
      <c r="Q87" t="n">
        <v>0</v>
      </c>
      <c r="R87" s="2" t="inlineStr"/>
    </row>
    <row r="88" ht="15" customHeight="1">
      <c r="A88" t="inlineStr">
        <is>
          <t>A 4642-2024</t>
        </is>
      </c>
      <c r="B88" s="1" t="n">
        <v>45328.43502314815</v>
      </c>
      <c r="C88" s="1" t="n">
        <v>45966</v>
      </c>
      <c r="D88" t="inlineStr">
        <is>
          <t>VÄSTRA GÖTALANDS LÄN</t>
        </is>
      </c>
      <c r="E88" t="inlineStr">
        <is>
          <t>ALE</t>
        </is>
      </c>
      <c r="G88" t="n">
        <v>7.1</v>
      </c>
      <c r="H88" t="n">
        <v>0</v>
      </c>
      <c r="I88" t="n">
        <v>0</v>
      </c>
      <c r="J88" t="n">
        <v>0</v>
      </c>
      <c r="K88" t="n">
        <v>0</v>
      </c>
      <c r="L88" t="n">
        <v>0</v>
      </c>
      <c r="M88" t="n">
        <v>0</v>
      </c>
      <c r="N88" t="n">
        <v>0</v>
      </c>
      <c r="O88" t="n">
        <v>0</v>
      </c>
      <c r="P88" t="n">
        <v>0</v>
      </c>
      <c r="Q88" t="n">
        <v>0</v>
      </c>
      <c r="R88" s="2" t="inlineStr"/>
    </row>
    <row r="89" ht="15" customHeight="1">
      <c r="A89" t="inlineStr">
        <is>
          <t>A 69325-2020</t>
        </is>
      </c>
      <c r="B89" s="1" t="n">
        <v>44193</v>
      </c>
      <c r="C89" s="1" t="n">
        <v>45966</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3520-2022</t>
        </is>
      </c>
      <c r="B90" s="1" t="n">
        <v>44585.72818287037</v>
      </c>
      <c r="C90" s="1" t="n">
        <v>45966</v>
      </c>
      <c r="D90" t="inlineStr">
        <is>
          <t>VÄSTRA GÖTALANDS LÄN</t>
        </is>
      </c>
      <c r="E90" t="inlineStr">
        <is>
          <t>ALE</t>
        </is>
      </c>
      <c r="G90" t="n">
        <v>2.3</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45966</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48213-2025</t>
        </is>
      </c>
      <c r="B92" s="1" t="n">
        <v>45933</v>
      </c>
      <c r="C92" s="1" t="n">
        <v>45966</v>
      </c>
      <c r="D92" t="inlineStr">
        <is>
          <t>VÄSTRA GÖTALANDS LÄN</t>
        </is>
      </c>
      <c r="E92" t="inlineStr">
        <is>
          <t>ALE</t>
        </is>
      </c>
      <c r="G92" t="n">
        <v>3.3</v>
      </c>
      <c r="H92" t="n">
        <v>0</v>
      </c>
      <c r="I92" t="n">
        <v>0</v>
      </c>
      <c r="J92" t="n">
        <v>0</v>
      </c>
      <c r="K92" t="n">
        <v>0</v>
      </c>
      <c r="L92" t="n">
        <v>0</v>
      </c>
      <c r="M92" t="n">
        <v>0</v>
      </c>
      <c r="N92" t="n">
        <v>0</v>
      </c>
      <c r="O92" t="n">
        <v>0</v>
      </c>
      <c r="P92" t="n">
        <v>0</v>
      </c>
      <c r="Q92" t="n">
        <v>0</v>
      </c>
      <c r="R92" s="2" t="inlineStr"/>
    </row>
    <row r="93" ht="15" customHeight="1">
      <c r="A93" t="inlineStr">
        <is>
          <t>A 48218-2025</t>
        </is>
      </c>
      <c r="B93" s="1" t="n">
        <v>45933</v>
      </c>
      <c r="C93" s="1" t="n">
        <v>45966</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18999-2021</t>
        </is>
      </c>
      <c r="B94" s="1" t="n">
        <v>44308</v>
      </c>
      <c r="C94" s="1" t="n">
        <v>45966</v>
      </c>
      <c r="D94" t="inlineStr">
        <is>
          <t>VÄSTRA GÖTALANDS LÄN</t>
        </is>
      </c>
      <c r="E94" t="inlineStr">
        <is>
          <t>ALE</t>
        </is>
      </c>
      <c r="G94" t="n">
        <v>3.7</v>
      </c>
      <c r="H94" t="n">
        <v>0</v>
      </c>
      <c r="I94" t="n">
        <v>0</v>
      </c>
      <c r="J94" t="n">
        <v>0</v>
      </c>
      <c r="K94" t="n">
        <v>0</v>
      </c>
      <c r="L94" t="n">
        <v>0</v>
      </c>
      <c r="M94" t="n">
        <v>0</v>
      </c>
      <c r="N94" t="n">
        <v>0</v>
      </c>
      <c r="O94" t="n">
        <v>0</v>
      </c>
      <c r="P94" t="n">
        <v>0</v>
      </c>
      <c r="Q94" t="n">
        <v>0</v>
      </c>
      <c r="R94" s="2" t="inlineStr"/>
    </row>
    <row r="95" ht="15" customHeight="1">
      <c r="A95" t="inlineStr">
        <is>
          <t>A 44429-2023</t>
        </is>
      </c>
      <c r="B95" s="1" t="n">
        <v>45189.35101851852</v>
      </c>
      <c r="C95" s="1" t="n">
        <v>45966</v>
      </c>
      <c r="D95" t="inlineStr">
        <is>
          <t>VÄSTRA GÖTALANDS LÄN</t>
        </is>
      </c>
      <c r="E95" t="inlineStr">
        <is>
          <t>ALE</t>
        </is>
      </c>
      <c r="G95" t="n">
        <v>0.1</v>
      </c>
      <c r="H95" t="n">
        <v>0</v>
      </c>
      <c r="I95" t="n">
        <v>0</v>
      </c>
      <c r="J95" t="n">
        <v>0</v>
      </c>
      <c r="K95" t="n">
        <v>0</v>
      </c>
      <c r="L95" t="n">
        <v>0</v>
      </c>
      <c r="M95" t="n">
        <v>0</v>
      </c>
      <c r="N95" t="n">
        <v>0</v>
      </c>
      <c r="O95" t="n">
        <v>0</v>
      </c>
      <c r="P95" t="n">
        <v>0</v>
      </c>
      <c r="Q95" t="n">
        <v>0</v>
      </c>
      <c r="R95" s="2" t="inlineStr"/>
    </row>
    <row r="96" ht="15" customHeight="1">
      <c r="A96" t="inlineStr">
        <is>
          <t>A 17044-2025</t>
        </is>
      </c>
      <c r="B96" s="1" t="n">
        <v>45755.58891203703</v>
      </c>
      <c r="C96" s="1" t="n">
        <v>45966</v>
      </c>
      <c r="D96" t="inlineStr">
        <is>
          <t>VÄSTRA GÖTALANDS LÄN</t>
        </is>
      </c>
      <c r="E96" t="inlineStr">
        <is>
          <t>ALE</t>
        </is>
      </c>
      <c r="G96" t="n">
        <v>1.5</v>
      </c>
      <c r="H96" t="n">
        <v>0</v>
      </c>
      <c r="I96" t="n">
        <v>0</v>
      </c>
      <c r="J96" t="n">
        <v>0</v>
      </c>
      <c r="K96" t="n">
        <v>0</v>
      </c>
      <c r="L96" t="n">
        <v>0</v>
      </c>
      <c r="M96" t="n">
        <v>0</v>
      </c>
      <c r="N96" t="n">
        <v>0</v>
      </c>
      <c r="O96" t="n">
        <v>0</v>
      </c>
      <c r="P96" t="n">
        <v>0</v>
      </c>
      <c r="Q96" t="n">
        <v>0</v>
      </c>
      <c r="R96" s="2" t="inlineStr"/>
    </row>
    <row r="97" ht="15" customHeight="1">
      <c r="A97" t="inlineStr">
        <is>
          <t>A 55488-2022</t>
        </is>
      </c>
      <c r="B97" s="1" t="n">
        <v>44887</v>
      </c>
      <c r="C97" s="1" t="n">
        <v>45966</v>
      </c>
      <c r="D97" t="inlineStr">
        <is>
          <t>VÄSTRA GÖTALANDS LÄN</t>
        </is>
      </c>
      <c r="E97" t="inlineStr">
        <is>
          <t>ALE</t>
        </is>
      </c>
      <c r="G97" t="n">
        <v>2.5</v>
      </c>
      <c r="H97" t="n">
        <v>0</v>
      </c>
      <c r="I97" t="n">
        <v>0</v>
      </c>
      <c r="J97" t="n">
        <v>0</v>
      </c>
      <c r="K97" t="n">
        <v>0</v>
      </c>
      <c r="L97" t="n">
        <v>0</v>
      </c>
      <c r="M97" t="n">
        <v>0</v>
      </c>
      <c r="N97" t="n">
        <v>0</v>
      </c>
      <c r="O97" t="n">
        <v>0</v>
      </c>
      <c r="P97" t="n">
        <v>0</v>
      </c>
      <c r="Q97" t="n">
        <v>0</v>
      </c>
      <c r="R97" s="2" t="inlineStr"/>
    </row>
    <row r="98" ht="15" customHeight="1">
      <c r="A98" t="inlineStr">
        <is>
          <t>A 50189-2025</t>
        </is>
      </c>
      <c r="B98" s="1" t="n">
        <v>45943.63476851852</v>
      </c>
      <c r="C98" s="1" t="n">
        <v>45966</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16601-2025</t>
        </is>
      </c>
      <c r="B99" s="1" t="n">
        <v>45753.53189814815</v>
      </c>
      <c r="C99" s="1" t="n">
        <v>45966</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5916-2023</t>
        </is>
      </c>
      <c r="B100" s="1" t="n">
        <v>44963</v>
      </c>
      <c r="C100" s="1" t="n">
        <v>45966</v>
      </c>
      <c r="D100" t="inlineStr">
        <is>
          <t>VÄSTRA GÖTALANDS LÄN</t>
        </is>
      </c>
      <c r="E100" t="inlineStr">
        <is>
          <t>ALE</t>
        </is>
      </c>
      <c r="G100" t="n">
        <v>4.2</v>
      </c>
      <c r="H100" t="n">
        <v>0</v>
      </c>
      <c r="I100" t="n">
        <v>0</v>
      </c>
      <c r="J100" t="n">
        <v>0</v>
      </c>
      <c r="K100" t="n">
        <v>0</v>
      </c>
      <c r="L100" t="n">
        <v>0</v>
      </c>
      <c r="M100" t="n">
        <v>0</v>
      </c>
      <c r="N100" t="n">
        <v>0</v>
      </c>
      <c r="O100" t="n">
        <v>0</v>
      </c>
      <c r="P100" t="n">
        <v>0</v>
      </c>
      <c r="Q100" t="n">
        <v>0</v>
      </c>
      <c r="R100" s="2" t="inlineStr"/>
    </row>
    <row r="101" ht="15" customHeight="1">
      <c r="A101" t="inlineStr">
        <is>
          <t>A 36403-2024</t>
        </is>
      </c>
      <c r="B101" s="1" t="n">
        <v>45535.69445601852</v>
      </c>
      <c r="C101" s="1" t="n">
        <v>45966</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45966</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200-2022</t>
        </is>
      </c>
      <c r="B103" s="1" t="n">
        <v>44564</v>
      </c>
      <c r="C103" s="1" t="n">
        <v>45966</v>
      </c>
      <c r="D103" t="inlineStr">
        <is>
          <t>VÄSTRA GÖTALANDS LÄN</t>
        </is>
      </c>
      <c r="E103" t="inlineStr">
        <is>
          <t>ALE</t>
        </is>
      </c>
      <c r="G103" t="n">
        <v>6.8</v>
      </c>
      <c r="H103" t="n">
        <v>0</v>
      </c>
      <c r="I103" t="n">
        <v>0</v>
      </c>
      <c r="J103" t="n">
        <v>0</v>
      </c>
      <c r="K103" t="n">
        <v>0</v>
      </c>
      <c r="L103" t="n">
        <v>0</v>
      </c>
      <c r="M103" t="n">
        <v>0</v>
      </c>
      <c r="N103" t="n">
        <v>0</v>
      </c>
      <c r="O103" t="n">
        <v>0</v>
      </c>
      <c r="P103" t="n">
        <v>0</v>
      </c>
      <c r="Q103" t="n">
        <v>0</v>
      </c>
      <c r="R103" s="2" t="inlineStr"/>
    </row>
    <row r="104" ht="15" customHeight="1">
      <c r="A104" t="inlineStr">
        <is>
          <t>A 50973-2025</t>
        </is>
      </c>
      <c r="B104" s="1" t="n">
        <v>45947.31263888889</v>
      </c>
      <c r="C104" s="1" t="n">
        <v>45966</v>
      </c>
      <c r="D104" t="inlineStr">
        <is>
          <t>VÄSTRA GÖTALANDS LÄN</t>
        </is>
      </c>
      <c r="E104" t="inlineStr">
        <is>
          <t>ALE</t>
        </is>
      </c>
      <c r="G104" t="n">
        <v>12</v>
      </c>
      <c r="H104" t="n">
        <v>0</v>
      </c>
      <c r="I104" t="n">
        <v>0</v>
      </c>
      <c r="J104" t="n">
        <v>0</v>
      </c>
      <c r="K104" t="n">
        <v>0</v>
      </c>
      <c r="L104" t="n">
        <v>0</v>
      </c>
      <c r="M104" t="n">
        <v>0</v>
      </c>
      <c r="N104" t="n">
        <v>0</v>
      </c>
      <c r="O104" t="n">
        <v>0</v>
      </c>
      <c r="P104" t="n">
        <v>0</v>
      </c>
      <c r="Q104" t="n">
        <v>0</v>
      </c>
      <c r="R104" s="2" t="inlineStr"/>
    </row>
    <row r="105" ht="15" customHeight="1">
      <c r="A105" t="inlineStr">
        <is>
          <t>A 15582-2025</t>
        </is>
      </c>
      <c r="B105" s="1" t="n">
        <v>45747.81394675926</v>
      </c>
      <c r="C105" s="1" t="n">
        <v>45966</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7892-2024</t>
        </is>
      </c>
      <c r="B106" s="1" t="n">
        <v>45350.40921296296</v>
      </c>
      <c r="C106" s="1" t="n">
        <v>45966</v>
      </c>
      <c r="D106" t="inlineStr">
        <is>
          <t>VÄSTRA GÖTALANDS LÄN</t>
        </is>
      </c>
      <c r="E106" t="inlineStr">
        <is>
          <t>ALE</t>
        </is>
      </c>
      <c r="G106" t="n">
        <v>3.6</v>
      </c>
      <c r="H106" t="n">
        <v>0</v>
      </c>
      <c r="I106" t="n">
        <v>0</v>
      </c>
      <c r="J106" t="n">
        <v>0</v>
      </c>
      <c r="K106" t="n">
        <v>0</v>
      </c>
      <c r="L106" t="n">
        <v>0</v>
      </c>
      <c r="M106" t="n">
        <v>0</v>
      </c>
      <c r="N106" t="n">
        <v>0</v>
      </c>
      <c r="O106" t="n">
        <v>0</v>
      </c>
      <c r="P106" t="n">
        <v>0</v>
      </c>
      <c r="Q106" t="n">
        <v>0</v>
      </c>
      <c r="R106" s="2" t="inlineStr"/>
    </row>
    <row r="107" ht="15" customHeight="1">
      <c r="A107" t="inlineStr">
        <is>
          <t>A 8956-2025</t>
        </is>
      </c>
      <c r="B107" s="1" t="n">
        <v>45713.46825231481</v>
      </c>
      <c r="C107" s="1" t="n">
        <v>45966</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13426-2025</t>
        </is>
      </c>
      <c r="B108" s="1" t="n">
        <v>45736.32780092592</v>
      </c>
      <c r="C108" s="1" t="n">
        <v>45966</v>
      </c>
      <c r="D108" t="inlineStr">
        <is>
          <t>VÄSTRA GÖTALANDS LÄN</t>
        </is>
      </c>
      <c r="E108" t="inlineStr">
        <is>
          <t>ALE</t>
        </is>
      </c>
      <c r="G108" t="n">
        <v>1.5</v>
      </c>
      <c r="H108" t="n">
        <v>0</v>
      </c>
      <c r="I108" t="n">
        <v>0</v>
      </c>
      <c r="J108" t="n">
        <v>0</v>
      </c>
      <c r="K108" t="n">
        <v>0</v>
      </c>
      <c r="L108" t="n">
        <v>0</v>
      </c>
      <c r="M108" t="n">
        <v>0</v>
      </c>
      <c r="N108" t="n">
        <v>0</v>
      </c>
      <c r="O108" t="n">
        <v>0</v>
      </c>
      <c r="P108" t="n">
        <v>0</v>
      </c>
      <c r="Q108" t="n">
        <v>0</v>
      </c>
      <c r="R108" s="2" t="inlineStr"/>
    </row>
    <row r="109" ht="15" customHeight="1">
      <c r="A109" t="inlineStr">
        <is>
          <t>A 6947-2024</t>
        </is>
      </c>
      <c r="B109" s="1" t="n">
        <v>45343</v>
      </c>
      <c r="C109" s="1" t="n">
        <v>45966</v>
      </c>
      <c r="D109" t="inlineStr">
        <is>
          <t>VÄSTRA GÖTALANDS LÄN</t>
        </is>
      </c>
      <c r="E109" t="inlineStr">
        <is>
          <t>ALE</t>
        </is>
      </c>
      <c r="G109" t="n">
        <v>3.7</v>
      </c>
      <c r="H109" t="n">
        <v>0</v>
      </c>
      <c r="I109" t="n">
        <v>0</v>
      </c>
      <c r="J109" t="n">
        <v>0</v>
      </c>
      <c r="K109" t="n">
        <v>0</v>
      </c>
      <c r="L109" t="n">
        <v>0</v>
      </c>
      <c r="M109" t="n">
        <v>0</v>
      </c>
      <c r="N109" t="n">
        <v>0</v>
      </c>
      <c r="O109" t="n">
        <v>0</v>
      </c>
      <c r="P109" t="n">
        <v>0</v>
      </c>
      <c r="Q109" t="n">
        <v>0</v>
      </c>
      <c r="R109" s="2" t="inlineStr"/>
    </row>
    <row r="110" ht="15" customHeight="1">
      <c r="A110" t="inlineStr">
        <is>
          <t>A 4444-2024</t>
        </is>
      </c>
      <c r="B110" s="1" t="n">
        <v>45327</v>
      </c>
      <c r="C110" s="1" t="n">
        <v>45966</v>
      </c>
      <c r="D110" t="inlineStr">
        <is>
          <t>VÄSTRA GÖTALANDS LÄN</t>
        </is>
      </c>
      <c r="E110" t="inlineStr">
        <is>
          <t>ALE</t>
        </is>
      </c>
      <c r="G110" t="n">
        <v>0.6</v>
      </c>
      <c r="H110" t="n">
        <v>0</v>
      </c>
      <c r="I110" t="n">
        <v>0</v>
      </c>
      <c r="J110" t="n">
        <v>0</v>
      </c>
      <c r="K110" t="n">
        <v>0</v>
      </c>
      <c r="L110" t="n">
        <v>0</v>
      </c>
      <c r="M110" t="n">
        <v>0</v>
      </c>
      <c r="N110" t="n">
        <v>0</v>
      </c>
      <c r="O110" t="n">
        <v>0</v>
      </c>
      <c r="P110" t="n">
        <v>0</v>
      </c>
      <c r="Q110" t="n">
        <v>0</v>
      </c>
      <c r="R110" s="2" t="inlineStr"/>
    </row>
    <row r="111" ht="15" customHeight="1">
      <c r="A111" t="inlineStr">
        <is>
          <t>A 50451-2024</t>
        </is>
      </c>
      <c r="B111" s="1" t="n">
        <v>45601.44248842593</v>
      </c>
      <c r="C111" s="1" t="n">
        <v>45966</v>
      </c>
      <c r="D111" t="inlineStr">
        <is>
          <t>VÄSTRA GÖTALANDS LÄN</t>
        </is>
      </c>
      <c r="E111" t="inlineStr">
        <is>
          <t>ALE</t>
        </is>
      </c>
      <c r="G111" t="n">
        <v>2.9</v>
      </c>
      <c r="H111" t="n">
        <v>0</v>
      </c>
      <c r="I111" t="n">
        <v>0</v>
      </c>
      <c r="J111" t="n">
        <v>0</v>
      </c>
      <c r="K111" t="n">
        <v>0</v>
      </c>
      <c r="L111" t="n">
        <v>0</v>
      </c>
      <c r="M111" t="n">
        <v>0</v>
      </c>
      <c r="N111" t="n">
        <v>0</v>
      </c>
      <c r="O111" t="n">
        <v>0</v>
      </c>
      <c r="P111" t="n">
        <v>0</v>
      </c>
      <c r="Q111" t="n">
        <v>0</v>
      </c>
      <c r="R111" s="2" t="inlineStr"/>
    </row>
    <row r="112" ht="15" customHeight="1">
      <c r="A112" t="inlineStr">
        <is>
          <t>A 72801-2021</t>
        </is>
      </c>
      <c r="B112" s="1" t="n">
        <v>44546</v>
      </c>
      <c r="C112" s="1" t="n">
        <v>45966</v>
      </c>
      <c r="D112" t="inlineStr">
        <is>
          <t>VÄSTRA GÖTALANDS LÄN</t>
        </is>
      </c>
      <c r="E112" t="inlineStr">
        <is>
          <t>ALE</t>
        </is>
      </c>
      <c r="F112" t="inlineStr">
        <is>
          <t>Naturvårdsverket</t>
        </is>
      </c>
      <c r="G112" t="n">
        <v>1.4</v>
      </c>
      <c r="H112" t="n">
        <v>0</v>
      </c>
      <c r="I112" t="n">
        <v>0</v>
      </c>
      <c r="J112" t="n">
        <v>0</v>
      </c>
      <c r="K112" t="n">
        <v>0</v>
      </c>
      <c r="L112" t="n">
        <v>0</v>
      </c>
      <c r="M112" t="n">
        <v>0</v>
      </c>
      <c r="N112" t="n">
        <v>0</v>
      </c>
      <c r="O112" t="n">
        <v>0</v>
      </c>
      <c r="P112" t="n">
        <v>0</v>
      </c>
      <c r="Q112" t="n">
        <v>0</v>
      </c>
      <c r="R112" s="2" t="inlineStr"/>
    </row>
    <row r="113" ht="15" customHeight="1">
      <c r="A113" t="inlineStr">
        <is>
          <t>A 51976-2025</t>
        </is>
      </c>
      <c r="B113" s="1" t="n">
        <v>45952.56412037037</v>
      </c>
      <c r="C113" s="1" t="n">
        <v>45966</v>
      </c>
      <c r="D113" t="inlineStr">
        <is>
          <t>VÄSTRA GÖTALANDS LÄN</t>
        </is>
      </c>
      <c r="E113" t="inlineStr">
        <is>
          <t>ALE</t>
        </is>
      </c>
      <c r="G113" t="n">
        <v>5.2</v>
      </c>
      <c r="H113" t="n">
        <v>0</v>
      </c>
      <c r="I113" t="n">
        <v>0</v>
      </c>
      <c r="J113" t="n">
        <v>0</v>
      </c>
      <c r="K113" t="n">
        <v>0</v>
      </c>
      <c r="L113" t="n">
        <v>0</v>
      </c>
      <c r="M113" t="n">
        <v>0</v>
      </c>
      <c r="N113" t="n">
        <v>0</v>
      </c>
      <c r="O113" t="n">
        <v>0</v>
      </c>
      <c r="P113" t="n">
        <v>0</v>
      </c>
      <c r="Q113" t="n">
        <v>0</v>
      </c>
      <c r="R113" s="2" t="inlineStr"/>
    </row>
    <row r="114" ht="15" customHeight="1">
      <c r="A114" t="inlineStr">
        <is>
          <t>A 52423-2025</t>
        </is>
      </c>
      <c r="B114" s="1" t="n">
        <v>45954.37650462963</v>
      </c>
      <c r="C114" s="1" t="n">
        <v>45966</v>
      </c>
      <c r="D114" t="inlineStr">
        <is>
          <t>VÄSTRA GÖTALANDS LÄN</t>
        </is>
      </c>
      <c r="E114" t="inlineStr">
        <is>
          <t>ALE</t>
        </is>
      </c>
      <c r="G114" t="n">
        <v>4.1</v>
      </c>
      <c r="H114" t="n">
        <v>0</v>
      </c>
      <c r="I114" t="n">
        <v>0</v>
      </c>
      <c r="J114" t="n">
        <v>0</v>
      </c>
      <c r="K114" t="n">
        <v>0</v>
      </c>
      <c r="L114" t="n">
        <v>0</v>
      </c>
      <c r="M114" t="n">
        <v>0</v>
      </c>
      <c r="N114" t="n">
        <v>0</v>
      </c>
      <c r="O114" t="n">
        <v>0</v>
      </c>
      <c r="P114" t="n">
        <v>0</v>
      </c>
      <c r="Q114" t="n">
        <v>0</v>
      </c>
      <c r="R114" s="2" t="inlineStr"/>
    </row>
    <row r="115" ht="15" customHeight="1">
      <c r="A115" t="inlineStr">
        <is>
          <t>A 26083-2023</t>
        </is>
      </c>
      <c r="B115" s="1" t="n">
        <v>45091</v>
      </c>
      <c r="C115" s="1" t="n">
        <v>45966</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52391-2025</t>
        </is>
      </c>
      <c r="B116" s="1" t="n">
        <v>45954.34305555555</v>
      </c>
      <c r="C116" s="1" t="n">
        <v>45966</v>
      </c>
      <c r="D116" t="inlineStr">
        <is>
          <t>VÄSTRA GÖTALANDS LÄN</t>
        </is>
      </c>
      <c r="E116" t="inlineStr">
        <is>
          <t>ALE</t>
        </is>
      </c>
      <c r="G116" t="n">
        <v>10.6</v>
      </c>
      <c r="H116" t="n">
        <v>0</v>
      </c>
      <c r="I116" t="n">
        <v>0</v>
      </c>
      <c r="J116" t="n">
        <v>0</v>
      </c>
      <c r="K116" t="n">
        <v>0</v>
      </c>
      <c r="L116" t="n">
        <v>0</v>
      </c>
      <c r="M116" t="n">
        <v>0</v>
      </c>
      <c r="N116" t="n">
        <v>0</v>
      </c>
      <c r="O116" t="n">
        <v>0</v>
      </c>
      <c r="P116" t="n">
        <v>0</v>
      </c>
      <c r="Q116" t="n">
        <v>0</v>
      </c>
      <c r="R116" s="2" t="inlineStr"/>
    </row>
    <row r="117" ht="15" customHeight="1">
      <c r="A117" t="inlineStr">
        <is>
          <t>A 4971-2024</t>
        </is>
      </c>
      <c r="B117" s="1" t="n">
        <v>45329</v>
      </c>
      <c r="C117" s="1" t="n">
        <v>45966</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22946-2025</t>
        </is>
      </c>
      <c r="B118" s="1" t="n">
        <v>45790.48229166667</v>
      </c>
      <c r="C118" s="1" t="n">
        <v>45966</v>
      </c>
      <c r="D118" t="inlineStr">
        <is>
          <t>VÄSTRA GÖTALANDS LÄN</t>
        </is>
      </c>
      <c r="E118" t="inlineStr">
        <is>
          <t>ALE</t>
        </is>
      </c>
      <c r="G118" t="n">
        <v>0.6</v>
      </c>
      <c r="H118" t="n">
        <v>0</v>
      </c>
      <c r="I118" t="n">
        <v>0</v>
      </c>
      <c r="J118" t="n">
        <v>0</v>
      </c>
      <c r="K118" t="n">
        <v>0</v>
      </c>
      <c r="L118" t="n">
        <v>0</v>
      </c>
      <c r="M118" t="n">
        <v>0</v>
      </c>
      <c r="N118" t="n">
        <v>0</v>
      </c>
      <c r="O118" t="n">
        <v>0</v>
      </c>
      <c r="P118" t="n">
        <v>0</v>
      </c>
      <c r="Q118" t="n">
        <v>0</v>
      </c>
      <c r="R118" s="2" t="inlineStr"/>
    </row>
    <row r="119" ht="15" customHeight="1">
      <c r="A119" t="inlineStr">
        <is>
          <t>A 16344-2023</t>
        </is>
      </c>
      <c r="B119" s="1" t="n">
        <v>45028</v>
      </c>
      <c r="C119" s="1" t="n">
        <v>45966</v>
      </c>
      <c r="D119" t="inlineStr">
        <is>
          <t>VÄSTRA GÖTALANDS LÄN</t>
        </is>
      </c>
      <c r="E119" t="inlineStr">
        <is>
          <t>ALE</t>
        </is>
      </c>
      <c r="G119" t="n">
        <v>6.6</v>
      </c>
      <c r="H119" t="n">
        <v>0</v>
      </c>
      <c r="I119" t="n">
        <v>0</v>
      </c>
      <c r="J119" t="n">
        <v>0</v>
      </c>
      <c r="K119" t="n">
        <v>0</v>
      </c>
      <c r="L119" t="n">
        <v>0</v>
      </c>
      <c r="M119" t="n">
        <v>0</v>
      </c>
      <c r="N119" t="n">
        <v>0</v>
      </c>
      <c r="O119" t="n">
        <v>0</v>
      </c>
      <c r="P119" t="n">
        <v>0</v>
      </c>
      <c r="Q119" t="n">
        <v>0</v>
      </c>
      <c r="R119" s="2" t="inlineStr"/>
    </row>
    <row r="120" ht="15" customHeight="1">
      <c r="A120" t="inlineStr">
        <is>
          <t>A 4363-2024</t>
        </is>
      </c>
      <c r="B120" s="1" t="n">
        <v>45325</v>
      </c>
      <c r="C120" s="1" t="n">
        <v>45966</v>
      </c>
      <c r="D120" t="inlineStr">
        <is>
          <t>VÄSTRA GÖTALANDS LÄN</t>
        </is>
      </c>
      <c r="E120" t="inlineStr">
        <is>
          <t>ALE</t>
        </is>
      </c>
      <c r="G120" t="n">
        <v>0.6</v>
      </c>
      <c r="H120" t="n">
        <v>0</v>
      </c>
      <c r="I120" t="n">
        <v>0</v>
      </c>
      <c r="J120" t="n">
        <v>0</v>
      </c>
      <c r="K120" t="n">
        <v>0</v>
      </c>
      <c r="L120" t="n">
        <v>0</v>
      </c>
      <c r="M120" t="n">
        <v>0</v>
      </c>
      <c r="N120" t="n">
        <v>0</v>
      </c>
      <c r="O120" t="n">
        <v>0</v>
      </c>
      <c r="P120" t="n">
        <v>0</v>
      </c>
      <c r="Q120" t="n">
        <v>0</v>
      </c>
      <c r="R120" s="2" t="inlineStr"/>
    </row>
    <row r="121" ht="15" customHeight="1">
      <c r="A121" t="inlineStr">
        <is>
          <t>A 45988-2021</t>
        </is>
      </c>
      <c r="B121" s="1" t="n">
        <v>44441</v>
      </c>
      <c r="C121" s="1" t="n">
        <v>45966</v>
      </c>
      <c r="D121" t="inlineStr">
        <is>
          <t>VÄSTRA GÖTALANDS LÄN</t>
        </is>
      </c>
      <c r="E121" t="inlineStr">
        <is>
          <t>ALE</t>
        </is>
      </c>
      <c r="G121" t="n">
        <v>1.2</v>
      </c>
      <c r="H121" t="n">
        <v>0</v>
      </c>
      <c r="I121" t="n">
        <v>0</v>
      </c>
      <c r="J121" t="n">
        <v>0</v>
      </c>
      <c r="K121" t="n">
        <v>0</v>
      </c>
      <c r="L121" t="n">
        <v>0</v>
      </c>
      <c r="M121" t="n">
        <v>0</v>
      </c>
      <c r="N121" t="n">
        <v>0</v>
      </c>
      <c r="O121" t="n">
        <v>0</v>
      </c>
      <c r="P121" t="n">
        <v>0</v>
      </c>
      <c r="Q121" t="n">
        <v>0</v>
      </c>
      <c r="R121" s="2" t="inlineStr"/>
    </row>
    <row r="122" ht="15" customHeight="1">
      <c r="A122" t="inlineStr">
        <is>
          <t>A 37461-2024</t>
        </is>
      </c>
      <c r="B122" s="1" t="n">
        <v>45540.72516203704</v>
      </c>
      <c r="C122" s="1" t="n">
        <v>45966</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20067-2023</t>
        </is>
      </c>
      <c r="B123" s="1" t="n">
        <v>45054</v>
      </c>
      <c r="C123" s="1" t="n">
        <v>45966</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6916-2023</t>
        </is>
      </c>
      <c r="B124" s="1" t="n">
        <v>44967.53349537037</v>
      </c>
      <c r="C124" s="1" t="n">
        <v>45966</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25849-2025</t>
        </is>
      </c>
      <c r="B125" s="1" t="n">
        <v>45804</v>
      </c>
      <c r="C125" s="1" t="n">
        <v>45966</v>
      </c>
      <c r="D125" t="inlineStr">
        <is>
          <t>VÄSTRA GÖTALANDS LÄN</t>
        </is>
      </c>
      <c r="E125" t="inlineStr">
        <is>
          <t>ALE</t>
        </is>
      </c>
      <c r="G125" t="n">
        <v>0.8</v>
      </c>
      <c r="H125" t="n">
        <v>0</v>
      </c>
      <c r="I125" t="n">
        <v>0</v>
      </c>
      <c r="J125" t="n">
        <v>0</v>
      </c>
      <c r="K125" t="n">
        <v>0</v>
      </c>
      <c r="L125" t="n">
        <v>0</v>
      </c>
      <c r="M125" t="n">
        <v>0</v>
      </c>
      <c r="N125" t="n">
        <v>0</v>
      </c>
      <c r="O125" t="n">
        <v>0</v>
      </c>
      <c r="P125" t="n">
        <v>0</v>
      </c>
      <c r="Q125" t="n">
        <v>0</v>
      </c>
      <c r="R125" s="2" t="inlineStr"/>
    </row>
    <row r="126" ht="15" customHeight="1">
      <c r="A126" t="inlineStr">
        <is>
          <t>A 25848-2025</t>
        </is>
      </c>
      <c r="B126" s="1" t="n">
        <v>45804</v>
      </c>
      <c r="C126" s="1" t="n">
        <v>45966</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25840-2025</t>
        </is>
      </c>
      <c r="B127" s="1" t="n">
        <v>45804</v>
      </c>
      <c r="C127" s="1" t="n">
        <v>45966</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44858.47591435185</v>
      </c>
      <c r="C128" s="1" t="n">
        <v>45966</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41309-2024</t>
        </is>
      </c>
      <c r="B129" s="1" t="n">
        <v>45559</v>
      </c>
      <c r="C129" s="1" t="n">
        <v>45966</v>
      </c>
      <c r="D129" t="inlineStr">
        <is>
          <t>VÄSTRA GÖTALANDS LÄN</t>
        </is>
      </c>
      <c r="E129" t="inlineStr">
        <is>
          <t>ALE</t>
        </is>
      </c>
      <c r="G129" t="n">
        <v>8.4</v>
      </c>
      <c r="H129" t="n">
        <v>0</v>
      </c>
      <c r="I129" t="n">
        <v>0</v>
      </c>
      <c r="J129" t="n">
        <v>0</v>
      </c>
      <c r="K129" t="n">
        <v>0</v>
      </c>
      <c r="L129" t="n">
        <v>0</v>
      </c>
      <c r="M129" t="n">
        <v>0</v>
      </c>
      <c r="N129" t="n">
        <v>0</v>
      </c>
      <c r="O129" t="n">
        <v>0</v>
      </c>
      <c r="P129" t="n">
        <v>0</v>
      </c>
      <c r="Q129" t="n">
        <v>0</v>
      </c>
      <c r="R129" s="2" t="inlineStr"/>
    </row>
    <row r="130" ht="15" customHeight="1">
      <c r="A130" t="inlineStr">
        <is>
          <t>A 18637-2023</t>
        </is>
      </c>
      <c r="B130" s="1" t="n">
        <v>45043</v>
      </c>
      <c r="C130" s="1" t="n">
        <v>45966</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59933-2023</t>
        </is>
      </c>
      <c r="B131" s="1" t="n">
        <v>45257</v>
      </c>
      <c r="C131" s="1" t="n">
        <v>45966</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8659-2025</t>
        </is>
      </c>
      <c r="B132" s="1" t="n">
        <v>45712</v>
      </c>
      <c r="C132" s="1" t="n">
        <v>45966</v>
      </c>
      <c r="D132" t="inlineStr">
        <is>
          <t>VÄSTRA GÖTALANDS LÄN</t>
        </is>
      </c>
      <c r="E132" t="inlineStr">
        <is>
          <t>ALE</t>
        </is>
      </c>
      <c r="G132" t="n">
        <v>5.7</v>
      </c>
      <c r="H132" t="n">
        <v>0</v>
      </c>
      <c r="I132" t="n">
        <v>0</v>
      </c>
      <c r="J132" t="n">
        <v>0</v>
      </c>
      <c r="K132" t="n">
        <v>0</v>
      </c>
      <c r="L132" t="n">
        <v>0</v>
      </c>
      <c r="M132" t="n">
        <v>0</v>
      </c>
      <c r="N132" t="n">
        <v>0</v>
      </c>
      <c r="O132" t="n">
        <v>0</v>
      </c>
      <c r="P132" t="n">
        <v>0</v>
      </c>
      <c r="Q132" t="n">
        <v>0</v>
      </c>
      <c r="R132" s="2" t="inlineStr"/>
    </row>
    <row r="133" ht="15" customHeight="1">
      <c r="A133" t="inlineStr">
        <is>
          <t>A 5344-2024</t>
        </is>
      </c>
      <c r="B133" s="1" t="n">
        <v>45331</v>
      </c>
      <c r="C133" s="1" t="n">
        <v>45966</v>
      </c>
      <c r="D133" t="inlineStr">
        <is>
          <t>VÄSTRA GÖTALANDS LÄN</t>
        </is>
      </c>
      <c r="E133" t="inlineStr">
        <is>
          <t>ALE</t>
        </is>
      </c>
      <c r="G133" t="n">
        <v>2.5</v>
      </c>
      <c r="H133" t="n">
        <v>0</v>
      </c>
      <c r="I133" t="n">
        <v>0</v>
      </c>
      <c r="J133" t="n">
        <v>0</v>
      </c>
      <c r="K133" t="n">
        <v>0</v>
      </c>
      <c r="L133" t="n">
        <v>0</v>
      </c>
      <c r="M133" t="n">
        <v>0</v>
      </c>
      <c r="N133" t="n">
        <v>0</v>
      </c>
      <c r="O133" t="n">
        <v>0</v>
      </c>
      <c r="P133" t="n">
        <v>0</v>
      </c>
      <c r="Q133" t="n">
        <v>0</v>
      </c>
      <c r="R133" s="2" t="inlineStr"/>
    </row>
    <row r="134" ht="15" customHeight="1">
      <c r="A134" t="inlineStr">
        <is>
          <t>A 7807-2023</t>
        </is>
      </c>
      <c r="B134" s="1" t="n">
        <v>44973</v>
      </c>
      <c r="C134" s="1" t="n">
        <v>45966</v>
      </c>
      <c r="D134" t="inlineStr">
        <is>
          <t>VÄSTRA GÖTALANDS LÄN</t>
        </is>
      </c>
      <c r="E134" t="inlineStr">
        <is>
          <t>ALE</t>
        </is>
      </c>
      <c r="G134" t="n">
        <v>10.5</v>
      </c>
      <c r="H134" t="n">
        <v>0</v>
      </c>
      <c r="I134" t="n">
        <v>0</v>
      </c>
      <c r="J134" t="n">
        <v>0</v>
      </c>
      <c r="K134" t="n">
        <v>0</v>
      </c>
      <c r="L134" t="n">
        <v>0</v>
      </c>
      <c r="M134" t="n">
        <v>0</v>
      </c>
      <c r="N134" t="n">
        <v>0</v>
      </c>
      <c r="O134" t="n">
        <v>0</v>
      </c>
      <c r="P134" t="n">
        <v>0</v>
      </c>
      <c r="Q134" t="n">
        <v>0</v>
      </c>
      <c r="R134" s="2" t="inlineStr"/>
    </row>
    <row r="135" ht="15" customHeight="1">
      <c r="A135" t="inlineStr">
        <is>
          <t>A 3413-2023</t>
        </is>
      </c>
      <c r="B135" s="1" t="n">
        <v>44949</v>
      </c>
      <c r="C135" s="1" t="n">
        <v>45966</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29373-2025</t>
        </is>
      </c>
      <c r="B136" s="1" t="n">
        <v>45824.579375</v>
      </c>
      <c r="C136" s="1" t="n">
        <v>45966</v>
      </c>
      <c r="D136" t="inlineStr">
        <is>
          <t>VÄSTRA GÖTALANDS LÄN</t>
        </is>
      </c>
      <c r="E136" t="inlineStr">
        <is>
          <t>ALE</t>
        </is>
      </c>
      <c r="G136" t="n">
        <v>4.6</v>
      </c>
      <c r="H136" t="n">
        <v>0</v>
      </c>
      <c r="I136" t="n">
        <v>0</v>
      </c>
      <c r="J136" t="n">
        <v>0</v>
      </c>
      <c r="K136" t="n">
        <v>0</v>
      </c>
      <c r="L136" t="n">
        <v>0</v>
      </c>
      <c r="M136" t="n">
        <v>0</v>
      </c>
      <c r="N136" t="n">
        <v>0</v>
      </c>
      <c r="O136" t="n">
        <v>0</v>
      </c>
      <c r="P136" t="n">
        <v>0</v>
      </c>
      <c r="Q136" t="n">
        <v>0</v>
      </c>
      <c r="R136" s="2" t="inlineStr"/>
    </row>
    <row r="137" ht="15" customHeight="1">
      <c r="A137" t="inlineStr">
        <is>
          <t>A 13382-2025</t>
        </is>
      </c>
      <c r="B137" s="1" t="n">
        <v>45735.67928240741</v>
      </c>
      <c r="C137" s="1" t="n">
        <v>45966</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13903-2025</t>
        </is>
      </c>
      <c r="B138" s="1" t="n">
        <v>45737.63481481482</v>
      </c>
      <c r="C138" s="1" t="n">
        <v>45966</v>
      </c>
      <c r="D138" t="inlineStr">
        <is>
          <t>VÄSTRA GÖTALANDS LÄN</t>
        </is>
      </c>
      <c r="E138" t="inlineStr">
        <is>
          <t>ALE</t>
        </is>
      </c>
      <c r="G138" t="n">
        <v>0.5</v>
      </c>
      <c r="H138" t="n">
        <v>0</v>
      </c>
      <c r="I138" t="n">
        <v>0</v>
      </c>
      <c r="J138" t="n">
        <v>0</v>
      </c>
      <c r="K138" t="n">
        <v>0</v>
      </c>
      <c r="L138" t="n">
        <v>0</v>
      </c>
      <c r="M138" t="n">
        <v>0</v>
      </c>
      <c r="N138" t="n">
        <v>0</v>
      </c>
      <c r="O138" t="n">
        <v>0</v>
      </c>
      <c r="P138" t="n">
        <v>0</v>
      </c>
      <c r="Q138" t="n">
        <v>0</v>
      </c>
      <c r="R138" s="2" t="inlineStr"/>
    </row>
    <row r="139" ht="15" customHeight="1">
      <c r="A139" t="inlineStr">
        <is>
          <t>A 31407-2025</t>
        </is>
      </c>
      <c r="B139" s="1" t="n">
        <v>45833</v>
      </c>
      <c r="C139" s="1" t="n">
        <v>45966</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31409-2025</t>
        </is>
      </c>
      <c r="B140" s="1" t="n">
        <v>45833</v>
      </c>
      <c r="C140" s="1" t="n">
        <v>45966</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31488-2025</t>
        </is>
      </c>
      <c r="B141" s="1" t="n">
        <v>45833</v>
      </c>
      <c r="C141" s="1" t="n">
        <v>45966</v>
      </c>
      <c r="D141" t="inlineStr">
        <is>
          <t>VÄSTRA GÖTALANDS LÄN</t>
        </is>
      </c>
      <c r="E141" t="inlineStr">
        <is>
          <t>ALE</t>
        </is>
      </c>
      <c r="G141" t="n">
        <v>1.8</v>
      </c>
      <c r="H141" t="n">
        <v>0</v>
      </c>
      <c r="I141" t="n">
        <v>0</v>
      </c>
      <c r="J141" t="n">
        <v>0</v>
      </c>
      <c r="K141" t="n">
        <v>0</v>
      </c>
      <c r="L141" t="n">
        <v>0</v>
      </c>
      <c r="M141" t="n">
        <v>0</v>
      </c>
      <c r="N141" t="n">
        <v>0</v>
      </c>
      <c r="O141" t="n">
        <v>0</v>
      </c>
      <c r="P141" t="n">
        <v>0</v>
      </c>
      <c r="Q141" t="n">
        <v>0</v>
      </c>
      <c r="R141" s="2" t="inlineStr"/>
    </row>
    <row r="142" ht="15" customHeight="1">
      <c r="A142" t="inlineStr">
        <is>
          <t>A 31533-2025</t>
        </is>
      </c>
      <c r="B142" s="1" t="n">
        <v>45833</v>
      </c>
      <c r="C142" s="1" t="n">
        <v>45966</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1822-2024</t>
        </is>
      </c>
      <c r="B143" s="1" t="n">
        <v>45307.6205787037</v>
      </c>
      <c r="C143" s="1" t="n">
        <v>45966</v>
      </c>
      <c r="D143" t="inlineStr">
        <is>
          <t>VÄSTRA GÖTALANDS LÄN</t>
        </is>
      </c>
      <c r="E143" t="inlineStr">
        <is>
          <t>ALE</t>
        </is>
      </c>
      <c r="G143" t="n">
        <v>2</v>
      </c>
      <c r="H143" t="n">
        <v>0</v>
      </c>
      <c r="I143" t="n">
        <v>0</v>
      </c>
      <c r="J143" t="n">
        <v>0</v>
      </c>
      <c r="K143" t="n">
        <v>0</v>
      </c>
      <c r="L143" t="n">
        <v>0</v>
      </c>
      <c r="M143" t="n">
        <v>0</v>
      </c>
      <c r="N143" t="n">
        <v>0</v>
      </c>
      <c r="O143" t="n">
        <v>0</v>
      </c>
      <c r="P143" t="n">
        <v>0</v>
      </c>
      <c r="Q143" t="n">
        <v>0</v>
      </c>
      <c r="R143" s="2" t="inlineStr"/>
    </row>
    <row r="144" ht="15" customHeight="1">
      <c r="A144" t="inlineStr">
        <is>
          <t>A 34104-2024</t>
        </is>
      </c>
      <c r="B144" s="1" t="n">
        <v>45523.79202546296</v>
      </c>
      <c r="C144" s="1" t="n">
        <v>45966</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3418-2023</t>
        </is>
      </c>
      <c r="B145" s="1" t="n">
        <v>44949.56182870371</v>
      </c>
      <c r="C145" s="1" t="n">
        <v>45966</v>
      </c>
      <c r="D145" t="inlineStr">
        <is>
          <t>VÄSTRA GÖTALANDS LÄN</t>
        </is>
      </c>
      <c r="E145" t="inlineStr">
        <is>
          <t>ALE</t>
        </is>
      </c>
      <c r="G145" t="n">
        <v>1.1</v>
      </c>
      <c r="H145" t="n">
        <v>0</v>
      </c>
      <c r="I145" t="n">
        <v>0</v>
      </c>
      <c r="J145" t="n">
        <v>0</v>
      </c>
      <c r="K145" t="n">
        <v>0</v>
      </c>
      <c r="L145" t="n">
        <v>0</v>
      </c>
      <c r="M145" t="n">
        <v>0</v>
      </c>
      <c r="N145" t="n">
        <v>0</v>
      </c>
      <c r="O145" t="n">
        <v>0</v>
      </c>
      <c r="P145" t="n">
        <v>0</v>
      </c>
      <c r="Q145" t="n">
        <v>0</v>
      </c>
      <c r="R145" s="2" t="inlineStr"/>
    </row>
    <row r="146" ht="15" customHeight="1">
      <c r="A146" t="inlineStr">
        <is>
          <t>A 35959-2022</t>
        </is>
      </c>
      <c r="B146" s="1" t="n">
        <v>44802.57002314815</v>
      </c>
      <c r="C146" s="1" t="n">
        <v>45966</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14493-2024</t>
        </is>
      </c>
      <c r="B147" s="1" t="n">
        <v>45394.58491898148</v>
      </c>
      <c r="C147" s="1" t="n">
        <v>45966</v>
      </c>
      <c r="D147" t="inlineStr">
        <is>
          <t>VÄSTRA GÖTALANDS LÄN</t>
        </is>
      </c>
      <c r="E147" t="inlineStr">
        <is>
          <t>ALE</t>
        </is>
      </c>
      <c r="G147" t="n">
        <v>2.3</v>
      </c>
      <c r="H147" t="n">
        <v>0</v>
      </c>
      <c r="I147" t="n">
        <v>0</v>
      </c>
      <c r="J147" t="n">
        <v>0</v>
      </c>
      <c r="K147" t="n">
        <v>0</v>
      </c>
      <c r="L147" t="n">
        <v>0</v>
      </c>
      <c r="M147" t="n">
        <v>0</v>
      </c>
      <c r="N147" t="n">
        <v>0</v>
      </c>
      <c r="O147" t="n">
        <v>0</v>
      </c>
      <c r="P147" t="n">
        <v>0</v>
      </c>
      <c r="Q147" t="n">
        <v>0</v>
      </c>
      <c r="R147" s="2" t="inlineStr"/>
    </row>
    <row r="148" ht="15" customHeight="1">
      <c r="A148" t="inlineStr">
        <is>
          <t>A 1500-2024</t>
        </is>
      </c>
      <c r="B148" s="1" t="n">
        <v>45306</v>
      </c>
      <c r="C148" s="1" t="n">
        <v>45966</v>
      </c>
      <c r="D148" t="inlineStr">
        <is>
          <t>VÄSTRA GÖTALANDS LÄN</t>
        </is>
      </c>
      <c r="E148" t="inlineStr">
        <is>
          <t>ALE</t>
        </is>
      </c>
      <c r="G148" t="n">
        <v>1.3</v>
      </c>
      <c r="H148" t="n">
        <v>0</v>
      </c>
      <c r="I148" t="n">
        <v>0</v>
      </c>
      <c r="J148" t="n">
        <v>0</v>
      </c>
      <c r="K148" t="n">
        <v>0</v>
      </c>
      <c r="L148" t="n">
        <v>0</v>
      </c>
      <c r="M148" t="n">
        <v>0</v>
      </c>
      <c r="N148" t="n">
        <v>0</v>
      </c>
      <c r="O148" t="n">
        <v>0</v>
      </c>
      <c r="P148" t="n">
        <v>0</v>
      </c>
      <c r="Q148" t="n">
        <v>0</v>
      </c>
      <c r="R148" s="2" t="inlineStr"/>
    </row>
    <row r="149" ht="15" customHeight="1">
      <c r="A149" t="inlineStr">
        <is>
          <t>A 1687-2024</t>
        </is>
      </c>
      <c r="B149" s="1" t="n">
        <v>45306</v>
      </c>
      <c r="C149" s="1" t="n">
        <v>45966</v>
      </c>
      <c r="D149" t="inlineStr">
        <is>
          <t>VÄSTRA GÖTALANDS LÄN</t>
        </is>
      </c>
      <c r="E149" t="inlineStr">
        <is>
          <t>ALE</t>
        </is>
      </c>
      <c r="G149" t="n">
        <v>3.4</v>
      </c>
      <c r="H149" t="n">
        <v>0</v>
      </c>
      <c r="I149" t="n">
        <v>0</v>
      </c>
      <c r="J149" t="n">
        <v>0</v>
      </c>
      <c r="K149" t="n">
        <v>0</v>
      </c>
      <c r="L149" t="n">
        <v>0</v>
      </c>
      <c r="M149" t="n">
        <v>0</v>
      </c>
      <c r="N149" t="n">
        <v>0</v>
      </c>
      <c r="O149" t="n">
        <v>0</v>
      </c>
      <c r="P149" t="n">
        <v>0</v>
      </c>
      <c r="Q149" t="n">
        <v>0</v>
      </c>
      <c r="R149" s="2" t="inlineStr"/>
    </row>
    <row r="150" ht="15" customHeight="1">
      <c r="A150" t="inlineStr">
        <is>
          <t>A 57473-2022</t>
        </is>
      </c>
      <c r="B150" s="1" t="n">
        <v>44896</v>
      </c>
      <c r="C150" s="1" t="n">
        <v>45966</v>
      </c>
      <c r="D150" t="inlineStr">
        <is>
          <t>VÄSTRA GÖTALANDS LÄN</t>
        </is>
      </c>
      <c r="E150" t="inlineStr">
        <is>
          <t>ALE</t>
        </is>
      </c>
      <c r="G150" t="n">
        <v>0.7</v>
      </c>
      <c r="H150" t="n">
        <v>0</v>
      </c>
      <c r="I150" t="n">
        <v>0</v>
      </c>
      <c r="J150" t="n">
        <v>0</v>
      </c>
      <c r="K150" t="n">
        <v>0</v>
      </c>
      <c r="L150" t="n">
        <v>0</v>
      </c>
      <c r="M150" t="n">
        <v>0</v>
      </c>
      <c r="N150" t="n">
        <v>0</v>
      </c>
      <c r="O150" t="n">
        <v>0</v>
      </c>
      <c r="P150" t="n">
        <v>0</v>
      </c>
      <c r="Q150" t="n">
        <v>0</v>
      </c>
      <c r="R150" s="2" t="inlineStr"/>
    </row>
    <row r="151" ht="15" customHeight="1">
      <c r="A151" t="inlineStr">
        <is>
          <t>A 14458-2024</t>
        </is>
      </c>
      <c r="B151" s="1" t="n">
        <v>45394</v>
      </c>
      <c r="C151" s="1" t="n">
        <v>45966</v>
      </c>
      <c r="D151" t="inlineStr">
        <is>
          <t>VÄSTRA GÖTALANDS LÄN</t>
        </is>
      </c>
      <c r="E151" t="inlineStr">
        <is>
          <t>ALE</t>
        </is>
      </c>
      <c r="G151" t="n">
        <v>0.5</v>
      </c>
      <c r="H151" t="n">
        <v>0</v>
      </c>
      <c r="I151" t="n">
        <v>0</v>
      </c>
      <c r="J151" t="n">
        <v>0</v>
      </c>
      <c r="K151" t="n">
        <v>0</v>
      </c>
      <c r="L151" t="n">
        <v>0</v>
      </c>
      <c r="M151" t="n">
        <v>0</v>
      </c>
      <c r="N151" t="n">
        <v>0</v>
      </c>
      <c r="O151" t="n">
        <v>0</v>
      </c>
      <c r="P151" t="n">
        <v>0</v>
      </c>
      <c r="Q151" t="n">
        <v>0</v>
      </c>
      <c r="R151" s="2" t="inlineStr"/>
    </row>
    <row r="152" ht="15" customHeight="1">
      <c r="A152" t="inlineStr">
        <is>
          <t>A 42446-2023</t>
        </is>
      </c>
      <c r="B152" s="1" t="n">
        <v>45180</v>
      </c>
      <c r="C152" s="1" t="n">
        <v>45966</v>
      </c>
      <c r="D152" t="inlineStr">
        <is>
          <t>VÄSTRA GÖTALANDS LÄN</t>
        </is>
      </c>
      <c r="E152" t="inlineStr">
        <is>
          <t>ALE</t>
        </is>
      </c>
      <c r="G152" t="n">
        <v>0.8</v>
      </c>
      <c r="H152" t="n">
        <v>0</v>
      </c>
      <c r="I152" t="n">
        <v>0</v>
      </c>
      <c r="J152" t="n">
        <v>0</v>
      </c>
      <c r="K152" t="n">
        <v>0</v>
      </c>
      <c r="L152" t="n">
        <v>0</v>
      </c>
      <c r="M152" t="n">
        <v>0</v>
      </c>
      <c r="N152" t="n">
        <v>0</v>
      </c>
      <c r="O152" t="n">
        <v>0</v>
      </c>
      <c r="P152" t="n">
        <v>0</v>
      </c>
      <c r="Q152" t="n">
        <v>0</v>
      </c>
      <c r="R152" s="2" t="inlineStr"/>
    </row>
    <row r="153" ht="15" customHeight="1">
      <c r="A153" t="inlineStr">
        <is>
          <t>A 46227-2025</t>
        </is>
      </c>
      <c r="B153" s="1" t="n">
        <v>45924.90386574074</v>
      </c>
      <c r="C153" s="1" t="n">
        <v>45966</v>
      </c>
      <c r="D153" t="inlineStr">
        <is>
          <t>VÄSTRA GÖTALANDS LÄN</t>
        </is>
      </c>
      <c r="E153" t="inlineStr">
        <is>
          <t>ALE</t>
        </is>
      </c>
      <c r="G153" t="n">
        <v>0.3</v>
      </c>
      <c r="H153" t="n">
        <v>0</v>
      </c>
      <c r="I153" t="n">
        <v>0</v>
      </c>
      <c r="J153" t="n">
        <v>0</v>
      </c>
      <c r="K153" t="n">
        <v>0</v>
      </c>
      <c r="L153" t="n">
        <v>0</v>
      </c>
      <c r="M153" t="n">
        <v>0</v>
      </c>
      <c r="N153" t="n">
        <v>0</v>
      </c>
      <c r="O153" t="n">
        <v>0</v>
      </c>
      <c r="P153" t="n">
        <v>0</v>
      </c>
      <c r="Q153" t="n">
        <v>0</v>
      </c>
      <c r="R153" s="2" t="inlineStr"/>
    </row>
    <row r="154" ht="15" customHeight="1">
      <c r="A154" t="inlineStr">
        <is>
          <t>A 66551-2020</t>
        </is>
      </c>
      <c r="B154" s="1" t="n">
        <v>44179</v>
      </c>
      <c r="C154" s="1" t="n">
        <v>45966</v>
      </c>
      <c r="D154" t="inlineStr">
        <is>
          <t>VÄSTRA GÖTALANDS LÄN</t>
        </is>
      </c>
      <c r="E154" t="inlineStr">
        <is>
          <t>ALE</t>
        </is>
      </c>
      <c r="G154" t="n">
        <v>4.5</v>
      </c>
      <c r="H154" t="n">
        <v>0</v>
      </c>
      <c r="I154" t="n">
        <v>0</v>
      </c>
      <c r="J154" t="n">
        <v>0</v>
      </c>
      <c r="K154" t="n">
        <v>0</v>
      </c>
      <c r="L154" t="n">
        <v>0</v>
      </c>
      <c r="M154" t="n">
        <v>0</v>
      </c>
      <c r="N154" t="n">
        <v>0</v>
      </c>
      <c r="O154" t="n">
        <v>0</v>
      </c>
      <c r="P154" t="n">
        <v>0</v>
      </c>
      <c r="Q154" t="n">
        <v>0</v>
      </c>
      <c r="R154" s="2" t="inlineStr"/>
    </row>
    <row r="155" ht="15" customHeight="1">
      <c r="A155" t="inlineStr">
        <is>
          <t>A 1960-2024</t>
        </is>
      </c>
      <c r="B155" s="1" t="n">
        <v>45308.50962962963</v>
      </c>
      <c r="C155" s="1" t="n">
        <v>45966</v>
      </c>
      <c r="D155" t="inlineStr">
        <is>
          <t>VÄSTRA GÖTALANDS LÄN</t>
        </is>
      </c>
      <c r="E155" t="inlineStr">
        <is>
          <t>ALE</t>
        </is>
      </c>
      <c r="G155" t="n">
        <v>1.9</v>
      </c>
      <c r="H155" t="n">
        <v>0</v>
      </c>
      <c r="I155" t="n">
        <v>0</v>
      </c>
      <c r="J155" t="n">
        <v>0</v>
      </c>
      <c r="K155" t="n">
        <v>0</v>
      </c>
      <c r="L155" t="n">
        <v>0</v>
      </c>
      <c r="M155" t="n">
        <v>0</v>
      </c>
      <c r="N155" t="n">
        <v>0</v>
      </c>
      <c r="O155" t="n">
        <v>0</v>
      </c>
      <c r="P155" t="n">
        <v>0</v>
      </c>
      <c r="Q155" t="n">
        <v>0</v>
      </c>
      <c r="R155" s="2" t="inlineStr"/>
    </row>
    <row r="156" ht="15" customHeight="1">
      <c r="A156" t="inlineStr">
        <is>
          <t>A 41607-2022</t>
        </is>
      </c>
      <c r="B156" s="1" t="n">
        <v>44827.46658564815</v>
      </c>
      <c r="C156" s="1" t="n">
        <v>45966</v>
      </c>
      <c r="D156" t="inlineStr">
        <is>
          <t>VÄSTRA GÖTALANDS LÄN</t>
        </is>
      </c>
      <c r="E156" t="inlineStr">
        <is>
          <t>ALE</t>
        </is>
      </c>
      <c r="G156" t="n">
        <v>3.6</v>
      </c>
      <c r="H156" t="n">
        <v>0</v>
      </c>
      <c r="I156" t="n">
        <v>0</v>
      </c>
      <c r="J156" t="n">
        <v>0</v>
      </c>
      <c r="K156" t="n">
        <v>0</v>
      </c>
      <c r="L156" t="n">
        <v>0</v>
      </c>
      <c r="M156" t="n">
        <v>0</v>
      </c>
      <c r="N156" t="n">
        <v>0</v>
      </c>
      <c r="O156" t="n">
        <v>0</v>
      </c>
      <c r="P156" t="n">
        <v>0</v>
      </c>
      <c r="Q156" t="n">
        <v>0</v>
      </c>
      <c r="R156" s="2" t="inlineStr"/>
    </row>
    <row r="157" ht="15" customHeight="1">
      <c r="A157" t="inlineStr">
        <is>
          <t>A 15499-2022</t>
        </is>
      </c>
      <c r="B157" s="1" t="n">
        <v>44662</v>
      </c>
      <c r="C157" s="1" t="n">
        <v>45966</v>
      </c>
      <c r="D157" t="inlineStr">
        <is>
          <t>VÄSTRA GÖTALANDS LÄN</t>
        </is>
      </c>
      <c r="E157" t="inlineStr">
        <is>
          <t>ALE</t>
        </is>
      </c>
      <c r="G157" t="n">
        <v>4.7</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45230.33737268519</v>
      </c>
      <c r="C158" s="1" t="n">
        <v>45966</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55405-2021</t>
        </is>
      </c>
      <c r="B159" s="1" t="n">
        <v>44475.53733796296</v>
      </c>
      <c r="C159" s="1" t="n">
        <v>45966</v>
      </c>
      <c r="D159" t="inlineStr">
        <is>
          <t>VÄSTRA GÖTALANDS LÄN</t>
        </is>
      </c>
      <c r="E159" t="inlineStr">
        <is>
          <t>ALE</t>
        </is>
      </c>
      <c r="G159" t="n">
        <v>0.5</v>
      </c>
      <c r="H159" t="n">
        <v>0</v>
      </c>
      <c r="I159" t="n">
        <v>0</v>
      </c>
      <c r="J159" t="n">
        <v>0</v>
      </c>
      <c r="K159" t="n">
        <v>0</v>
      </c>
      <c r="L159" t="n">
        <v>0</v>
      </c>
      <c r="M159" t="n">
        <v>0</v>
      </c>
      <c r="N159" t="n">
        <v>0</v>
      </c>
      <c r="O159" t="n">
        <v>0</v>
      </c>
      <c r="P159" t="n">
        <v>0</v>
      </c>
      <c r="Q159" t="n">
        <v>0</v>
      </c>
      <c r="R159" s="2" t="inlineStr"/>
    </row>
    <row r="160" ht="15" customHeight="1">
      <c r="A160" t="inlineStr">
        <is>
          <t>A 51164-2024</t>
        </is>
      </c>
      <c r="B160" s="1" t="n">
        <v>45603.5830787037</v>
      </c>
      <c r="C160" s="1" t="n">
        <v>45966</v>
      </c>
      <c r="D160" t="inlineStr">
        <is>
          <t>VÄSTRA GÖTALANDS LÄN</t>
        </is>
      </c>
      <c r="E160" t="inlineStr">
        <is>
          <t>ALE</t>
        </is>
      </c>
      <c r="G160" t="n">
        <v>1.1</v>
      </c>
      <c r="H160" t="n">
        <v>0</v>
      </c>
      <c r="I160" t="n">
        <v>0</v>
      </c>
      <c r="J160" t="n">
        <v>0</v>
      </c>
      <c r="K160" t="n">
        <v>0</v>
      </c>
      <c r="L160" t="n">
        <v>0</v>
      </c>
      <c r="M160" t="n">
        <v>0</v>
      </c>
      <c r="N160" t="n">
        <v>0</v>
      </c>
      <c r="O160" t="n">
        <v>0</v>
      </c>
      <c r="P160" t="n">
        <v>0</v>
      </c>
      <c r="Q160" t="n">
        <v>0</v>
      </c>
      <c r="R160" s="2" t="inlineStr"/>
    </row>
    <row r="161" ht="15" customHeight="1">
      <c r="A161" t="inlineStr">
        <is>
          <t>A 56493-2021</t>
        </is>
      </c>
      <c r="B161" s="1" t="n">
        <v>44480.57173611111</v>
      </c>
      <c r="C161" s="1" t="n">
        <v>45966</v>
      </c>
      <c r="D161" t="inlineStr">
        <is>
          <t>VÄSTRA GÖTALANDS LÄN</t>
        </is>
      </c>
      <c r="E161" t="inlineStr">
        <is>
          <t>ALE</t>
        </is>
      </c>
      <c r="G161" t="n">
        <v>1.7</v>
      </c>
      <c r="H161" t="n">
        <v>0</v>
      </c>
      <c r="I161" t="n">
        <v>0</v>
      </c>
      <c r="J161" t="n">
        <v>0</v>
      </c>
      <c r="K161" t="n">
        <v>0</v>
      </c>
      <c r="L161" t="n">
        <v>0</v>
      </c>
      <c r="M161" t="n">
        <v>0</v>
      </c>
      <c r="N161" t="n">
        <v>0</v>
      </c>
      <c r="O161" t="n">
        <v>0</v>
      </c>
      <c r="P161" t="n">
        <v>0</v>
      </c>
      <c r="Q161" t="n">
        <v>0</v>
      </c>
      <c r="R161" s="2" t="inlineStr"/>
    </row>
    <row r="162" ht="15" customHeight="1">
      <c r="A162" t="inlineStr">
        <is>
          <t>A 24642-2022</t>
        </is>
      </c>
      <c r="B162" s="1" t="n">
        <v>44727.59578703704</v>
      </c>
      <c r="C162" s="1" t="n">
        <v>45966</v>
      </c>
      <c r="D162" t="inlineStr">
        <is>
          <t>VÄSTRA GÖTALANDS LÄN</t>
        </is>
      </c>
      <c r="E162" t="inlineStr">
        <is>
          <t>ALE</t>
        </is>
      </c>
      <c r="G162" t="n">
        <v>10</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45123.46649305556</v>
      </c>
      <c r="C163" s="1" t="n">
        <v>45966</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51564-2023</t>
        </is>
      </c>
      <c r="B164" s="1" t="n">
        <v>45222</v>
      </c>
      <c r="C164" s="1" t="n">
        <v>45966</v>
      </c>
      <c r="D164" t="inlineStr">
        <is>
          <t>VÄSTRA GÖTALANDS LÄN</t>
        </is>
      </c>
      <c r="E164" t="inlineStr">
        <is>
          <t>ALE</t>
        </is>
      </c>
      <c r="G164" t="n">
        <v>1.5</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45091.50479166667</v>
      </c>
      <c r="C165" s="1" t="n">
        <v>45966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c r="A166" t="inlineStr">
        <is>
          <t>A 47087-2023</t>
        </is>
      </c>
      <c r="B166" s="1" t="n">
        <v>45196</v>
      </c>
      <c r="C166" s="1" t="n">
        <v>45966</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2025-11-05T10:07:11Z</dcterms:created>
  <dcterms:modified xmlns:dcterms="http://purl.org/dc/terms/" xmlns:xsi="http://www.w3.org/2001/XMLSchema-instance" xsi:type="dcterms:W3CDTF">2025-11-05T10:07:11Z</dcterms:modified>
</cp:coreProperties>
</file>