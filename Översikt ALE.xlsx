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45970</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45970</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45970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45970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45970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45970</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35905-2025</t>
        </is>
      </c>
      <c r="B12" s="1" t="n">
        <v>45862</v>
      </c>
      <c r="C12" s="1" t="n">
        <v>45970</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32849-2023</t>
        </is>
      </c>
      <c r="B13" s="1" t="n">
        <v>45124</v>
      </c>
      <c r="C13" s="1" t="n">
        <v>45970</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37005-2025</t>
        </is>
      </c>
      <c r="B14" s="1" t="n">
        <v>45874.69311342593</v>
      </c>
      <c r="C14" s="1" t="n">
        <v>45970</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45970</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17566-2024</t>
        </is>
      </c>
      <c r="B16" s="1" t="n">
        <v>45415</v>
      </c>
      <c r="C16" s="1" t="n">
        <v>45970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46084-2025</t>
        </is>
      </c>
      <c r="B17" s="1" t="n">
        <v>45924.51282407407</v>
      </c>
      <c r="C17" s="1" t="n">
        <v>45970</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24162-2025</t>
        </is>
      </c>
      <c r="B18" s="1" t="n">
        <v>45796.66684027778</v>
      </c>
      <c r="C18" s="1" t="n">
        <v>45970</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45970</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51991-2025</t>
        </is>
      </c>
      <c r="B20" s="1" t="n">
        <v>45952.58069444444</v>
      </c>
      <c r="C20" s="1" t="n">
        <v>45970</v>
      </c>
      <c r="D20" t="inlineStr">
        <is>
          <t>VÄSTRA GÖTALANDS LÄN</t>
        </is>
      </c>
      <c r="E20" t="inlineStr">
        <is>
          <t>ALE</t>
        </is>
      </c>
      <c r="G20" t="n">
        <v>4.8</v>
      </c>
      <c r="H20" t="n">
        <v>3</v>
      </c>
      <c r="I20" t="n">
        <v>2</v>
      </c>
      <c r="J20" t="n">
        <v>3</v>
      </c>
      <c r="K20" t="n">
        <v>0</v>
      </c>
      <c r="L20" t="n">
        <v>0</v>
      </c>
      <c r="M20" t="n">
        <v>0</v>
      </c>
      <c r="N20" t="n">
        <v>0</v>
      </c>
      <c r="O20" t="n">
        <v>3</v>
      </c>
      <c r="P20" t="n">
        <v>0</v>
      </c>
      <c r="Q20" t="n">
        <v>6</v>
      </c>
      <c r="R20" s="2" t="inlineStr">
        <is>
          <t>Entita
Spillkråka
Stubbtrådmossa
Blåmossa
Västlig hakmossa
Revlummer</t>
        </is>
      </c>
      <c r="S20">
        <f>HYPERLINK("https://klasma.github.io/Logging_1440/artfynd/A 51991-2025 artfynd.xlsx", "A 51991-2025")</f>
        <v/>
      </c>
      <c r="T20">
        <f>HYPERLINK("https://klasma.github.io/Logging_1440/kartor/A 51991-2025 karta.png", "A 51991-2025")</f>
        <v/>
      </c>
      <c r="V20">
        <f>HYPERLINK("https://klasma.github.io/Logging_1440/klagomål/A 51991-2025 FSC-klagomål.docx", "A 51991-2025")</f>
        <v/>
      </c>
      <c r="W20">
        <f>HYPERLINK("https://klasma.github.io/Logging_1440/klagomålsmail/A 51991-2025 FSC-klagomål mail.docx", "A 51991-2025")</f>
        <v/>
      </c>
      <c r="X20">
        <f>HYPERLINK("https://klasma.github.io/Logging_1440/tillsyn/A 51991-2025 tillsynsbegäran.docx", "A 51991-2025")</f>
        <v/>
      </c>
      <c r="Y20">
        <f>HYPERLINK("https://klasma.github.io/Logging_1440/tillsynsmail/A 51991-2025 tillsynsbegäran mail.docx", "A 51991-2025")</f>
        <v/>
      </c>
      <c r="Z20">
        <f>HYPERLINK("https://klasma.github.io/Logging_1440/fåglar/A 51991-2025 prioriterade fågelarter.docx", "A 51991-2025")</f>
        <v/>
      </c>
    </row>
    <row r="21" ht="15" customHeight="1">
      <c r="A21" t="inlineStr">
        <is>
          <t>A 26491-2024</t>
        </is>
      </c>
      <c r="B21" s="1" t="n">
        <v>45469</v>
      </c>
      <c r="C21" s="1" t="n">
        <v>45970</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45970</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45970</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45970</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45970</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45970</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45970</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45970</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40931-2025</t>
        </is>
      </c>
      <c r="B29" s="1" t="n">
        <v>45897.64783564815</v>
      </c>
      <c r="C29" s="1" t="n">
        <v>45970</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2270-2025</t>
        </is>
      </c>
      <c r="B30" s="1" t="n">
        <v>45673.54403935185</v>
      </c>
      <c r="C30" s="1" t="n">
        <v>45970</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45970</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45970</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45970</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45970</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45970</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45970</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26493-2024</t>
        </is>
      </c>
      <c r="B37" s="1" t="n">
        <v>45469</v>
      </c>
      <c r="C37" s="1" t="n">
        <v>45970</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45970</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45970</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45970</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45970</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45970</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45970</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45970</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45970</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45970</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45970</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45970</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45970</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45970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45970</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45970</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45970</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45970</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65222-2021</t>
        </is>
      </c>
      <c r="B55" s="1" t="n">
        <v>44515</v>
      </c>
      <c r="C55" s="1" t="n">
        <v>45970</v>
      </c>
      <c r="D55" t="inlineStr">
        <is>
          <t>VÄSTRA GÖTALANDS LÄN</t>
        </is>
      </c>
      <c r="E55" t="inlineStr">
        <is>
          <t>ALE</t>
        </is>
      </c>
      <c r="G55" t="n">
        <v>1.2</v>
      </c>
      <c r="H55" t="n">
        <v>0</v>
      </c>
      <c r="I55" t="n">
        <v>0</v>
      </c>
      <c r="J55" t="n">
        <v>0</v>
      </c>
      <c r="K55" t="n">
        <v>0</v>
      </c>
      <c r="L55" t="n">
        <v>0</v>
      </c>
      <c r="M55" t="n">
        <v>0</v>
      </c>
      <c r="N55" t="n">
        <v>0</v>
      </c>
      <c r="O55" t="n">
        <v>0</v>
      </c>
      <c r="P55" t="n">
        <v>0</v>
      </c>
      <c r="Q55" t="n">
        <v>0</v>
      </c>
      <c r="R55" s="2" t="inlineStr"/>
    </row>
    <row r="56" ht="15" customHeight="1">
      <c r="A56" t="inlineStr">
        <is>
          <t>A 22138-2021</t>
        </is>
      </c>
      <c r="B56" s="1" t="n">
        <v>44324.67472222223</v>
      </c>
      <c r="C56" s="1" t="n">
        <v>45970</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45970</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12445-2022</t>
        </is>
      </c>
      <c r="B58" s="1" t="n">
        <v>44638</v>
      </c>
      <c r="C58" s="1" t="n">
        <v>45970</v>
      </c>
      <c r="D58" t="inlineStr">
        <is>
          <t>VÄSTRA GÖTALANDS LÄN</t>
        </is>
      </c>
      <c r="E58" t="inlineStr">
        <is>
          <t>ALE</t>
        </is>
      </c>
      <c r="G58" t="n">
        <v>1</v>
      </c>
      <c r="H58" t="n">
        <v>0</v>
      </c>
      <c r="I58" t="n">
        <v>0</v>
      </c>
      <c r="J58" t="n">
        <v>0</v>
      </c>
      <c r="K58" t="n">
        <v>0</v>
      </c>
      <c r="L58" t="n">
        <v>0</v>
      </c>
      <c r="M58" t="n">
        <v>0</v>
      </c>
      <c r="N58" t="n">
        <v>0</v>
      </c>
      <c r="O58" t="n">
        <v>0</v>
      </c>
      <c r="P58" t="n">
        <v>0</v>
      </c>
      <c r="Q58" t="n">
        <v>0</v>
      </c>
      <c r="R58" s="2" t="inlineStr"/>
    </row>
    <row r="59" ht="15" customHeight="1">
      <c r="A59" t="inlineStr">
        <is>
          <t>A 15508-2022</t>
        </is>
      </c>
      <c r="B59" s="1" t="n">
        <v>44662.39761574074</v>
      </c>
      <c r="C59" s="1" t="n">
        <v>45970</v>
      </c>
      <c r="D59" t="inlineStr">
        <is>
          <t>VÄSTRA GÖTALANDS LÄN</t>
        </is>
      </c>
      <c r="E59" t="inlineStr">
        <is>
          <t>ALE</t>
        </is>
      </c>
      <c r="G59" t="n">
        <v>0.4</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45970</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45970</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45970</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45970</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45970</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14751-2022</t>
        </is>
      </c>
      <c r="B65" s="1" t="n">
        <v>44656.3837037037</v>
      </c>
      <c r="C65" s="1" t="n">
        <v>45970</v>
      </c>
      <c r="D65" t="inlineStr">
        <is>
          <t>VÄSTRA GÖTALANDS LÄN</t>
        </is>
      </c>
      <c r="E65" t="inlineStr">
        <is>
          <t>ALE</t>
        </is>
      </c>
      <c r="G65" t="n">
        <v>1.6</v>
      </c>
      <c r="H65" t="n">
        <v>0</v>
      </c>
      <c r="I65" t="n">
        <v>0</v>
      </c>
      <c r="J65" t="n">
        <v>0</v>
      </c>
      <c r="K65" t="n">
        <v>0</v>
      </c>
      <c r="L65" t="n">
        <v>0</v>
      </c>
      <c r="M65" t="n">
        <v>0</v>
      </c>
      <c r="N65" t="n">
        <v>0</v>
      </c>
      <c r="O65" t="n">
        <v>0</v>
      </c>
      <c r="P65" t="n">
        <v>0</v>
      </c>
      <c r="Q65" t="n">
        <v>0</v>
      </c>
      <c r="R65" s="2" t="inlineStr"/>
    </row>
    <row r="66" ht="15" customHeight="1">
      <c r="A66" t="inlineStr">
        <is>
          <t>A 53144-2021</t>
        </is>
      </c>
      <c r="B66" s="1" t="n">
        <v>44468</v>
      </c>
      <c r="C66" s="1" t="n">
        <v>45970</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35148-2021</t>
        </is>
      </c>
      <c r="B67" s="1" t="n">
        <v>44384</v>
      </c>
      <c r="C67" s="1" t="n">
        <v>45970</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20285-2022</t>
        </is>
      </c>
      <c r="B68" s="1" t="n">
        <v>44698.76347222222</v>
      </c>
      <c r="C68" s="1" t="n">
        <v>45970</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45970</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26157-2023</t>
        </is>
      </c>
      <c r="B70" s="1" t="n">
        <v>45091.50479166667</v>
      </c>
      <c r="C70" s="1" t="n">
        <v>45970</v>
      </c>
      <c r="D70" t="inlineStr">
        <is>
          <t>VÄSTRA GÖTALANDS LÄN</t>
        </is>
      </c>
      <c r="E70" t="inlineStr">
        <is>
          <t>ALE</t>
        </is>
      </c>
      <c r="G70" t="n">
        <v>2.6</v>
      </c>
      <c r="H70" t="n">
        <v>0</v>
      </c>
      <c r="I70" t="n">
        <v>0</v>
      </c>
      <c r="J70" t="n">
        <v>0</v>
      </c>
      <c r="K70" t="n">
        <v>0</v>
      </c>
      <c r="L70" t="n">
        <v>0</v>
      </c>
      <c r="M70" t="n">
        <v>0</v>
      </c>
      <c r="N70" t="n">
        <v>0</v>
      </c>
      <c r="O70" t="n">
        <v>0</v>
      </c>
      <c r="P70" t="n">
        <v>0</v>
      </c>
      <c r="Q70" t="n">
        <v>0</v>
      </c>
      <c r="R70" s="2" t="inlineStr"/>
    </row>
    <row r="71" ht="15" customHeight="1">
      <c r="A71" t="inlineStr">
        <is>
          <t>A 1960-2024</t>
        </is>
      </c>
      <c r="B71" s="1" t="n">
        <v>45308.50962962963</v>
      </c>
      <c r="C71" s="1" t="n">
        <v>45970</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45970</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65226-2021</t>
        </is>
      </c>
      <c r="B73" s="1" t="n">
        <v>44515</v>
      </c>
      <c r="C73" s="1" t="n">
        <v>45970</v>
      </c>
      <c r="D73" t="inlineStr">
        <is>
          <t>VÄSTRA GÖTALANDS LÄN</t>
        </is>
      </c>
      <c r="E73" t="inlineStr">
        <is>
          <t>ALE</t>
        </is>
      </c>
      <c r="G73" t="n">
        <v>0.7</v>
      </c>
      <c r="H73" t="n">
        <v>0</v>
      </c>
      <c r="I73" t="n">
        <v>0</v>
      </c>
      <c r="J73" t="n">
        <v>0</v>
      </c>
      <c r="K73" t="n">
        <v>0</v>
      </c>
      <c r="L73" t="n">
        <v>0</v>
      </c>
      <c r="M73" t="n">
        <v>0</v>
      </c>
      <c r="N73" t="n">
        <v>0</v>
      </c>
      <c r="O73" t="n">
        <v>0</v>
      </c>
      <c r="P73" t="n">
        <v>0</v>
      </c>
      <c r="Q73" t="n">
        <v>0</v>
      </c>
      <c r="R73" s="2" t="inlineStr"/>
    </row>
    <row r="74" ht="15" customHeight="1">
      <c r="A74" t="inlineStr">
        <is>
          <t>A 12055-2022</t>
        </is>
      </c>
      <c r="B74" s="1" t="n">
        <v>44636</v>
      </c>
      <c r="C74" s="1" t="n">
        <v>45970</v>
      </c>
      <c r="D74" t="inlineStr">
        <is>
          <t>VÄSTRA GÖTALANDS LÄN</t>
        </is>
      </c>
      <c r="E74" t="inlineStr">
        <is>
          <t>ALE</t>
        </is>
      </c>
      <c r="G74" t="n">
        <v>0.2</v>
      </c>
      <c r="H74" t="n">
        <v>0</v>
      </c>
      <c r="I74" t="n">
        <v>0</v>
      </c>
      <c r="J74" t="n">
        <v>0</v>
      </c>
      <c r="K74" t="n">
        <v>0</v>
      </c>
      <c r="L74" t="n">
        <v>0</v>
      </c>
      <c r="M74" t="n">
        <v>0</v>
      </c>
      <c r="N74" t="n">
        <v>0</v>
      </c>
      <c r="O74" t="n">
        <v>0</v>
      </c>
      <c r="P74" t="n">
        <v>0</v>
      </c>
      <c r="Q74" t="n">
        <v>0</v>
      </c>
      <c r="R74" s="2" t="inlineStr"/>
    </row>
    <row r="75" ht="15" customHeight="1">
      <c r="A75" t="inlineStr">
        <is>
          <t>A 49955-2021</t>
        </is>
      </c>
      <c r="B75" s="1" t="n">
        <v>44456</v>
      </c>
      <c r="C75" s="1" t="n">
        <v>45970</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35959-2022</t>
        </is>
      </c>
      <c r="B76" s="1" t="n">
        <v>44802.57002314815</v>
      </c>
      <c r="C76" s="1" t="n">
        <v>45970</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14493-2024</t>
        </is>
      </c>
      <c r="B77" s="1" t="n">
        <v>45394.58491898148</v>
      </c>
      <c r="C77" s="1" t="n">
        <v>45970</v>
      </c>
      <c r="D77" t="inlineStr">
        <is>
          <t>VÄSTRA GÖTALANDS LÄN</t>
        </is>
      </c>
      <c r="E77" t="inlineStr">
        <is>
          <t>ALE</t>
        </is>
      </c>
      <c r="G77" t="n">
        <v>2.3</v>
      </c>
      <c r="H77" t="n">
        <v>0</v>
      </c>
      <c r="I77" t="n">
        <v>0</v>
      </c>
      <c r="J77" t="n">
        <v>0</v>
      </c>
      <c r="K77" t="n">
        <v>0</v>
      </c>
      <c r="L77" t="n">
        <v>0</v>
      </c>
      <c r="M77" t="n">
        <v>0</v>
      </c>
      <c r="N77" t="n">
        <v>0</v>
      </c>
      <c r="O77" t="n">
        <v>0</v>
      </c>
      <c r="P77" t="n">
        <v>0</v>
      </c>
      <c r="Q77" t="n">
        <v>0</v>
      </c>
      <c r="R77" s="2" t="inlineStr"/>
    </row>
    <row r="78" ht="15" customHeight="1">
      <c r="A78" t="inlineStr">
        <is>
          <t>A 200-2022</t>
        </is>
      </c>
      <c r="B78" s="1" t="n">
        <v>44564</v>
      </c>
      <c r="C78" s="1" t="n">
        <v>45970</v>
      </c>
      <c r="D78" t="inlineStr">
        <is>
          <t>VÄSTRA GÖTALANDS LÄN</t>
        </is>
      </c>
      <c r="E78" t="inlineStr">
        <is>
          <t>ALE</t>
        </is>
      </c>
      <c r="G78" t="n">
        <v>6.8</v>
      </c>
      <c r="H78" t="n">
        <v>0</v>
      </c>
      <c r="I78" t="n">
        <v>0</v>
      </c>
      <c r="J78" t="n">
        <v>0</v>
      </c>
      <c r="K78" t="n">
        <v>0</v>
      </c>
      <c r="L78" t="n">
        <v>0</v>
      </c>
      <c r="M78" t="n">
        <v>0</v>
      </c>
      <c r="N78" t="n">
        <v>0</v>
      </c>
      <c r="O78" t="n">
        <v>0</v>
      </c>
      <c r="P78" t="n">
        <v>0</v>
      </c>
      <c r="Q78" t="n">
        <v>0</v>
      </c>
      <c r="R78" s="2" t="inlineStr"/>
    </row>
    <row r="79" ht="15" customHeight="1">
      <c r="A79" t="inlineStr">
        <is>
          <t>A 3457-2022</t>
        </is>
      </c>
      <c r="B79" s="1" t="n">
        <v>44585</v>
      </c>
      <c r="C79" s="1" t="n">
        <v>45970</v>
      </c>
      <c r="D79" t="inlineStr">
        <is>
          <t>VÄSTRA GÖTALANDS LÄN</t>
        </is>
      </c>
      <c r="E79" t="inlineStr">
        <is>
          <t>ALE</t>
        </is>
      </c>
      <c r="G79" t="n">
        <v>5.1</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45970</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69325-2020</t>
        </is>
      </c>
      <c r="B81" s="1" t="n">
        <v>44193</v>
      </c>
      <c r="C81" s="1" t="n">
        <v>45970</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17044-2025</t>
        </is>
      </c>
      <c r="B82" s="1" t="n">
        <v>45755.58891203703</v>
      </c>
      <c r="C82" s="1" t="n">
        <v>45970</v>
      </c>
      <c r="D82" t="inlineStr">
        <is>
          <t>VÄSTRA GÖTALANDS LÄN</t>
        </is>
      </c>
      <c r="E82" t="inlineStr">
        <is>
          <t>ALE</t>
        </is>
      </c>
      <c r="G82" t="n">
        <v>1.5</v>
      </c>
      <c r="H82" t="n">
        <v>0</v>
      </c>
      <c r="I82" t="n">
        <v>0</v>
      </c>
      <c r="J82" t="n">
        <v>0</v>
      </c>
      <c r="K82" t="n">
        <v>0</v>
      </c>
      <c r="L82" t="n">
        <v>0</v>
      </c>
      <c r="M82" t="n">
        <v>0</v>
      </c>
      <c r="N82" t="n">
        <v>0</v>
      </c>
      <c r="O82" t="n">
        <v>0</v>
      </c>
      <c r="P82" t="n">
        <v>0</v>
      </c>
      <c r="Q82" t="n">
        <v>0</v>
      </c>
      <c r="R82" s="2" t="inlineStr"/>
    </row>
    <row r="83" ht="15" customHeight="1">
      <c r="A83" t="inlineStr">
        <is>
          <t>A 47330-2025</t>
        </is>
      </c>
      <c r="B83" s="1" t="n">
        <v>45930.56170138889</v>
      </c>
      <c r="C83" s="1" t="n">
        <v>45970</v>
      </c>
      <c r="D83" t="inlineStr">
        <is>
          <t>VÄSTRA GÖTALANDS LÄN</t>
        </is>
      </c>
      <c r="E83" t="inlineStr">
        <is>
          <t>ALE</t>
        </is>
      </c>
      <c r="G83" t="n">
        <v>3.7</v>
      </c>
      <c r="H83" t="n">
        <v>0</v>
      </c>
      <c r="I83" t="n">
        <v>0</v>
      </c>
      <c r="J83" t="n">
        <v>0</v>
      </c>
      <c r="K83" t="n">
        <v>0</v>
      </c>
      <c r="L83" t="n">
        <v>0</v>
      </c>
      <c r="M83" t="n">
        <v>0</v>
      </c>
      <c r="N83" t="n">
        <v>0</v>
      </c>
      <c r="O83" t="n">
        <v>0</v>
      </c>
      <c r="P83" t="n">
        <v>0</v>
      </c>
      <c r="Q83" t="n">
        <v>0</v>
      </c>
      <c r="R83" s="2" t="inlineStr"/>
    </row>
    <row r="84" ht="15" customHeight="1">
      <c r="A84" t="inlineStr">
        <is>
          <t>A 56493-2021</t>
        </is>
      </c>
      <c r="B84" s="1" t="n">
        <v>44480.57173611111</v>
      </c>
      <c r="C84" s="1" t="n">
        <v>45970</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45988-2021</t>
        </is>
      </c>
      <c r="B85" s="1" t="n">
        <v>44441</v>
      </c>
      <c r="C85" s="1" t="n">
        <v>45970</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5916-2023</t>
        </is>
      </c>
      <c r="B86" s="1" t="n">
        <v>44963</v>
      </c>
      <c r="C86" s="1" t="n">
        <v>45970</v>
      </c>
      <c r="D86" t="inlineStr">
        <is>
          <t>VÄSTRA GÖTALANDS LÄN</t>
        </is>
      </c>
      <c r="E86" t="inlineStr">
        <is>
          <t>ALE</t>
        </is>
      </c>
      <c r="G86" t="n">
        <v>4.2</v>
      </c>
      <c r="H86" t="n">
        <v>0</v>
      </c>
      <c r="I86" t="n">
        <v>0</v>
      </c>
      <c r="J86" t="n">
        <v>0</v>
      </c>
      <c r="K86" t="n">
        <v>0</v>
      </c>
      <c r="L86" t="n">
        <v>0</v>
      </c>
      <c r="M86" t="n">
        <v>0</v>
      </c>
      <c r="N86" t="n">
        <v>0</v>
      </c>
      <c r="O86" t="n">
        <v>0</v>
      </c>
      <c r="P86" t="n">
        <v>0</v>
      </c>
      <c r="Q86" t="n">
        <v>0</v>
      </c>
      <c r="R86" s="2" t="inlineStr"/>
    </row>
    <row r="87" ht="15" customHeight="1">
      <c r="A87" t="inlineStr">
        <is>
          <t>A 5875-2023</t>
        </is>
      </c>
      <c r="B87" s="1" t="n">
        <v>44963</v>
      </c>
      <c r="C87" s="1" t="n">
        <v>45970</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3407-2023</t>
        </is>
      </c>
      <c r="B88" s="1" t="n">
        <v>44949.54909722223</v>
      </c>
      <c r="C88" s="1" t="n">
        <v>45970</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51564-2023</t>
        </is>
      </c>
      <c r="B89" s="1" t="n">
        <v>45222</v>
      </c>
      <c r="C89" s="1" t="n">
        <v>45970</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34104-2024</t>
        </is>
      </c>
      <c r="B90" s="1" t="n">
        <v>45523.79202546296</v>
      </c>
      <c r="C90" s="1" t="n">
        <v>45970</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48257-2022</t>
        </is>
      </c>
      <c r="B91" s="1" t="n">
        <v>44858.47591435185</v>
      </c>
      <c r="C91" s="1" t="n">
        <v>45970</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18999-2021</t>
        </is>
      </c>
      <c r="B92" s="1" t="n">
        <v>44308</v>
      </c>
      <c r="C92" s="1" t="n">
        <v>45970</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4363-2024</t>
        </is>
      </c>
      <c r="B93" s="1" t="n">
        <v>45325</v>
      </c>
      <c r="C93" s="1" t="n">
        <v>45970</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36403-2024</t>
        </is>
      </c>
      <c r="B94" s="1" t="n">
        <v>45535.69445601852</v>
      </c>
      <c r="C94" s="1" t="n">
        <v>45970</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45970</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1687-2024</t>
        </is>
      </c>
      <c r="B96" s="1" t="n">
        <v>45306</v>
      </c>
      <c r="C96" s="1" t="n">
        <v>45970</v>
      </c>
      <c r="D96" t="inlineStr">
        <is>
          <t>VÄSTRA GÖTALANDS LÄN</t>
        </is>
      </c>
      <c r="E96" t="inlineStr">
        <is>
          <t>ALE</t>
        </is>
      </c>
      <c r="G96" t="n">
        <v>3.4</v>
      </c>
      <c r="H96" t="n">
        <v>0</v>
      </c>
      <c r="I96" t="n">
        <v>0</v>
      </c>
      <c r="J96" t="n">
        <v>0</v>
      </c>
      <c r="K96" t="n">
        <v>0</v>
      </c>
      <c r="L96" t="n">
        <v>0</v>
      </c>
      <c r="M96" t="n">
        <v>0</v>
      </c>
      <c r="N96" t="n">
        <v>0</v>
      </c>
      <c r="O96" t="n">
        <v>0</v>
      </c>
      <c r="P96" t="n">
        <v>0</v>
      </c>
      <c r="Q96" t="n">
        <v>0</v>
      </c>
      <c r="R96" s="2" t="inlineStr"/>
    </row>
    <row r="97" ht="15" customHeight="1">
      <c r="A97" t="inlineStr">
        <is>
          <t>A 50451-2024</t>
        </is>
      </c>
      <c r="B97" s="1" t="n">
        <v>45601.44248842593</v>
      </c>
      <c r="C97" s="1" t="n">
        <v>45970</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49680-2024</t>
        </is>
      </c>
      <c r="B98" s="1" t="n">
        <v>45596.66880787037</v>
      </c>
      <c r="C98" s="1" t="n">
        <v>45970</v>
      </c>
      <c r="D98" t="inlineStr">
        <is>
          <t>VÄSTRA GÖTALANDS LÄN</t>
        </is>
      </c>
      <c r="E98" t="inlineStr">
        <is>
          <t>ALE</t>
        </is>
      </c>
      <c r="G98" t="n">
        <v>3.7</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45970</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55405-2021</t>
        </is>
      </c>
      <c r="B100" s="1" t="n">
        <v>44475.53733796296</v>
      </c>
      <c r="C100" s="1" t="n">
        <v>45970</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20067-2023</t>
        </is>
      </c>
      <c r="B101" s="1" t="n">
        <v>45054</v>
      </c>
      <c r="C101" s="1" t="n">
        <v>45970</v>
      </c>
      <c r="D101" t="inlineStr">
        <is>
          <t>VÄSTRA GÖTALANDS LÄN</t>
        </is>
      </c>
      <c r="E101" t="inlineStr">
        <is>
          <t>ALE</t>
        </is>
      </c>
      <c r="G101" t="n">
        <v>0.4</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45970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45970</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47592-2025</t>
        </is>
      </c>
      <c r="B104" s="1" t="n">
        <v>45931.44649305556</v>
      </c>
      <c r="C104" s="1" t="n">
        <v>45970</v>
      </c>
      <c r="D104" t="inlineStr">
        <is>
          <t>VÄSTRA GÖTALANDS LÄN</t>
        </is>
      </c>
      <c r="E104" t="inlineStr">
        <is>
          <t>ALE</t>
        </is>
      </c>
      <c r="G104" t="n">
        <v>0.6</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45970</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57473-2022</t>
        </is>
      </c>
      <c r="B106" s="1" t="n">
        <v>44896</v>
      </c>
      <c r="C106" s="1" t="n">
        <v>45970</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40074-2025</t>
        </is>
      </c>
      <c r="B107" s="1" t="n">
        <v>45894.44685185186</v>
      </c>
      <c r="C107" s="1" t="n">
        <v>45970</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7807-2023</t>
        </is>
      </c>
      <c r="B108" s="1" t="n">
        <v>44973</v>
      </c>
      <c r="C108" s="1" t="n">
        <v>45970</v>
      </c>
      <c r="D108" t="inlineStr">
        <is>
          <t>VÄSTRA GÖTALANDS LÄN</t>
        </is>
      </c>
      <c r="E108" t="inlineStr">
        <is>
          <t>ALE</t>
        </is>
      </c>
      <c r="G108" t="n">
        <v>10.5</v>
      </c>
      <c r="H108" t="n">
        <v>0</v>
      </c>
      <c r="I108" t="n">
        <v>0</v>
      </c>
      <c r="J108" t="n">
        <v>0</v>
      </c>
      <c r="K108" t="n">
        <v>0</v>
      </c>
      <c r="L108" t="n">
        <v>0</v>
      </c>
      <c r="M108" t="n">
        <v>0</v>
      </c>
      <c r="N108" t="n">
        <v>0</v>
      </c>
      <c r="O108" t="n">
        <v>0</v>
      </c>
      <c r="P108" t="n">
        <v>0</v>
      </c>
      <c r="Q108" t="n">
        <v>0</v>
      </c>
      <c r="R108" s="2" t="inlineStr"/>
    </row>
    <row r="109" ht="15" customHeight="1">
      <c r="A109" t="inlineStr">
        <is>
          <t>A 6916-2023</t>
        </is>
      </c>
      <c r="B109" s="1" t="n">
        <v>44967.53349537037</v>
      </c>
      <c r="C109" s="1" t="n">
        <v>45970</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45970</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45970</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42446-2023</t>
        </is>
      </c>
      <c r="B112" s="1" t="n">
        <v>45180</v>
      </c>
      <c r="C112" s="1" t="n">
        <v>45970</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67160-2021</t>
        </is>
      </c>
      <c r="B113" s="1" t="n">
        <v>44523</v>
      </c>
      <c r="C113" s="1" t="n">
        <v>45970</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26083-2023</t>
        </is>
      </c>
      <c r="B114" s="1" t="n">
        <v>45091</v>
      </c>
      <c r="C114" s="1" t="n">
        <v>45970</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16344-2023</t>
        </is>
      </c>
      <c r="B115" s="1" t="n">
        <v>45028</v>
      </c>
      <c r="C115" s="1" t="n">
        <v>45970</v>
      </c>
      <c r="D115" t="inlineStr">
        <is>
          <t>VÄSTRA GÖTALANDS LÄN</t>
        </is>
      </c>
      <c r="E115" t="inlineStr">
        <is>
          <t>ALE</t>
        </is>
      </c>
      <c r="G115" t="n">
        <v>6.6</v>
      </c>
      <c r="H115" t="n">
        <v>0</v>
      </c>
      <c r="I115" t="n">
        <v>0</v>
      </c>
      <c r="J115" t="n">
        <v>0</v>
      </c>
      <c r="K115" t="n">
        <v>0</v>
      </c>
      <c r="L115" t="n">
        <v>0</v>
      </c>
      <c r="M115" t="n">
        <v>0</v>
      </c>
      <c r="N115" t="n">
        <v>0</v>
      </c>
      <c r="O115" t="n">
        <v>0</v>
      </c>
      <c r="P115" t="n">
        <v>0</v>
      </c>
      <c r="Q115" t="n">
        <v>0</v>
      </c>
      <c r="R115" s="2" t="inlineStr"/>
    </row>
    <row r="116" ht="15" customHeight="1">
      <c r="A116" t="inlineStr">
        <is>
          <t>A 32762-2023</t>
        </is>
      </c>
      <c r="B116" s="1" t="n">
        <v>45123.46649305556</v>
      </c>
      <c r="C116" s="1" t="n">
        <v>45970</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15582-2025</t>
        </is>
      </c>
      <c r="B117" s="1" t="n">
        <v>45747.81394675926</v>
      </c>
      <c r="C117" s="1" t="n">
        <v>45970</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41598-2022</t>
        </is>
      </c>
      <c r="B118" s="1" t="n">
        <v>44827.4609837963</v>
      </c>
      <c r="C118" s="1" t="n">
        <v>45970</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14458-2024</t>
        </is>
      </c>
      <c r="B119" s="1" t="n">
        <v>45394</v>
      </c>
      <c r="C119" s="1" t="n">
        <v>45970</v>
      </c>
      <c r="D119" t="inlineStr">
        <is>
          <t>VÄSTRA GÖTALANDS LÄN</t>
        </is>
      </c>
      <c r="E119" t="inlineStr">
        <is>
          <t>ALE</t>
        </is>
      </c>
      <c r="G119" t="n">
        <v>0.5</v>
      </c>
      <c r="H119" t="n">
        <v>0</v>
      </c>
      <c r="I119" t="n">
        <v>0</v>
      </c>
      <c r="J119" t="n">
        <v>0</v>
      </c>
      <c r="K119" t="n">
        <v>0</v>
      </c>
      <c r="L119" t="n">
        <v>0</v>
      </c>
      <c r="M119" t="n">
        <v>0</v>
      </c>
      <c r="N119" t="n">
        <v>0</v>
      </c>
      <c r="O119" t="n">
        <v>0</v>
      </c>
      <c r="P119" t="n">
        <v>0</v>
      </c>
      <c r="Q119" t="n">
        <v>0</v>
      </c>
      <c r="R119" s="2" t="inlineStr"/>
    </row>
    <row r="120" ht="15" customHeight="1">
      <c r="A120" t="inlineStr">
        <is>
          <t>A 48213-2025</t>
        </is>
      </c>
      <c r="B120" s="1" t="n">
        <v>45933</v>
      </c>
      <c r="C120" s="1" t="n">
        <v>45970</v>
      </c>
      <c r="D120" t="inlineStr">
        <is>
          <t>VÄSTRA GÖTALANDS LÄN</t>
        </is>
      </c>
      <c r="E120" t="inlineStr">
        <is>
          <t>ALE</t>
        </is>
      </c>
      <c r="G120" t="n">
        <v>3.3</v>
      </c>
      <c r="H120" t="n">
        <v>0</v>
      </c>
      <c r="I120" t="n">
        <v>0</v>
      </c>
      <c r="J120" t="n">
        <v>0</v>
      </c>
      <c r="K120" t="n">
        <v>0</v>
      </c>
      <c r="L120" t="n">
        <v>0</v>
      </c>
      <c r="M120" t="n">
        <v>0</v>
      </c>
      <c r="N120" t="n">
        <v>0</v>
      </c>
      <c r="O120" t="n">
        <v>0</v>
      </c>
      <c r="P120" t="n">
        <v>0</v>
      </c>
      <c r="Q120" t="n">
        <v>0</v>
      </c>
      <c r="R120" s="2" t="inlineStr"/>
    </row>
    <row r="121" ht="15" customHeight="1">
      <c r="A121" t="inlineStr">
        <is>
          <t>A 48218-2025</t>
        </is>
      </c>
      <c r="B121" s="1" t="n">
        <v>45933</v>
      </c>
      <c r="C121" s="1" t="n">
        <v>45970</v>
      </c>
      <c r="D121" t="inlineStr">
        <is>
          <t>VÄSTRA GÖTALANDS LÄN</t>
        </is>
      </c>
      <c r="E121" t="inlineStr">
        <is>
          <t>ALE</t>
        </is>
      </c>
      <c r="G121" t="n">
        <v>1.4</v>
      </c>
      <c r="H121" t="n">
        <v>0</v>
      </c>
      <c r="I121" t="n">
        <v>0</v>
      </c>
      <c r="J121" t="n">
        <v>0</v>
      </c>
      <c r="K121" t="n">
        <v>0</v>
      </c>
      <c r="L121" t="n">
        <v>0</v>
      </c>
      <c r="M121" t="n">
        <v>0</v>
      </c>
      <c r="N121" t="n">
        <v>0</v>
      </c>
      <c r="O121" t="n">
        <v>0</v>
      </c>
      <c r="P121" t="n">
        <v>0</v>
      </c>
      <c r="Q121" t="n">
        <v>0</v>
      </c>
      <c r="R121" s="2" t="inlineStr"/>
    </row>
    <row r="122" ht="15" customHeight="1">
      <c r="A122" t="inlineStr">
        <is>
          <t>A 47087-2023</t>
        </is>
      </c>
      <c r="B122" s="1" t="n">
        <v>45196</v>
      </c>
      <c r="C122" s="1" t="n">
        <v>45970</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4642-2024</t>
        </is>
      </c>
      <c r="B123" s="1" t="n">
        <v>45328.43502314815</v>
      </c>
      <c r="C123" s="1" t="n">
        <v>45970</v>
      </c>
      <c r="D123" t="inlineStr">
        <is>
          <t>VÄSTRA GÖTALANDS LÄN</t>
        </is>
      </c>
      <c r="E123" t="inlineStr">
        <is>
          <t>ALE</t>
        </is>
      </c>
      <c r="G123" t="n">
        <v>7.1</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45790.48229166667</v>
      </c>
      <c r="C124" s="1" t="n">
        <v>45970</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4971-2024</t>
        </is>
      </c>
      <c r="B125" s="1" t="n">
        <v>45329</v>
      </c>
      <c r="C125" s="1" t="n">
        <v>45970</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14731-2022</t>
        </is>
      </c>
      <c r="B126" s="1" t="n">
        <v>44656</v>
      </c>
      <c r="C126" s="1" t="n">
        <v>45970</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37461-2024</t>
        </is>
      </c>
      <c r="B127" s="1" t="n">
        <v>45540.72516203704</v>
      </c>
      <c r="C127" s="1" t="n">
        <v>45970</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44585.72818287037</v>
      </c>
      <c r="C128" s="1" t="n">
        <v>45970</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50189-2025</t>
        </is>
      </c>
      <c r="B129" s="1" t="n">
        <v>45943.63476851852</v>
      </c>
      <c r="C129" s="1" t="n">
        <v>45970</v>
      </c>
      <c r="D129" t="inlineStr">
        <is>
          <t>VÄSTRA GÖTALANDS LÄN</t>
        </is>
      </c>
      <c r="E129" t="inlineStr">
        <is>
          <t>ALE</t>
        </is>
      </c>
      <c r="G129" t="n">
        <v>3</v>
      </c>
      <c r="H129" t="n">
        <v>0</v>
      </c>
      <c r="I129" t="n">
        <v>0</v>
      </c>
      <c r="J129" t="n">
        <v>0</v>
      </c>
      <c r="K129" t="n">
        <v>0</v>
      </c>
      <c r="L129" t="n">
        <v>0</v>
      </c>
      <c r="M129" t="n">
        <v>0</v>
      </c>
      <c r="N129" t="n">
        <v>0</v>
      </c>
      <c r="O129" t="n">
        <v>0</v>
      </c>
      <c r="P129" t="n">
        <v>0</v>
      </c>
      <c r="Q129" t="n">
        <v>0</v>
      </c>
      <c r="R129" s="2" t="inlineStr"/>
    </row>
    <row r="130" ht="15" customHeight="1">
      <c r="A130" t="inlineStr">
        <is>
          <t>A 66551-2020</t>
        </is>
      </c>
      <c r="B130" s="1" t="n">
        <v>44179</v>
      </c>
      <c r="C130" s="1" t="n">
        <v>45970</v>
      </c>
      <c r="D130" t="inlineStr">
        <is>
          <t>VÄSTRA GÖTALANDS LÄN</t>
        </is>
      </c>
      <c r="E130" t="inlineStr">
        <is>
          <t>ALE</t>
        </is>
      </c>
      <c r="G130" t="n">
        <v>4.5</v>
      </c>
      <c r="H130" t="n">
        <v>0</v>
      </c>
      <c r="I130" t="n">
        <v>0</v>
      </c>
      <c r="J130" t="n">
        <v>0</v>
      </c>
      <c r="K130" t="n">
        <v>0</v>
      </c>
      <c r="L130" t="n">
        <v>0</v>
      </c>
      <c r="M130" t="n">
        <v>0</v>
      </c>
      <c r="N130" t="n">
        <v>0</v>
      </c>
      <c r="O130" t="n">
        <v>0</v>
      </c>
      <c r="P130" t="n">
        <v>0</v>
      </c>
      <c r="Q130" t="n">
        <v>0</v>
      </c>
      <c r="R130" s="2" t="inlineStr"/>
    </row>
    <row r="131" ht="15" customHeight="1">
      <c r="A131" t="inlineStr">
        <is>
          <t>A 33237-2024</t>
        </is>
      </c>
      <c r="B131" s="1" t="n">
        <v>45518.59173611111</v>
      </c>
      <c r="C131" s="1" t="n">
        <v>45970</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44429-2023</t>
        </is>
      </c>
      <c r="B132" s="1" t="n">
        <v>45189.35101851852</v>
      </c>
      <c r="C132" s="1" t="n">
        <v>45970</v>
      </c>
      <c r="D132" t="inlineStr">
        <is>
          <t>VÄSTRA GÖTALANDS LÄN</t>
        </is>
      </c>
      <c r="E132" t="inlineStr">
        <is>
          <t>ALE</t>
        </is>
      </c>
      <c r="G132" t="n">
        <v>0.1</v>
      </c>
      <c r="H132" t="n">
        <v>0</v>
      </c>
      <c r="I132" t="n">
        <v>0</v>
      </c>
      <c r="J132" t="n">
        <v>0</v>
      </c>
      <c r="K132" t="n">
        <v>0</v>
      </c>
      <c r="L132" t="n">
        <v>0</v>
      </c>
      <c r="M132" t="n">
        <v>0</v>
      </c>
      <c r="N132" t="n">
        <v>0</v>
      </c>
      <c r="O132" t="n">
        <v>0</v>
      </c>
      <c r="P132" t="n">
        <v>0</v>
      </c>
      <c r="Q132" t="n">
        <v>0</v>
      </c>
      <c r="R132" s="2" t="inlineStr"/>
    </row>
    <row r="133" ht="15" customHeight="1">
      <c r="A133" t="inlineStr">
        <is>
          <t>A 7892-2024</t>
        </is>
      </c>
      <c r="B133" s="1" t="n">
        <v>45350.40921296296</v>
      </c>
      <c r="C133" s="1" t="n">
        <v>45970</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51164-2024</t>
        </is>
      </c>
      <c r="B134" s="1" t="n">
        <v>45603.5830787037</v>
      </c>
      <c r="C134" s="1" t="n">
        <v>45970</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4444-2024</t>
        </is>
      </c>
      <c r="B135" s="1" t="n">
        <v>45327</v>
      </c>
      <c r="C135" s="1" t="n">
        <v>45970</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25849-2025</t>
        </is>
      </c>
      <c r="B136" s="1" t="n">
        <v>45804</v>
      </c>
      <c r="C136" s="1" t="n">
        <v>45970</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25848-2025</t>
        </is>
      </c>
      <c r="B137" s="1" t="n">
        <v>45804</v>
      </c>
      <c r="C137" s="1" t="n">
        <v>45970</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25840-2025</t>
        </is>
      </c>
      <c r="B138" s="1" t="n">
        <v>45804</v>
      </c>
      <c r="C138" s="1" t="n">
        <v>45970</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72801-2021</t>
        </is>
      </c>
      <c r="B139" s="1" t="n">
        <v>44546</v>
      </c>
      <c r="C139" s="1" t="n">
        <v>45970</v>
      </c>
      <c r="D139" t="inlineStr">
        <is>
          <t>VÄSTRA GÖTALANDS LÄN</t>
        </is>
      </c>
      <c r="E139" t="inlineStr">
        <is>
          <t>ALE</t>
        </is>
      </c>
      <c r="F139" t="inlineStr">
        <is>
          <t>Naturvårdsverket</t>
        </is>
      </c>
      <c r="G139" t="n">
        <v>1.4</v>
      </c>
      <c r="H139" t="n">
        <v>0</v>
      </c>
      <c r="I139" t="n">
        <v>0</v>
      </c>
      <c r="J139" t="n">
        <v>0</v>
      </c>
      <c r="K139" t="n">
        <v>0</v>
      </c>
      <c r="L139" t="n">
        <v>0</v>
      </c>
      <c r="M139" t="n">
        <v>0</v>
      </c>
      <c r="N139" t="n">
        <v>0</v>
      </c>
      <c r="O139" t="n">
        <v>0</v>
      </c>
      <c r="P139" t="n">
        <v>0</v>
      </c>
      <c r="Q139" t="n">
        <v>0</v>
      </c>
      <c r="R139" s="2" t="inlineStr"/>
    </row>
    <row r="140" ht="15" customHeight="1">
      <c r="A140" t="inlineStr">
        <is>
          <t>A 50973-2025</t>
        </is>
      </c>
      <c r="B140" s="1" t="n">
        <v>45947.31263888889</v>
      </c>
      <c r="C140" s="1" t="n">
        <v>45970</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13426-2025</t>
        </is>
      </c>
      <c r="B141" s="1" t="n">
        <v>45736.32780092592</v>
      </c>
      <c r="C141" s="1" t="n">
        <v>45970</v>
      </c>
      <c r="D141" t="inlineStr">
        <is>
          <t>VÄSTRA GÖTALANDS LÄN</t>
        </is>
      </c>
      <c r="E141" t="inlineStr">
        <is>
          <t>ALE</t>
        </is>
      </c>
      <c r="G141" t="n">
        <v>1.5</v>
      </c>
      <c r="H141" t="n">
        <v>0</v>
      </c>
      <c r="I141" t="n">
        <v>0</v>
      </c>
      <c r="J141" t="n">
        <v>0</v>
      </c>
      <c r="K141" t="n">
        <v>0</v>
      </c>
      <c r="L141" t="n">
        <v>0</v>
      </c>
      <c r="M141" t="n">
        <v>0</v>
      </c>
      <c r="N141" t="n">
        <v>0</v>
      </c>
      <c r="O141" t="n">
        <v>0</v>
      </c>
      <c r="P141" t="n">
        <v>0</v>
      </c>
      <c r="Q141" t="n">
        <v>0</v>
      </c>
      <c r="R141" s="2" t="inlineStr"/>
    </row>
    <row r="142" ht="15" customHeight="1">
      <c r="A142" t="inlineStr">
        <is>
          <t>A 51976-2025</t>
        </is>
      </c>
      <c r="B142" s="1" t="n">
        <v>45952.56412037037</v>
      </c>
      <c r="C142" s="1" t="n">
        <v>45970</v>
      </c>
      <c r="D142" t="inlineStr">
        <is>
          <t>VÄSTRA GÖTALANDS LÄN</t>
        </is>
      </c>
      <c r="E142" t="inlineStr">
        <is>
          <t>ALE</t>
        </is>
      </c>
      <c r="G142" t="n">
        <v>5.2</v>
      </c>
      <c r="H142" t="n">
        <v>0</v>
      </c>
      <c r="I142" t="n">
        <v>0</v>
      </c>
      <c r="J142" t="n">
        <v>0</v>
      </c>
      <c r="K142" t="n">
        <v>0</v>
      </c>
      <c r="L142" t="n">
        <v>0</v>
      </c>
      <c r="M142" t="n">
        <v>0</v>
      </c>
      <c r="N142" t="n">
        <v>0</v>
      </c>
      <c r="O142" t="n">
        <v>0</v>
      </c>
      <c r="P142" t="n">
        <v>0</v>
      </c>
      <c r="Q142" t="n">
        <v>0</v>
      </c>
      <c r="R142" s="2" t="inlineStr"/>
    </row>
    <row r="143" ht="15" customHeight="1">
      <c r="A143" t="inlineStr">
        <is>
          <t>A 52391-2025</t>
        </is>
      </c>
      <c r="B143" s="1" t="n">
        <v>45954.34305555555</v>
      </c>
      <c r="C143" s="1" t="n">
        <v>45970</v>
      </c>
      <c r="D143" t="inlineStr">
        <is>
          <t>VÄSTRA GÖTALANDS LÄN</t>
        </is>
      </c>
      <c r="E143" t="inlineStr">
        <is>
          <t>ALE</t>
        </is>
      </c>
      <c r="G143" t="n">
        <v>10.6</v>
      </c>
      <c r="H143" t="n">
        <v>0</v>
      </c>
      <c r="I143" t="n">
        <v>0</v>
      </c>
      <c r="J143" t="n">
        <v>0</v>
      </c>
      <c r="K143" t="n">
        <v>0</v>
      </c>
      <c r="L143" t="n">
        <v>0</v>
      </c>
      <c r="M143" t="n">
        <v>0</v>
      </c>
      <c r="N143" t="n">
        <v>0</v>
      </c>
      <c r="O143" t="n">
        <v>0</v>
      </c>
      <c r="P143" t="n">
        <v>0</v>
      </c>
      <c r="Q143" t="n">
        <v>0</v>
      </c>
      <c r="R143" s="2" t="inlineStr"/>
    </row>
    <row r="144" ht="15" customHeight="1">
      <c r="A144" t="inlineStr">
        <is>
          <t>A 8659-2025</t>
        </is>
      </c>
      <c r="B144" s="1" t="n">
        <v>45712</v>
      </c>
      <c r="C144" s="1" t="n">
        <v>45970</v>
      </c>
      <c r="D144" t="inlineStr">
        <is>
          <t>VÄSTRA GÖTALANDS LÄN</t>
        </is>
      </c>
      <c r="E144" t="inlineStr">
        <is>
          <t>ALE</t>
        </is>
      </c>
      <c r="G144" t="n">
        <v>5.7</v>
      </c>
      <c r="H144" t="n">
        <v>0</v>
      </c>
      <c r="I144" t="n">
        <v>0</v>
      </c>
      <c r="J144" t="n">
        <v>0</v>
      </c>
      <c r="K144" t="n">
        <v>0</v>
      </c>
      <c r="L144" t="n">
        <v>0</v>
      </c>
      <c r="M144" t="n">
        <v>0</v>
      </c>
      <c r="N144" t="n">
        <v>0</v>
      </c>
      <c r="O144" t="n">
        <v>0</v>
      </c>
      <c r="P144" t="n">
        <v>0</v>
      </c>
      <c r="Q144" t="n">
        <v>0</v>
      </c>
      <c r="R144" s="2" t="inlineStr"/>
    </row>
    <row r="145" ht="15" customHeight="1">
      <c r="A145" t="inlineStr">
        <is>
          <t>A 5344-2024</t>
        </is>
      </c>
      <c r="B145" s="1" t="n">
        <v>45331</v>
      </c>
      <c r="C145" s="1" t="n">
        <v>45970</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8956-2025</t>
        </is>
      </c>
      <c r="B146" s="1" t="n">
        <v>45713.46825231481</v>
      </c>
      <c r="C146" s="1" t="n">
        <v>45970</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18637-2023</t>
        </is>
      </c>
      <c r="B147" s="1" t="n">
        <v>45043</v>
      </c>
      <c r="C147" s="1" t="n">
        <v>45970</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59933-2023</t>
        </is>
      </c>
      <c r="B148" s="1" t="n">
        <v>45257</v>
      </c>
      <c r="C148" s="1" t="n">
        <v>45970</v>
      </c>
      <c r="D148" t="inlineStr">
        <is>
          <t>VÄSTRA GÖTALANDS LÄN</t>
        </is>
      </c>
      <c r="E148" t="inlineStr">
        <is>
          <t>ALE</t>
        </is>
      </c>
      <c r="G148" t="n">
        <v>2.7</v>
      </c>
      <c r="H148" t="n">
        <v>0</v>
      </c>
      <c r="I148" t="n">
        <v>0</v>
      </c>
      <c r="J148" t="n">
        <v>0</v>
      </c>
      <c r="K148" t="n">
        <v>0</v>
      </c>
      <c r="L148" t="n">
        <v>0</v>
      </c>
      <c r="M148" t="n">
        <v>0</v>
      </c>
      <c r="N148" t="n">
        <v>0</v>
      </c>
      <c r="O148" t="n">
        <v>0</v>
      </c>
      <c r="P148" t="n">
        <v>0</v>
      </c>
      <c r="Q148" t="n">
        <v>0</v>
      </c>
      <c r="R148" s="2" t="inlineStr"/>
    </row>
    <row r="149" ht="15" customHeight="1">
      <c r="A149" t="inlineStr">
        <is>
          <t>A 52423-2025</t>
        </is>
      </c>
      <c r="B149" s="1" t="n">
        <v>45954.37650462963</v>
      </c>
      <c r="C149" s="1" t="n">
        <v>45970</v>
      </c>
      <c r="D149" t="inlineStr">
        <is>
          <t>VÄSTRA GÖTALANDS LÄN</t>
        </is>
      </c>
      <c r="E149" t="inlineStr">
        <is>
          <t>ALE</t>
        </is>
      </c>
      <c r="G149" t="n">
        <v>4.1</v>
      </c>
      <c r="H149" t="n">
        <v>0</v>
      </c>
      <c r="I149" t="n">
        <v>0</v>
      </c>
      <c r="J149" t="n">
        <v>0</v>
      </c>
      <c r="K149" t="n">
        <v>0</v>
      </c>
      <c r="L149" t="n">
        <v>0</v>
      </c>
      <c r="M149" t="n">
        <v>0</v>
      </c>
      <c r="N149" t="n">
        <v>0</v>
      </c>
      <c r="O149" t="n">
        <v>0</v>
      </c>
      <c r="P149" t="n">
        <v>0</v>
      </c>
      <c r="Q149" t="n">
        <v>0</v>
      </c>
      <c r="R149" s="2" t="inlineStr"/>
    </row>
    <row r="150" ht="15" customHeight="1">
      <c r="A150" t="inlineStr">
        <is>
          <t>A 29373-2025</t>
        </is>
      </c>
      <c r="B150" s="1" t="n">
        <v>45824.579375</v>
      </c>
      <c r="C150" s="1" t="n">
        <v>45970</v>
      </c>
      <c r="D150" t="inlineStr">
        <is>
          <t>VÄSTRA GÖTALANDS LÄN</t>
        </is>
      </c>
      <c r="E150" t="inlineStr">
        <is>
          <t>ALE</t>
        </is>
      </c>
      <c r="G150" t="n">
        <v>4.6</v>
      </c>
      <c r="H150" t="n">
        <v>0</v>
      </c>
      <c r="I150" t="n">
        <v>0</v>
      </c>
      <c r="J150" t="n">
        <v>0</v>
      </c>
      <c r="K150" t="n">
        <v>0</v>
      </c>
      <c r="L150" t="n">
        <v>0</v>
      </c>
      <c r="M150" t="n">
        <v>0</v>
      </c>
      <c r="N150" t="n">
        <v>0</v>
      </c>
      <c r="O150" t="n">
        <v>0</v>
      </c>
      <c r="P150" t="n">
        <v>0</v>
      </c>
      <c r="Q150" t="n">
        <v>0</v>
      </c>
      <c r="R150" s="2" t="inlineStr"/>
    </row>
    <row r="151" ht="15" customHeight="1">
      <c r="A151" t="inlineStr">
        <is>
          <t>A 13382-2025</t>
        </is>
      </c>
      <c r="B151" s="1" t="n">
        <v>45735.67928240741</v>
      </c>
      <c r="C151" s="1" t="n">
        <v>45970</v>
      </c>
      <c r="D151" t="inlineStr">
        <is>
          <t>VÄSTRA GÖTALANDS LÄN</t>
        </is>
      </c>
      <c r="E151" t="inlineStr">
        <is>
          <t>ALE</t>
        </is>
      </c>
      <c r="G151" t="n">
        <v>0.9</v>
      </c>
      <c r="H151" t="n">
        <v>0</v>
      </c>
      <c r="I151" t="n">
        <v>0</v>
      </c>
      <c r="J151" t="n">
        <v>0</v>
      </c>
      <c r="K151" t="n">
        <v>0</v>
      </c>
      <c r="L151" t="n">
        <v>0</v>
      </c>
      <c r="M151" t="n">
        <v>0</v>
      </c>
      <c r="N151" t="n">
        <v>0</v>
      </c>
      <c r="O151" t="n">
        <v>0</v>
      </c>
      <c r="P151" t="n">
        <v>0</v>
      </c>
      <c r="Q151" t="n">
        <v>0</v>
      </c>
      <c r="R151" s="2" t="inlineStr"/>
    </row>
    <row r="152" ht="15" customHeight="1">
      <c r="A152" t="inlineStr">
        <is>
          <t>A 13903-2025</t>
        </is>
      </c>
      <c r="B152" s="1" t="n">
        <v>45737.63481481482</v>
      </c>
      <c r="C152" s="1" t="n">
        <v>45970</v>
      </c>
      <c r="D152" t="inlineStr">
        <is>
          <t>VÄSTRA GÖTALANDS LÄN</t>
        </is>
      </c>
      <c r="E152" t="inlineStr">
        <is>
          <t>ALE</t>
        </is>
      </c>
      <c r="G152" t="n">
        <v>0.5</v>
      </c>
      <c r="H152" t="n">
        <v>0</v>
      </c>
      <c r="I152" t="n">
        <v>0</v>
      </c>
      <c r="J152" t="n">
        <v>0</v>
      </c>
      <c r="K152" t="n">
        <v>0</v>
      </c>
      <c r="L152" t="n">
        <v>0</v>
      </c>
      <c r="M152" t="n">
        <v>0</v>
      </c>
      <c r="N152" t="n">
        <v>0</v>
      </c>
      <c r="O152" t="n">
        <v>0</v>
      </c>
      <c r="P152" t="n">
        <v>0</v>
      </c>
      <c r="Q152" t="n">
        <v>0</v>
      </c>
      <c r="R152" s="2" t="inlineStr"/>
    </row>
    <row r="153" ht="15" customHeight="1">
      <c r="A153" t="inlineStr">
        <is>
          <t>A 31407-2025</t>
        </is>
      </c>
      <c r="B153" s="1" t="n">
        <v>45833</v>
      </c>
      <c r="C153" s="1" t="n">
        <v>45970</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31409-2025</t>
        </is>
      </c>
      <c r="B154" s="1" t="n">
        <v>45833</v>
      </c>
      <c r="C154" s="1" t="n">
        <v>45970</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31533-2025</t>
        </is>
      </c>
      <c r="B155" s="1" t="n">
        <v>45833</v>
      </c>
      <c r="C155" s="1" t="n">
        <v>45970</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31488-2025</t>
        </is>
      </c>
      <c r="B156" s="1" t="n">
        <v>45833</v>
      </c>
      <c r="C156" s="1" t="n">
        <v>45970</v>
      </c>
      <c r="D156" t="inlineStr">
        <is>
          <t>VÄSTRA GÖTALANDS LÄN</t>
        </is>
      </c>
      <c r="E156" t="inlineStr">
        <is>
          <t>ALE</t>
        </is>
      </c>
      <c r="G156" t="n">
        <v>1.8</v>
      </c>
      <c r="H156" t="n">
        <v>0</v>
      </c>
      <c r="I156" t="n">
        <v>0</v>
      </c>
      <c r="J156" t="n">
        <v>0</v>
      </c>
      <c r="K156" t="n">
        <v>0</v>
      </c>
      <c r="L156" t="n">
        <v>0</v>
      </c>
      <c r="M156" t="n">
        <v>0</v>
      </c>
      <c r="N156" t="n">
        <v>0</v>
      </c>
      <c r="O156" t="n">
        <v>0</v>
      </c>
      <c r="P156" t="n">
        <v>0</v>
      </c>
      <c r="Q156" t="n">
        <v>0</v>
      </c>
      <c r="R156" s="2" t="inlineStr"/>
    </row>
    <row r="157" ht="15" customHeight="1">
      <c r="A157" t="inlineStr">
        <is>
          <t>A 1822-2024</t>
        </is>
      </c>
      <c r="B157" s="1" t="n">
        <v>45307.6205787037</v>
      </c>
      <c r="C157" s="1" t="n">
        <v>45970</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15241-2025</t>
        </is>
      </c>
      <c r="B158" s="1" t="n">
        <v>45744.61255787037</v>
      </c>
      <c r="C158" s="1" t="n">
        <v>45970</v>
      </c>
      <c r="D158" t="inlineStr">
        <is>
          <t>VÄSTRA GÖTALANDS LÄN</t>
        </is>
      </c>
      <c r="E158" t="inlineStr">
        <is>
          <t>ALE</t>
        </is>
      </c>
      <c r="G158" t="n">
        <v>2.2</v>
      </c>
      <c r="H158" t="n">
        <v>0</v>
      </c>
      <c r="I158" t="n">
        <v>0</v>
      </c>
      <c r="J158" t="n">
        <v>0</v>
      </c>
      <c r="K158" t="n">
        <v>0</v>
      </c>
      <c r="L158" t="n">
        <v>0</v>
      </c>
      <c r="M158" t="n">
        <v>0</v>
      </c>
      <c r="N158" t="n">
        <v>0</v>
      </c>
      <c r="O158" t="n">
        <v>0</v>
      </c>
      <c r="P158" t="n">
        <v>0</v>
      </c>
      <c r="Q158" t="n">
        <v>0</v>
      </c>
      <c r="R158" s="2" t="inlineStr"/>
    </row>
    <row r="159" ht="15" customHeight="1">
      <c r="A159" t="inlineStr">
        <is>
          <t>A 6947-2024</t>
        </is>
      </c>
      <c r="B159" s="1" t="n">
        <v>45343</v>
      </c>
      <c r="C159" s="1" t="n">
        <v>45970</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34153-2024</t>
        </is>
      </c>
      <c r="B160" s="1" t="n">
        <v>45524.38400462963</v>
      </c>
      <c r="C160" s="1" t="n">
        <v>45970</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46226-2025</t>
        </is>
      </c>
      <c r="B161" s="1" t="n">
        <v>45924</v>
      </c>
      <c r="C161" s="1" t="n">
        <v>45970</v>
      </c>
      <c r="D161" t="inlineStr">
        <is>
          <t>VÄSTRA GÖTALANDS LÄN</t>
        </is>
      </c>
      <c r="E161" t="inlineStr">
        <is>
          <t>ALE</t>
        </is>
      </c>
      <c r="G161" t="n">
        <v>2.3</v>
      </c>
      <c r="H161" t="n">
        <v>0</v>
      </c>
      <c r="I161" t="n">
        <v>0</v>
      </c>
      <c r="J161" t="n">
        <v>0</v>
      </c>
      <c r="K161" t="n">
        <v>0</v>
      </c>
      <c r="L161" t="n">
        <v>0</v>
      </c>
      <c r="M161" t="n">
        <v>0</v>
      </c>
      <c r="N161" t="n">
        <v>0</v>
      </c>
      <c r="O161" t="n">
        <v>0</v>
      </c>
      <c r="P161" t="n">
        <v>0</v>
      </c>
      <c r="Q161" t="n">
        <v>0</v>
      </c>
      <c r="R161" s="2" t="inlineStr"/>
    </row>
    <row r="162" ht="15" customHeight="1">
      <c r="A162" t="inlineStr">
        <is>
          <t>A 41309-2024</t>
        </is>
      </c>
      <c r="B162" s="1" t="n">
        <v>45559</v>
      </c>
      <c r="C162" s="1" t="n">
        <v>45970</v>
      </c>
      <c r="D162" t="inlineStr">
        <is>
          <t>VÄSTRA GÖTALANDS LÄN</t>
        </is>
      </c>
      <c r="E162" t="inlineStr">
        <is>
          <t>ALE</t>
        </is>
      </c>
      <c r="G162" t="n">
        <v>8.4</v>
      </c>
      <c r="H162" t="n">
        <v>0</v>
      </c>
      <c r="I162" t="n">
        <v>0</v>
      </c>
      <c r="J162" t="n">
        <v>0</v>
      </c>
      <c r="K162" t="n">
        <v>0</v>
      </c>
      <c r="L162" t="n">
        <v>0</v>
      </c>
      <c r="M162" t="n">
        <v>0</v>
      </c>
      <c r="N162" t="n">
        <v>0</v>
      </c>
      <c r="O162" t="n">
        <v>0</v>
      </c>
      <c r="P162" t="n">
        <v>0</v>
      </c>
      <c r="Q162" t="n">
        <v>0</v>
      </c>
      <c r="R162" s="2" t="inlineStr"/>
    </row>
    <row r="163" ht="15" customHeight="1">
      <c r="A163" t="inlineStr">
        <is>
          <t>A 15499-2022</t>
        </is>
      </c>
      <c r="B163" s="1" t="n">
        <v>44662</v>
      </c>
      <c r="C163" s="1" t="n">
        <v>45970</v>
      </c>
      <c r="D163" t="inlineStr">
        <is>
          <t>VÄSTRA GÖTALANDS LÄN</t>
        </is>
      </c>
      <c r="E163" t="inlineStr">
        <is>
          <t>ALE</t>
        </is>
      </c>
      <c r="G163" t="n">
        <v>4.7</v>
      </c>
      <c r="H163" t="n">
        <v>0</v>
      </c>
      <c r="I163" t="n">
        <v>0</v>
      </c>
      <c r="J163" t="n">
        <v>0</v>
      </c>
      <c r="K163" t="n">
        <v>0</v>
      </c>
      <c r="L163" t="n">
        <v>0</v>
      </c>
      <c r="M163" t="n">
        <v>0</v>
      </c>
      <c r="N163" t="n">
        <v>0</v>
      </c>
      <c r="O163" t="n">
        <v>0</v>
      </c>
      <c r="P163" t="n">
        <v>0</v>
      </c>
      <c r="Q163" t="n">
        <v>0</v>
      </c>
      <c r="R163" s="2" t="inlineStr"/>
    </row>
    <row r="164" ht="15" customHeight="1">
      <c r="A164" t="inlineStr">
        <is>
          <t>A 3413-2023</t>
        </is>
      </c>
      <c r="B164" s="1" t="n">
        <v>44949</v>
      </c>
      <c r="C164" s="1" t="n">
        <v>45970</v>
      </c>
      <c r="D164" t="inlineStr">
        <is>
          <t>VÄSTRA GÖTALANDS LÄN</t>
        </is>
      </c>
      <c r="E164" t="inlineStr">
        <is>
          <t>ALE</t>
        </is>
      </c>
      <c r="G164" t="n">
        <v>2.3</v>
      </c>
      <c r="H164" t="n">
        <v>0</v>
      </c>
      <c r="I164" t="n">
        <v>0</v>
      </c>
      <c r="J164" t="n">
        <v>0</v>
      </c>
      <c r="K164" t="n">
        <v>0</v>
      </c>
      <c r="L164" t="n">
        <v>0</v>
      </c>
      <c r="M164" t="n">
        <v>0</v>
      </c>
      <c r="N164" t="n">
        <v>0</v>
      </c>
      <c r="O164" t="n">
        <v>0</v>
      </c>
      <c r="P164" t="n">
        <v>0</v>
      </c>
      <c r="Q164" t="n">
        <v>0</v>
      </c>
      <c r="R164" s="2" t="inlineStr"/>
    </row>
    <row r="165" ht="15" customHeight="1">
      <c r="A165" t="inlineStr">
        <is>
          <t>A 27314-2021</t>
        </is>
      </c>
      <c r="B165" s="1" t="n">
        <v>44351.36537037037</v>
      </c>
      <c r="C165" s="1" t="n">
        <v>45970</v>
      </c>
      <c r="D165" t="inlineStr">
        <is>
          <t>VÄSTRA GÖTALANDS LÄN</t>
        </is>
      </c>
      <c r="E165" t="inlineStr">
        <is>
          <t>ALE</t>
        </is>
      </c>
      <c r="G165" t="n">
        <v>11.3</v>
      </c>
      <c r="H165" t="n">
        <v>0</v>
      </c>
      <c r="I165" t="n">
        <v>0</v>
      </c>
      <c r="J165" t="n">
        <v>0</v>
      </c>
      <c r="K165" t="n">
        <v>0</v>
      </c>
      <c r="L165" t="n">
        <v>0</v>
      </c>
      <c r="M165" t="n">
        <v>0</v>
      </c>
      <c r="N165" t="n">
        <v>0</v>
      </c>
      <c r="O165" t="n">
        <v>0</v>
      </c>
      <c r="P165" t="n">
        <v>0</v>
      </c>
      <c r="Q165" t="n">
        <v>0</v>
      </c>
      <c r="R165" s="2" t="inlineStr"/>
    </row>
    <row r="166">
      <c r="A166" t="inlineStr">
        <is>
          <t>A 46227-2025</t>
        </is>
      </c>
      <c r="B166" s="1" t="n">
        <v>45924.90386574074</v>
      </c>
      <c r="C166" s="1" t="n">
        <v>45970</v>
      </c>
      <c r="D166" t="inlineStr">
        <is>
          <t>VÄSTRA GÖTALANDS LÄN</t>
        </is>
      </c>
      <c r="E166" t="inlineStr">
        <is>
          <t>ALE</t>
        </is>
      </c>
      <c r="G166" t="n">
        <v>0.3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2025-11-09T10:10:27Z</dcterms:created>
  <dcterms:modified xmlns:dcterms="http://purl.org/dc/terms/" xmlns:xsi="http://www.w3.org/2001/XMLSchema-instance" xsi:type="dcterms:W3CDTF">2025-11-09T10:10:28Z</dcterms:modified>
</cp:coreProperties>
</file>