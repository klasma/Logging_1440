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46038</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46038</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46038</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46038</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46038</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46038</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46038</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46038</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46038</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63239-2025</t>
        </is>
      </c>
      <c r="B12" s="1" t="n">
        <v>46010.52755787037</v>
      </c>
      <c r="C12" s="1" t="n">
        <v>46038</v>
      </c>
      <c r="D12" t="inlineStr">
        <is>
          <t>VÄSTRA GÖTALANDS LÄN</t>
        </is>
      </c>
      <c r="E12" t="inlineStr">
        <is>
          <t>ALE</t>
        </is>
      </c>
      <c r="G12" t="n">
        <v>1.4</v>
      </c>
      <c r="H12" t="n">
        <v>4</v>
      </c>
      <c r="I12" t="n">
        <v>4</v>
      </c>
      <c r="J12" t="n">
        <v>3</v>
      </c>
      <c r="K12" t="n">
        <v>0</v>
      </c>
      <c r="L12" t="n">
        <v>0</v>
      </c>
      <c r="M12" t="n">
        <v>0</v>
      </c>
      <c r="N12" t="n">
        <v>0</v>
      </c>
      <c r="O12" t="n">
        <v>3</v>
      </c>
      <c r="P12" t="n">
        <v>0</v>
      </c>
      <c r="Q12" t="n">
        <v>9</v>
      </c>
      <c r="R12" s="2" t="inlineStr">
        <is>
          <t>Brunpudrad nållav
Spillkråka
Talltita
Björksplintborre
Gulnål
Kattfotslav
Stor revmossa
Gröngöling
Tjäder</t>
        </is>
      </c>
      <c r="S12">
        <f>HYPERLINK("https://klasma.github.io/Logging_1440/artfynd/A 63239-2025 artfynd.xlsx", "A 63239-2025")</f>
        <v/>
      </c>
      <c r="T12">
        <f>HYPERLINK("https://klasma.github.io/Logging_1440/kartor/A 63239-2025 karta.png", "A 63239-2025")</f>
        <v/>
      </c>
      <c r="V12">
        <f>HYPERLINK("https://klasma.github.io/Logging_1440/klagomål/A 63239-2025 FSC-klagomål.docx", "A 63239-2025")</f>
        <v/>
      </c>
      <c r="W12">
        <f>HYPERLINK("https://klasma.github.io/Logging_1440/klagomålsmail/A 63239-2025 FSC-klagomål mail.docx", "A 63239-2025")</f>
        <v/>
      </c>
      <c r="X12">
        <f>HYPERLINK("https://klasma.github.io/Logging_1440/tillsyn/A 63239-2025 tillsynsbegäran.docx", "A 63239-2025")</f>
        <v/>
      </c>
      <c r="Y12">
        <f>HYPERLINK("https://klasma.github.io/Logging_1440/tillsynsmail/A 63239-2025 tillsynsbegäran mail.docx", "A 63239-2025")</f>
        <v/>
      </c>
      <c r="Z12">
        <f>HYPERLINK("https://klasma.github.io/Logging_1440/fåglar/A 63239-2025 prioriterade fågelarter.docx", "A 63239-2025")</f>
        <v/>
      </c>
    </row>
    <row r="13" ht="15" customHeight="1">
      <c r="A13" t="inlineStr">
        <is>
          <t>A 43732-2025</t>
        </is>
      </c>
      <c r="B13" s="1" t="n">
        <v>45912.43576388889</v>
      </c>
      <c r="C13" s="1" t="n">
        <v>46038</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46038</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46038</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46038</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46038</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46038</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46038</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46038</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19934-2025</t>
        </is>
      </c>
      <c r="B21" s="1" t="n">
        <v>45771</v>
      </c>
      <c r="C21" s="1" t="n">
        <v>46038</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60293-2025</t>
        </is>
      </c>
      <c r="B22" s="1" t="n">
        <v>45994.65568287037</v>
      </c>
      <c r="C22" s="1" t="n">
        <v>46038</v>
      </c>
      <c r="D22" t="inlineStr">
        <is>
          <t>VÄSTRA GÖTALANDS LÄN</t>
        </is>
      </c>
      <c r="E22" t="inlineStr">
        <is>
          <t>ALE</t>
        </is>
      </c>
      <c r="G22" t="n">
        <v>1.9</v>
      </c>
      <c r="H22" t="n">
        <v>2</v>
      </c>
      <c r="I22" t="n">
        <v>2</v>
      </c>
      <c r="J22" t="n">
        <v>2</v>
      </c>
      <c r="K22" t="n">
        <v>0</v>
      </c>
      <c r="L22" t="n">
        <v>0</v>
      </c>
      <c r="M22" t="n">
        <v>0</v>
      </c>
      <c r="N22" t="n">
        <v>0</v>
      </c>
      <c r="O22" t="n">
        <v>2</v>
      </c>
      <c r="P22" t="n">
        <v>0</v>
      </c>
      <c r="Q22" t="n">
        <v>4</v>
      </c>
      <c r="R22" s="2" t="inlineStr">
        <is>
          <t>Entita
Rödvingetrast
Björksplintborre
Gulnål</t>
        </is>
      </c>
      <c r="S22">
        <f>HYPERLINK("https://klasma.github.io/Logging_1440/artfynd/A 60293-2025 artfynd.xlsx", "A 60293-2025")</f>
        <v/>
      </c>
      <c r="T22">
        <f>HYPERLINK("https://klasma.github.io/Logging_1440/kartor/A 60293-2025 karta.png", "A 60293-2025")</f>
        <v/>
      </c>
      <c r="V22">
        <f>HYPERLINK("https://klasma.github.io/Logging_1440/klagomål/A 60293-2025 FSC-klagomål.docx", "A 60293-2025")</f>
        <v/>
      </c>
      <c r="W22">
        <f>HYPERLINK("https://klasma.github.io/Logging_1440/klagomålsmail/A 60293-2025 FSC-klagomål mail.docx", "A 60293-2025")</f>
        <v/>
      </c>
      <c r="X22">
        <f>HYPERLINK("https://klasma.github.io/Logging_1440/tillsyn/A 60293-2025 tillsynsbegäran.docx", "A 60293-2025")</f>
        <v/>
      </c>
      <c r="Y22">
        <f>HYPERLINK("https://klasma.github.io/Logging_1440/tillsynsmail/A 60293-2025 tillsynsbegäran mail.docx", "A 60293-2025")</f>
        <v/>
      </c>
      <c r="Z22">
        <f>HYPERLINK("https://klasma.github.io/Logging_1440/fåglar/A 60293-2025 prioriterade fågelarter.docx", "A 60293-2025")</f>
        <v/>
      </c>
    </row>
    <row r="23" ht="15" customHeight="1">
      <c r="A23" t="inlineStr">
        <is>
          <t>A 63575-2023</t>
        </is>
      </c>
      <c r="B23" s="1" t="n">
        <v>45275.39715277778</v>
      </c>
      <c r="C23" s="1" t="n">
        <v>46038</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63569-2023</t>
        </is>
      </c>
      <c r="B24" s="1" t="n">
        <v>45275</v>
      </c>
      <c r="C24" s="1" t="n">
        <v>46038</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40931-2025</t>
        </is>
      </c>
      <c r="B25" s="1" t="n">
        <v>45897.64783564815</v>
      </c>
      <c r="C25" s="1" t="n">
        <v>46038</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42660-2024</t>
        </is>
      </c>
      <c r="B26" s="1" t="n">
        <v>45566.33841435185</v>
      </c>
      <c r="C26" s="1" t="n">
        <v>46038</v>
      </c>
      <c r="D26" t="inlineStr">
        <is>
          <t>VÄSTRA GÖTALANDS LÄN</t>
        </is>
      </c>
      <c r="E26" t="inlineStr">
        <is>
          <t>ALE</t>
        </is>
      </c>
      <c r="G26" t="n">
        <v>2.5</v>
      </c>
      <c r="H26" t="n">
        <v>2</v>
      </c>
      <c r="I26" t="n">
        <v>0</v>
      </c>
      <c r="J26" t="n">
        <v>0</v>
      </c>
      <c r="K26" t="n">
        <v>0</v>
      </c>
      <c r="L26" t="n">
        <v>0</v>
      </c>
      <c r="M26" t="n">
        <v>0</v>
      </c>
      <c r="N26" t="n">
        <v>0</v>
      </c>
      <c r="O26" t="n">
        <v>0</v>
      </c>
      <c r="P26" t="n">
        <v>0</v>
      </c>
      <c r="Q26" t="n">
        <v>2</v>
      </c>
      <c r="R26" s="2" t="inlineStr">
        <is>
          <t>Mattlummer
Revlummer</t>
        </is>
      </c>
      <c r="S26">
        <f>HYPERLINK("https://klasma.github.io/Logging_1440/artfynd/A 42660-2024 artfynd.xlsx", "A 42660-2024")</f>
        <v/>
      </c>
      <c r="T26">
        <f>HYPERLINK("https://klasma.github.io/Logging_1440/kartor/A 42660-2024 karta.png", "A 42660-2024")</f>
        <v/>
      </c>
      <c r="V26">
        <f>HYPERLINK("https://klasma.github.io/Logging_1440/klagomål/A 42660-2024 FSC-klagomål.docx", "A 42660-2024")</f>
        <v/>
      </c>
      <c r="W26">
        <f>HYPERLINK("https://klasma.github.io/Logging_1440/klagomålsmail/A 42660-2024 FSC-klagomål mail.docx", "A 42660-2024")</f>
        <v/>
      </c>
      <c r="X26">
        <f>HYPERLINK("https://klasma.github.io/Logging_1440/tillsyn/A 42660-2024 tillsynsbegäran.docx", "A 42660-2024")</f>
        <v/>
      </c>
      <c r="Y26">
        <f>HYPERLINK("https://klasma.github.io/Logging_1440/tillsynsmail/A 42660-2024 tillsynsbegäran mail.docx", "A 42660-2024")</f>
        <v/>
      </c>
    </row>
    <row r="27" ht="15" customHeight="1">
      <c r="A27" t="inlineStr">
        <is>
          <t>A 58954-2022</t>
        </is>
      </c>
      <c r="B27" s="1" t="n">
        <v>44903</v>
      </c>
      <c r="C27" s="1" t="n">
        <v>46038</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8955-2025</t>
        </is>
      </c>
      <c r="B28" s="1" t="n">
        <v>45713.46528935185</v>
      </c>
      <c r="C28" s="1" t="n">
        <v>46038</v>
      </c>
      <c r="D28" t="inlineStr">
        <is>
          <t>VÄSTRA GÖTALANDS LÄN</t>
        </is>
      </c>
      <c r="E28" t="inlineStr">
        <is>
          <t>ALE</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HYPERLINK("https://klasma.github.io/Logging_1440/artfynd/A 8955-2025 artfynd.xlsx", "A 8955-2025")</f>
        <v/>
      </c>
      <c r="T28">
        <f>HYPERLINK("https://klasma.github.io/Logging_1440/kartor/A 8955-2025 karta.png", "A 8955-2025")</f>
        <v/>
      </c>
      <c r="V28">
        <f>HYPERLINK("https://klasma.github.io/Logging_1440/klagomål/A 8955-2025 FSC-klagomål.docx", "A 8955-2025")</f>
        <v/>
      </c>
      <c r="W28">
        <f>HYPERLINK("https://klasma.github.io/Logging_1440/klagomålsmail/A 8955-2025 FSC-klagomål mail.docx", "A 8955-2025")</f>
        <v/>
      </c>
      <c r="X28">
        <f>HYPERLINK("https://klasma.github.io/Logging_1440/tillsyn/A 8955-2025 tillsynsbegäran.docx", "A 8955-2025")</f>
        <v/>
      </c>
      <c r="Y28">
        <f>HYPERLINK("https://klasma.github.io/Logging_1440/tillsynsmail/A 8955-2025 tillsynsbegäran mail.docx", "A 8955-2025")</f>
        <v/>
      </c>
      <c r="Z28">
        <f>HYPERLINK("https://klasma.github.io/Logging_1440/fåglar/A 8955-2025 prioriterade fågelarter.docx", "A 8955-2025")</f>
        <v/>
      </c>
    </row>
    <row r="29" ht="15" customHeight="1">
      <c r="A29" t="inlineStr">
        <is>
          <t>A 1503-2024</t>
        </is>
      </c>
      <c r="B29" s="1" t="n">
        <v>45306.35041666667</v>
      </c>
      <c r="C29" s="1" t="n">
        <v>46038</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2270-2025</t>
        </is>
      </c>
      <c r="B30" s="1" t="n">
        <v>45673.54403935185</v>
      </c>
      <c r="C30" s="1" t="n">
        <v>46038</v>
      </c>
      <c r="D30" t="inlineStr">
        <is>
          <t>VÄSTRA GÖTALANDS LÄN</t>
        </is>
      </c>
      <c r="E30" t="inlineStr">
        <is>
          <t>ALE</t>
        </is>
      </c>
      <c r="G30" t="n">
        <v>4.1</v>
      </c>
      <c r="H30" t="n">
        <v>2</v>
      </c>
      <c r="I30" t="n">
        <v>0</v>
      </c>
      <c r="J30" t="n">
        <v>1</v>
      </c>
      <c r="K30" t="n">
        <v>0</v>
      </c>
      <c r="L30" t="n">
        <v>0</v>
      </c>
      <c r="M30" t="n">
        <v>0</v>
      </c>
      <c r="N30" t="n">
        <v>0</v>
      </c>
      <c r="O30" t="n">
        <v>1</v>
      </c>
      <c r="P30" t="n">
        <v>0</v>
      </c>
      <c r="Q30" t="n">
        <v>2</v>
      </c>
      <c r="R30" s="2" t="inlineStr">
        <is>
          <t>Spillkråka
Revlummer</t>
        </is>
      </c>
      <c r="S30">
        <f>HYPERLINK("https://klasma.github.io/Logging_1440/artfynd/A 2270-2025 artfynd.xlsx", "A 2270-2025")</f>
        <v/>
      </c>
      <c r="T30">
        <f>HYPERLINK("https://klasma.github.io/Logging_1440/kartor/A 2270-2025 karta.png", "A 2270-2025")</f>
        <v/>
      </c>
      <c r="V30">
        <f>HYPERLINK("https://klasma.github.io/Logging_1440/klagomål/A 2270-2025 FSC-klagomål.docx", "A 2270-2025")</f>
        <v/>
      </c>
      <c r="W30">
        <f>HYPERLINK("https://klasma.github.io/Logging_1440/klagomålsmail/A 2270-2025 FSC-klagomål mail.docx", "A 2270-2025")</f>
        <v/>
      </c>
      <c r="X30">
        <f>HYPERLINK("https://klasma.github.io/Logging_1440/tillsyn/A 2270-2025 tillsynsbegäran.docx", "A 2270-2025")</f>
        <v/>
      </c>
      <c r="Y30">
        <f>HYPERLINK("https://klasma.github.io/Logging_1440/tillsynsmail/A 2270-2025 tillsynsbegäran mail.docx", "A 2270-2025")</f>
        <v/>
      </c>
      <c r="Z30">
        <f>HYPERLINK("https://klasma.github.io/Logging_1440/fåglar/A 2270-2025 prioriterade fågelarter.docx", "A 2270-2025")</f>
        <v/>
      </c>
    </row>
    <row r="31" ht="15" customHeight="1">
      <c r="A31" t="inlineStr">
        <is>
          <t>A 13380-2025</t>
        </is>
      </c>
      <c r="B31" s="1" t="n">
        <v>45735.6765162037</v>
      </c>
      <c r="C31" s="1" t="n">
        <v>46038</v>
      </c>
      <c r="D31" t="inlineStr">
        <is>
          <t>VÄSTRA GÖTALANDS LÄN</t>
        </is>
      </c>
      <c r="E31" t="inlineStr">
        <is>
          <t>ALE</t>
        </is>
      </c>
      <c r="G31" t="n">
        <v>1.8</v>
      </c>
      <c r="H31" t="n">
        <v>2</v>
      </c>
      <c r="I31" t="n">
        <v>0</v>
      </c>
      <c r="J31" t="n">
        <v>2</v>
      </c>
      <c r="K31" t="n">
        <v>0</v>
      </c>
      <c r="L31" t="n">
        <v>0</v>
      </c>
      <c r="M31" t="n">
        <v>0</v>
      </c>
      <c r="N31" t="n">
        <v>0</v>
      </c>
      <c r="O31" t="n">
        <v>2</v>
      </c>
      <c r="P31" t="n">
        <v>0</v>
      </c>
      <c r="Q31" t="n">
        <v>2</v>
      </c>
      <c r="R31" s="2" t="inlineStr">
        <is>
          <t>Entita
Spillkråka</t>
        </is>
      </c>
      <c r="S31">
        <f>HYPERLINK("https://klasma.github.io/Logging_1440/artfynd/A 13380-2025 artfynd.xlsx", "A 13380-2025")</f>
        <v/>
      </c>
      <c r="T31">
        <f>HYPERLINK("https://klasma.github.io/Logging_1440/kartor/A 13380-2025 karta.png", "A 13380-2025")</f>
        <v/>
      </c>
      <c r="V31">
        <f>HYPERLINK("https://klasma.github.io/Logging_1440/klagomål/A 13380-2025 FSC-klagomål.docx", "A 13380-2025")</f>
        <v/>
      </c>
      <c r="W31">
        <f>HYPERLINK("https://klasma.github.io/Logging_1440/klagomålsmail/A 13380-2025 FSC-klagomål mail.docx", "A 13380-2025")</f>
        <v/>
      </c>
      <c r="X31">
        <f>HYPERLINK("https://klasma.github.io/Logging_1440/tillsyn/A 13380-2025 tillsynsbegäran.docx", "A 13380-2025")</f>
        <v/>
      </c>
      <c r="Y31">
        <f>HYPERLINK("https://klasma.github.io/Logging_1440/tillsynsmail/A 13380-2025 tillsynsbegäran mail.docx", "A 13380-2025")</f>
        <v/>
      </c>
      <c r="Z31">
        <f>HYPERLINK("https://klasma.github.io/Logging_1440/fåglar/A 13380-2025 prioriterade fågelarter.docx", "A 13380-2025")</f>
        <v/>
      </c>
    </row>
    <row r="32" ht="15" customHeight="1">
      <c r="A32" t="inlineStr">
        <is>
          <t>A 16534-2025</t>
        </is>
      </c>
      <c r="B32" s="1" t="n">
        <v>45751.65315972222</v>
      </c>
      <c r="C32" s="1" t="n">
        <v>46038</v>
      </c>
      <c r="D32" t="inlineStr">
        <is>
          <t>VÄSTRA GÖTALANDS LÄN</t>
        </is>
      </c>
      <c r="E32" t="inlineStr">
        <is>
          <t>ALE</t>
        </is>
      </c>
      <c r="G32" t="n">
        <v>1.5</v>
      </c>
      <c r="H32" t="n">
        <v>1</v>
      </c>
      <c r="I32" t="n">
        <v>1</v>
      </c>
      <c r="J32" t="n">
        <v>1</v>
      </c>
      <c r="K32" t="n">
        <v>0</v>
      </c>
      <c r="L32" t="n">
        <v>0</v>
      </c>
      <c r="M32" t="n">
        <v>0</v>
      </c>
      <c r="N32" t="n">
        <v>0</v>
      </c>
      <c r="O32" t="n">
        <v>1</v>
      </c>
      <c r="P32" t="n">
        <v>0</v>
      </c>
      <c r="Q32" t="n">
        <v>2</v>
      </c>
      <c r="R32" s="2" t="inlineStr">
        <is>
          <t>Entita
Västlig hakmossa</t>
        </is>
      </c>
      <c r="S32">
        <f>HYPERLINK("https://klasma.github.io/Logging_1440/artfynd/A 16534-2025 artfynd.xlsx", "A 16534-2025")</f>
        <v/>
      </c>
      <c r="T32">
        <f>HYPERLINK("https://klasma.github.io/Logging_1440/kartor/A 16534-2025 karta.png", "A 16534-2025")</f>
        <v/>
      </c>
      <c r="V32">
        <f>HYPERLINK("https://klasma.github.io/Logging_1440/klagomål/A 16534-2025 FSC-klagomål.docx", "A 16534-2025")</f>
        <v/>
      </c>
      <c r="W32">
        <f>HYPERLINK("https://klasma.github.io/Logging_1440/klagomålsmail/A 16534-2025 FSC-klagomål mail.docx", "A 16534-2025")</f>
        <v/>
      </c>
      <c r="X32">
        <f>HYPERLINK("https://klasma.github.io/Logging_1440/tillsyn/A 16534-2025 tillsynsbegäran.docx", "A 16534-2025")</f>
        <v/>
      </c>
      <c r="Y32">
        <f>HYPERLINK("https://klasma.github.io/Logging_1440/tillsynsmail/A 16534-2025 tillsynsbegäran mail.docx", "A 16534-2025")</f>
        <v/>
      </c>
      <c r="Z32">
        <f>HYPERLINK("https://klasma.github.io/Logging_1440/fåglar/A 16534-2025 prioriterade fågelarter.docx", "A 16534-2025")</f>
        <v/>
      </c>
    </row>
    <row r="33" ht="15" customHeight="1">
      <c r="A33" t="inlineStr">
        <is>
          <t>A 20586-2023</t>
        </is>
      </c>
      <c r="B33" s="1" t="n">
        <v>45057</v>
      </c>
      <c r="C33" s="1" t="n">
        <v>46038</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20586-2023 artfynd.xlsx", "A 20586-2023")</f>
        <v/>
      </c>
      <c r="T33">
        <f>HYPERLINK("https://klasma.github.io/Logging_1440/kartor/A 20586-2023 karta.png", "A 20586-2023")</f>
        <v/>
      </c>
      <c r="V33">
        <f>HYPERLINK("https://klasma.github.io/Logging_1440/klagomål/A 20586-2023 FSC-klagomål.docx", "A 20586-2023")</f>
        <v/>
      </c>
      <c r="W33">
        <f>HYPERLINK("https://klasma.github.io/Logging_1440/klagomålsmail/A 20586-2023 FSC-klagomål mail.docx", "A 20586-2023")</f>
        <v/>
      </c>
      <c r="X33">
        <f>HYPERLINK("https://klasma.github.io/Logging_1440/tillsyn/A 20586-2023 tillsynsbegäran.docx", "A 20586-2023")</f>
        <v/>
      </c>
      <c r="Y33">
        <f>HYPERLINK("https://klasma.github.io/Logging_1440/tillsynsmail/A 20586-2023 tillsynsbegäran mail.docx", "A 20586-2023")</f>
        <v/>
      </c>
      <c r="Z33">
        <f>HYPERLINK("https://klasma.github.io/Logging_1440/fåglar/A 20586-2023 prioriterade fågelarter.docx", "A 20586-2023")</f>
        <v/>
      </c>
    </row>
    <row r="34" ht="15" customHeight="1">
      <c r="A34" t="inlineStr">
        <is>
          <t>A 380-2025</t>
        </is>
      </c>
      <c r="B34" s="1" t="n">
        <v>45662.43456018518</v>
      </c>
      <c r="C34" s="1" t="n">
        <v>46038</v>
      </c>
      <c r="D34" t="inlineStr">
        <is>
          <t>VÄSTRA GÖTALANDS LÄN</t>
        </is>
      </c>
      <c r="E34" t="inlineStr">
        <is>
          <t>ALE</t>
        </is>
      </c>
      <c r="G34" t="n">
        <v>8.6</v>
      </c>
      <c r="H34" t="n">
        <v>1</v>
      </c>
      <c r="I34" t="n">
        <v>1</v>
      </c>
      <c r="J34" t="n">
        <v>1</v>
      </c>
      <c r="K34" t="n">
        <v>0</v>
      </c>
      <c r="L34" t="n">
        <v>0</v>
      </c>
      <c r="M34" t="n">
        <v>0</v>
      </c>
      <c r="N34" t="n">
        <v>0</v>
      </c>
      <c r="O34" t="n">
        <v>1</v>
      </c>
      <c r="P34" t="n">
        <v>0</v>
      </c>
      <c r="Q34" t="n">
        <v>2</v>
      </c>
      <c r="R34" s="2" t="inlineStr">
        <is>
          <t>Spillkråka
Blåmossa</t>
        </is>
      </c>
      <c r="S34">
        <f>HYPERLINK("https://klasma.github.io/Logging_1440/artfynd/A 380-2025 artfynd.xlsx", "A 380-2025")</f>
        <v/>
      </c>
      <c r="T34">
        <f>HYPERLINK("https://klasma.github.io/Logging_1440/kartor/A 380-2025 karta.png", "A 380-2025")</f>
        <v/>
      </c>
      <c r="V34">
        <f>HYPERLINK("https://klasma.github.io/Logging_1440/klagomål/A 380-2025 FSC-klagomål.docx", "A 380-2025")</f>
        <v/>
      </c>
      <c r="W34">
        <f>HYPERLINK("https://klasma.github.io/Logging_1440/klagomålsmail/A 380-2025 FSC-klagomål mail.docx", "A 380-2025")</f>
        <v/>
      </c>
      <c r="X34">
        <f>HYPERLINK("https://klasma.github.io/Logging_1440/tillsyn/A 380-2025 tillsynsbegäran.docx", "A 380-2025")</f>
        <v/>
      </c>
      <c r="Y34">
        <f>HYPERLINK("https://klasma.github.io/Logging_1440/tillsynsmail/A 380-2025 tillsynsbegäran mail.docx", "A 380-2025")</f>
        <v/>
      </c>
      <c r="Z34">
        <f>HYPERLINK("https://klasma.github.io/Logging_1440/fåglar/A 380-2025 prioriterade fågelarter.docx", "A 380-2025")</f>
        <v/>
      </c>
    </row>
    <row r="35" ht="15" customHeight="1">
      <c r="A35" t="inlineStr">
        <is>
          <t>A 12084-2025</t>
        </is>
      </c>
      <c r="B35" s="1" t="n">
        <v>45728.95387731482</v>
      </c>
      <c r="C35" s="1" t="n">
        <v>46038</v>
      </c>
      <c r="D35" t="inlineStr">
        <is>
          <t>VÄSTRA GÖTALANDS LÄN</t>
        </is>
      </c>
      <c r="E35" t="inlineStr">
        <is>
          <t>ALE</t>
        </is>
      </c>
      <c r="G35" t="n">
        <v>2.4</v>
      </c>
      <c r="H35" t="n">
        <v>1</v>
      </c>
      <c r="I35" t="n">
        <v>0</v>
      </c>
      <c r="J35" t="n">
        <v>1</v>
      </c>
      <c r="K35" t="n">
        <v>0</v>
      </c>
      <c r="L35" t="n">
        <v>0</v>
      </c>
      <c r="M35" t="n">
        <v>0</v>
      </c>
      <c r="N35" t="n">
        <v>0</v>
      </c>
      <c r="O35" t="n">
        <v>1</v>
      </c>
      <c r="P35" t="n">
        <v>0</v>
      </c>
      <c r="Q35" t="n">
        <v>1</v>
      </c>
      <c r="R35" s="2" t="inlineStr">
        <is>
          <t>Spillkråka</t>
        </is>
      </c>
      <c r="S35">
        <f>HYPERLINK("https://klasma.github.io/Logging_1440/artfynd/A 12084-2025 artfynd.xlsx", "A 12084-2025")</f>
        <v/>
      </c>
      <c r="T35">
        <f>HYPERLINK("https://klasma.github.io/Logging_1440/kartor/A 12084-2025 karta.png", "A 12084-2025")</f>
        <v/>
      </c>
      <c r="V35">
        <f>HYPERLINK("https://klasma.github.io/Logging_1440/klagomål/A 12084-2025 FSC-klagomål.docx", "A 12084-2025")</f>
        <v/>
      </c>
      <c r="W35">
        <f>HYPERLINK("https://klasma.github.io/Logging_1440/klagomålsmail/A 12084-2025 FSC-klagomål mail.docx", "A 12084-2025")</f>
        <v/>
      </c>
      <c r="X35">
        <f>HYPERLINK("https://klasma.github.io/Logging_1440/tillsyn/A 12084-2025 tillsynsbegäran.docx", "A 12084-2025")</f>
        <v/>
      </c>
      <c r="Y35">
        <f>HYPERLINK("https://klasma.github.io/Logging_1440/tillsynsmail/A 12084-2025 tillsynsbegäran mail.docx", "A 12084-2025")</f>
        <v/>
      </c>
      <c r="Z35">
        <f>HYPERLINK("https://klasma.github.io/Logging_1440/fåglar/A 12084-2025 prioriterade fågelarter.docx", "A 12084-2025")</f>
        <v/>
      </c>
    </row>
    <row r="36" ht="15" customHeight="1">
      <c r="A36" t="inlineStr">
        <is>
          <t>A 26493-2024</t>
        </is>
      </c>
      <c r="B36" s="1" t="n">
        <v>45469</v>
      </c>
      <c r="C36" s="1" t="n">
        <v>46038</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62524-2025</t>
        </is>
      </c>
      <c r="B37" s="1" t="n">
        <v>46007.6247337963</v>
      </c>
      <c r="C37" s="1" t="n">
        <v>46038</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58412-2025</t>
        </is>
      </c>
      <c r="B38" s="1" t="n">
        <v>45985.57564814815</v>
      </c>
      <c r="C38" s="1" t="n">
        <v>46038</v>
      </c>
      <c r="D38" t="inlineStr">
        <is>
          <t>VÄSTRA GÖTALANDS LÄN</t>
        </is>
      </c>
      <c r="E38" t="inlineStr">
        <is>
          <t>ALE</t>
        </is>
      </c>
      <c r="G38" t="n">
        <v>3.2</v>
      </c>
      <c r="H38" t="n">
        <v>1</v>
      </c>
      <c r="I38" t="n">
        <v>0</v>
      </c>
      <c r="J38" t="n">
        <v>0</v>
      </c>
      <c r="K38" t="n">
        <v>0</v>
      </c>
      <c r="L38" t="n">
        <v>0</v>
      </c>
      <c r="M38" t="n">
        <v>0</v>
      </c>
      <c r="N38" t="n">
        <v>0</v>
      </c>
      <c r="O38" t="n">
        <v>0</v>
      </c>
      <c r="P38" t="n">
        <v>0</v>
      </c>
      <c r="Q38" t="n">
        <v>1</v>
      </c>
      <c r="R38" s="2" t="inlineStr">
        <is>
          <t>Äkta lopplummer</t>
        </is>
      </c>
      <c r="S38">
        <f>HYPERLINK("https://klasma.github.io/Logging_1440/artfynd/A 58412-2025 artfynd.xlsx", "A 58412-2025")</f>
        <v/>
      </c>
      <c r="T38">
        <f>HYPERLINK("https://klasma.github.io/Logging_1440/kartor/A 58412-2025 karta.png", "A 58412-2025")</f>
        <v/>
      </c>
      <c r="V38">
        <f>HYPERLINK("https://klasma.github.io/Logging_1440/klagomål/A 58412-2025 FSC-klagomål.docx", "A 58412-2025")</f>
        <v/>
      </c>
      <c r="W38">
        <f>HYPERLINK("https://klasma.github.io/Logging_1440/klagomålsmail/A 58412-2025 FSC-klagomål mail.docx", "A 58412-2025")</f>
        <v/>
      </c>
      <c r="X38">
        <f>HYPERLINK("https://klasma.github.io/Logging_1440/tillsyn/A 58412-2025 tillsynsbegäran.docx", "A 58412-2025")</f>
        <v/>
      </c>
      <c r="Y38">
        <f>HYPERLINK("https://klasma.github.io/Logging_1440/tillsynsmail/A 58412-2025 tillsynsbegäran mail.docx", "A 58412-2025")</f>
        <v/>
      </c>
    </row>
    <row r="39" ht="15" customHeight="1">
      <c r="A39" t="inlineStr">
        <is>
          <t>A 12982-2024</t>
        </is>
      </c>
      <c r="B39" s="1" t="n">
        <v>45385.53569444444</v>
      </c>
      <c r="C39" s="1" t="n">
        <v>46038</v>
      </c>
      <c r="D39" t="inlineStr">
        <is>
          <t>VÄSTRA GÖTALANDS LÄN</t>
        </is>
      </c>
      <c r="E39" t="inlineStr">
        <is>
          <t>ALE</t>
        </is>
      </c>
      <c r="G39" t="n">
        <v>3.3</v>
      </c>
      <c r="H39" t="n">
        <v>1</v>
      </c>
      <c r="I39" t="n">
        <v>0</v>
      </c>
      <c r="J39" t="n">
        <v>0</v>
      </c>
      <c r="K39" t="n">
        <v>0</v>
      </c>
      <c r="L39" t="n">
        <v>0</v>
      </c>
      <c r="M39" t="n">
        <v>0</v>
      </c>
      <c r="N39" t="n">
        <v>0</v>
      </c>
      <c r="O39" t="n">
        <v>0</v>
      </c>
      <c r="P39" t="n">
        <v>0</v>
      </c>
      <c r="Q39" t="n">
        <v>1</v>
      </c>
      <c r="R39" s="2" t="inlineStr">
        <is>
          <t>Revlummer</t>
        </is>
      </c>
      <c r="S39">
        <f>HYPERLINK("https://klasma.github.io/Logging_1440/artfynd/A 12982-2024 artfynd.xlsx", "A 12982-2024")</f>
        <v/>
      </c>
      <c r="T39">
        <f>HYPERLINK("https://klasma.github.io/Logging_1440/kartor/A 12982-2024 karta.png", "A 12982-2024")</f>
        <v/>
      </c>
      <c r="V39">
        <f>HYPERLINK("https://klasma.github.io/Logging_1440/klagomål/A 12982-2024 FSC-klagomål.docx", "A 12982-2024")</f>
        <v/>
      </c>
      <c r="W39">
        <f>HYPERLINK("https://klasma.github.io/Logging_1440/klagomålsmail/A 12982-2024 FSC-klagomål mail.docx", "A 12982-2024")</f>
        <v/>
      </c>
      <c r="X39">
        <f>HYPERLINK("https://klasma.github.io/Logging_1440/tillsyn/A 12982-2024 tillsynsbegäran.docx", "A 12982-2024")</f>
        <v/>
      </c>
      <c r="Y39">
        <f>HYPERLINK("https://klasma.github.io/Logging_1440/tillsynsmail/A 12982-2024 tillsynsbegäran mail.docx", "A 12982-2024")</f>
        <v/>
      </c>
    </row>
    <row r="40" ht="15" customHeight="1">
      <c r="A40" t="inlineStr">
        <is>
          <t>A 26677-2025</t>
        </is>
      </c>
      <c r="B40" s="1" t="n">
        <v>45810.42446759259</v>
      </c>
      <c r="C40" s="1" t="n">
        <v>46038</v>
      </c>
      <c r="D40" t="inlineStr">
        <is>
          <t>VÄSTRA GÖTALANDS LÄN</t>
        </is>
      </c>
      <c r="E40" t="inlineStr">
        <is>
          <t>ALE</t>
        </is>
      </c>
      <c r="G40" t="n">
        <v>1.2</v>
      </c>
      <c r="H40" t="n">
        <v>0</v>
      </c>
      <c r="I40" t="n">
        <v>1</v>
      </c>
      <c r="J40" t="n">
        <v>0</v>
      </c>
      <c r="K40" t="n">
        <v>0</v>
      </c>
      <c r="L40" t="n">
        <v>0</v>
      </c>
      <c r="M40" t="n">
        <v>0</v>
      </c>
      <c r="N40" t="n">
        <v>0</v>
      </c>
      <c r="O40" t="n">
        <v>0</v>
      </c>
      <c r="P40" t="n">
        <v>0</v>
      </c>
      <c r="Q40" t="n">
        <v>1</v>
      </c>
      <c r="R40" s="2" t="inlineStr">
        <is>
          <t>Västlig hakmossa</t>
        </is>
      </c>
      <c r="S40">
        <f>HYPERLINK("https://klasma.github.io/Logging_1440/artfynd/A 26677-2025 artfynd.xlsx", "A 26677-2025")</f>
        <v/>
      </c>
      <c r="T40">
        <f>HYPERLINK("https://klasma.github.io/Logging_1440/kartor/A 26677-2025 karta.png", "A 26677-2025")</f>
        <v/>
      </c>
      <c r="V40">
        <f>HYPERLINK("https://klasma.github.io/Logging_1440/klagomål/A 26677-2025 FSC-klagomål.docx", "A 26677-2025")</f>
        <v/>
      </c>
      <c r="W40">
        <f>HYPERLINK("https://klasma.github.io/Logging_1440/klagomålsmail/A 26677-2025 FSC-klagomål mail.docx", "A 26677-2025")</f>
        <v/>
      </c>
      <c r="X40">
        <f>HYPERLINK("https://klasma.github.io/Logging_1440/tillsyn/A 26677-2025 tillsynsbegäran.docx", "A 26677-2025")</f>
        <v/>
      </c>
      <c r="Y40">
        <f>HYPERLINK("https://klasma.github.io/Logging_1440/tillsynsmail/A 26677-2025 tillsynsbegäran mail.docx", "A 26677-2025")</f>
        <v/>
      </c>
    </row>
    <row r="41" ht="15" customHeight="1">
      <c r="A41" t="inlineStr">
        <is>
          <t>A 13902-2025</t>
        </is>
      </c>
      <c r="B41" s="1" t="n">
        <v>45737.63446759259</v>
      </c>
      <c r="C41" s="1" t="n">
        <v>46038</v>
      </c>
      <c r="D41" t="inlineStr">
        <is>
          <t>VÄSTRA GÖTALANDS LÄN</t>
        </is>
      </c>
      <c r="E41" t="inlineStr">
        <is>
          <t>ALE</t>
        </is>
      </c>
      <c r="G41" t="n">
        <v>1.4</v>
      </c>
      <c r="H41" t="n">
        <v>1</v>
      </c>
      <c r="I41" t="n">
        <v>0</v>
      </c>
      <c r="J41" t="n">
        <v>1</v>
      </c>
      <c r="K41" t="n">
        <v>0</v>
      </c>
      <c r="L41" t="n">
        <v>0</v>
      </c>
      <c r="M41" t="n">
        <v>0</v>
      </c>
      <c r="N41" t="n">
        <v>0</v>
      </c>
      <c r="O41" t="n">
        <v>1</v>
      </c>
      <c r="P41" t="n">
        <v>0</v>
      </c>
      <c r="Q41" t="n">
        <v>1</v>
      </c>
      <c r="R41" s="2" t="inlineStr">
        <is>
          <t>Svartvit flugsnappare</t>
        </is>
      </c>
      <c r="S41">
        <f>HYPERLINK("https://klasma.github.io/Logging_1440/artfynd/A 13902-2025 artfynd.xlsx", "A 13902-2025")</f>
        <v/>
      </c>
      <c r="T41">
        <f>HYPERLINK("https://klasma.github.io/Logging_1440/kartor/A 13902-2025 karta.png", "A 13902-2025")</f>
        <v/>
      </c>
      <c r="V41">
        <f>HYPERLINK("https://klasma.github.io/Logging_1440/klagomål/A 13902-2025 FSC-klagomål.docx", "A 13902-2025")</f>
        <v/>
      </c>
      <c r="W41">
        <f>HYPERLINK("https://klasma.github.io/Logging_1440/klagomålsmail/A 13902-2025 FSC-klagomål mail.docx", "A 13902-2025")</f>
        <v/>
      </c>
      <c r="X41">
        <f>HYPERLINK("https://klasma.github.io/Logging_1440/tillsyn/A 13902-2025 tillsynsbegäran.docx", "A 13902-2025")</f>
        <v/>
      </c>
      <c r="Y41">
        <f>HYPERLINK("https://klasma.github.io/Logging_1440/tillsynsmail/A 13902-2025 tillsynsbegäran mail.docx", "A 13902-2025")</f>
        <v/>
      </c>
      <c r="Z41">
        <f>HYPERLINK("https://klasma.github.io/Logging_1440/fåglar/A 13902-2025 prioriterade fågelarter.docx", "A 13902-2025")</f>
        <v/>
      </c>
    </row>
    <row r="42" ht="15" customHeight="1">
      <c r="A42" t="inlineStr">
        <is>
          <t>A 21281-2021</t>
        </is>
      </c>
      <c r="B42" s="1" t="n">
        <v>44320.61850694445</v>
      </c>
      <c r="C42" s="1" t="n">
        <v>46038</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46038</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67165-2021</t>
        </is>
      </c>
      <c r="B44" s="1" t="n">
        <v>44523</v>
      </c>
      <c r="C44" s="1" t="n">
        <v>46038</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46038</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49955-2021</t>
        </is>
      </c>
      <c r="B46" s="1" t="n">
        <v>44456</v>
      </c>
      <c r="C46" s="1" t="n">
        <v>46038</v>
      </c>
      <c r="D46" t="inlineStr">
        <is>
          <t>VÄSTRA GÖTALANDS LÄN</t>
        </is>
      </c>
      <c r="E46" t="inlineStr">
        <is>
          <t>ALE</t>
        </is>
      </c>
      <c r="G46" t="n">
        <v>2.2</v>
      </c>
      <c r="H46" t="n">
        <v>0</v>
      </c>
      <c r="I46" t="n">
        <v>0</v>
      </c>
      <c r="J46" t="n">
        <v>0</v>
      </c>
      <c r="K46" t="n">
        <v>0</v>
      </c>
      <c r="L46" t="n">
        <v>0</v>
      </c>
      <c r="M46" t="n">
        <v>0</v>
      </c>
      <c r="N46" t="n">
        <v>0</v>
      </c>
      <c r="O46" t="n">
        <v>0</v>
      </c>
      <c r="P46" t="n">
        <v>0</v>
      </c>
      <c r="Q46" t="n">
        <v>0</v>
      </c>
      <c r="R46" s="2" t="inlineStr"/>
    </row>
    <row r="47" ht="15" customHeight="1">
      <c r="A47" t="inlineStr">
        <is>
          <t>A 36394-2021</t>
        </is>
      </c>
      <c r="B47" s="1" t="n">
        <v>44389</v>
      </c>
      <c r="C47" s="1" t="n">
        <v>46038</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46038</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13462-2021</t>
        </is>
      </c>
      <c r="B49" s="1" t="n">
        <v>44273</v>
      </c>
      <c r="C49" s="1" t="n">
        <v>46038</v>
      </c>
      <c r="D49" t="inlineStr">
        <is>
          <t>VÄSTRA GÖTALANDS LÄN</t>
        </is>
      </c>
      <c r="E49" t="inlineStr">
        <is>
          <t>ALE</t>
        </is>
      </c>
      <c r="G49" t="n">
        <v>7.4</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46038</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46038</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46038</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46038</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46038</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15508-2022</t>
        </is>
      </c>
      <c r="B55" s="1" t="n">
        <v>44662.39761574074</v>
      </c>
      <c r="C55" s="1" t="n">
        <v>46038</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46038</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45986-2021</t>
        </is>
      </c>
      <c r="B57" s="1" t="n">
        <v>44441</v>
      </c>
      <c r="C57" s="1" t="n">
        <v>46038</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46038</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46038</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46038</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53144-2021</t>
        </is>
      </c>
      <c r="B61" s="1" t="n">
        <v>44468</v>
      </c>
      <c r="C61" s="1" t="n">
        <v>46038</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46038</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6916-2023</t>
        </is>
      </c>
      <c r="B63" s="1" t="n">
        <v>44967.53349537037</v>
      </c>
      <c r="C63" s="1" t="n">
        <v>46038</v>
      </c>
      <c r="D63" t="inlineStr">
        <is>
          <t>VÄSTRA GÖTALANDS LÄN</t>
        </is>
      </c>
      <c r="E63" t="inlineStr">
        <is>
          <t>ALE</t>
        </is>
      </c>
      <c r="G63" t="n">
        <v>1</v>
      </c>
      <c r="H63" t="n">
        <v>0</v>
      </c>
      <c r="I63" t="n">
        <v>0</v>
      </c>
      <c r="J63" t="n">
        <v>0</v>
      </c>
      <c r="K63" t="n">
        <v>0</v>
      </c>
      <c r="L63" t="n">
        <v>0</v>
      </c>
      <c r="M63" t="n">
        <v>0</v>
      </c>
      <c r="N63" t="n">
        <v>0</v>
      </c>
      <c r="O63" t="n">
        <v>0</v>
      </c>
      <c r="P63" t="n">
        <v>0</v>
      </c>
      <c r="Q63" t="n">
        <v>0</v>
      </c>
      <c r="R63" s="2" t="inlineStr"/>
    </row>
    <row r="64" ht="15" customHeight="1">
      <c r="A64" t="inlineStr">
        <is>
          <t>A 44429-2023</t>
        </is>
      </c>
      <c r="B64" s="1" t="n">
        <v>45189.35101851852</v>
      </c>
      <c r="C64" s="1" t="n">
        <v>46038</v>
      </c>
      <c r="D64" t="inlineStr">
        <is>
          <t>VÄSTRA GÖTALANDS LÄN</t>
        </is>
      </c>
      <c r="E64" t="inlineStr">
        <is>
          <t>ALE</t>
        </is>
      </c>
      <c r="G64" t="n">
        <v>0.1</v>
      </c>
      <c r="H64" t="n">
        <v>0</v>
      </c>
      <c r="I64" t="n">
        <v>0</v>
      </c>
      <c r="J64" t="n">
        <v>0</v>
      </c>
      <c r="K64" t="n">
        <v>0</v>
      </c>
      <c r="L64" t="n">
        <v>0</v>
      </c>
      <c r="M64" t="n">
        <v>0</v>
      </c>
      <c r="N64" t="n">
        <v>0</v>
      </c>
      <c r="O64" t="n">
        <v>0</v>
      </c>
      <c r="P64" t="n">
        <v>0</v>
      </c>
      <c r="Q64" t="n">
        <v>0</v>
      </c>
      <c r="R64" s="2" t="inlineStr"/>
    </row>
    <row r="65" ht="15" customHeight="1">
      <c r="A65" t="inlineStr">
        <is>
          <t>A 32762-2023</t>
        </is>
      </c>
      <c r="B65" s="1" t="n">
        <v>45123.46649305556</v>
      </c>
      <c r="C65" s="1" t="n">
        <v>46038</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1822-2024</t>
        </is>
      </c>
      <c r="B66" s="1" t="n">
        <v>45307.6205787037</v>
      </c>
      <c r="C66" s="1" t="n">
        <v>46038</v>
      </c>
      <c r="D66" t="inlineStr">
        <is>
          <t>VÄSTRA GÖTALANDS LÄN</t>
        </is>
      </c>
      <c r="E66" t="inlineStr">
        <is>
          <t>ALE</t>
        </is>
      </c>
      <c r="G66" t="n">
        <v>2</v>
      </c>
      <c r="H66" t="n">
        <v>0</v>
      </c>
      <c r="I66" t="n">
        <v>0</v>
      </c>
      <c r="J66" t="n">
        <v>0</v>
      </c>
      <c r="K66" t="n">
        <v>0</v>
      </c>
      <c r="L66" t="n">
        <v>0</v>
      </c>
      <c r="M66" t="n">
        <v>0</v>
      </c>
      <c r="N66" t="n">
        <v>0</v>
      </c>
      <c r="O66" t="n">
        <v>0</v>
      </c>
      <c r="P66" t="n">
        <v>0</v>
      </c>
      <c r="Q66" t="n">
        <v>0</v>
      </c>
      <c r="R66" s="2" t="inlineStr"/>
    </row>
    <row r="67" ht="15" customHeight="1">
      <c r="A67" t="inlineStr">
        <is>
          <t>A 51564-2023</t>
        </is>
      </c>
      <c r="B67" s="1" t="n">
        <v>45222</v>
      </c>
      <c r="C67" s="1" t="n">
        <v>46038</v>
      </c>
      <c r="D67" t="inlineStr">
        <is>
          <t>VÄSTRA GÖTALANDS LÄN</t>
        </is>
      </c>
      <c r="E67" t="inlineStr">
        <is>
          <t>ALE</t>
        </is>
      </c>
      <c r="G67" t="n">
        <v>1.5</v>
      </c>
      <c r="H67" t="n">
        <v>0</v>
      </c>
      <c r="I67" t="n">
        <v>0</v>
      </c>
      <c r="J67" t="n">
        <v>0</v>
      </c>
      <c r="K67" t="n">
        <v>0</v>
      </c>
      <c r="L67" t="n">
        <v>0</v>
      </c>
      <c r="M67" t="n">
        <v>0</v>
      </c>
      <c r="N67" t="n">
        <v>0</v>
      </c>
      <c r="O67" t="n">
        <v>0</v>
      </c>
      <c r="P67" t="n">
        <v>0</v>
      </c>
      <c r="Q67" t="n">
        <v>0</v>
      </c>
      <c r="R67" s="2" t="inlineStr"/>
    </row>
    <row r="68" ht="15" customHeight="1">
      <c r="A68" t="inlineStr">
        <is>
          <t>A 34104-2024</t>
        </is>
      </c>
      <c r="B68" s="1" t="n">
        <v>45523.79202546296</v>
      </c>
      <c r="C68" s="1" t="n">
        <v>46038</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26157-2023</t>
        </is>
      </c>
      <c r="B69" s="1" t="n">
        <v>45091.50479166667</v>
      </c>
      <c r="C69" s="1" t="n">
        <v>46038</v>
      </c>
      <c r="D69" t="inlineStr">
        <is>
          <t>VÄSTRA GÖTALANDS LÄN</t>
        </is>
      </c>
      <c r="E69" t="inlineStr">
        <is>
          <t>ALE</t>
        </is>
      </c>
      <c r="G69" t="n">
        <v>2.6</v>
      </c>
      <c r="H69" t="n">
        <v>0</v>
      </c>
      <c r="I69" t="n">
        <v>0</v>
      </c>
      <c r="J69" t="n">
        <v>0</v>
      </c>
      <c r="K69" t="n">
        <v>0</v>
      </c>
      <c r="L69" t="n">
        <v>0</v>
      </c>
      <c r="M69" t="n">
        <v>0</v>
      </c>
      <c r="N69" t="n">
        <v>0</v>
      </c>
      <c r="O69" t="n">
        <v>0</v>
      </c>
      <c r="P69" t="n">
        <v>0</v>
      </c>
      <c r="Q69" t="n">
        <v>0</v>
      </c>
      <c r="R69" s="2" t="inlineStr"/>
    </row>
    <row r="70" ht="15" customHeight="1">
      <c r="A70" t="inlineStr">
        <is>
          <t>A 47087-2023</t>
        </is>
      </c>
      <c r="B70" s="1" t="n">
        <v>45196</v>
      </c>
      <c r="C70" s="1" t="n">
        <v>46038</v>
      </c>
      <c r="D70" t="inlineStr">
        <is>
          <t>VÄSTRA GÖTALANDS LÄN</t>
        </is>
      </c>
      <c r="E70" t="inlineStr">
        <is>
          <t>ALE</t>
        </is>
      </c>
      <c r="G70" t="n">
        <v>1.6</v>
      </c>
      <c r="H70" t="n">
        <v>0</v>
      </c>
      <c r="I70" t="n">
        <v>0</v>
      </c>
      <c r="J70" t="n">
        <v>0</v>
      </c>
      <c r="K70" t="n">
        <v>0</v>
      </c>
      <c r="L70" t="n">
        <v>0</v>
      </c>
      <c r="M70" t="n">
        <v>0</v>
      </c>
      <c r="N70" t="n">
        <v>0</v>
      </c>
      <c r="O70" t="n">
        <v>0</v>
      </c>
      <c r="P70" t="n">
        <v>0</v>
      </c>
      <c r="Q70" t="n">
        <v>0</v>
      </c>
      <c r="R70" s="2" t="inlineStr"/>
    </row>
    <row r="71" ht="15" customHeight="1">
      <c r="A71" t="inlineStr">
        <is>
          <t>A 3418-2023</t>
        </is>
      </c>
      <c r="B71" s="1" t="n">
        <v>44949.56182870371</v>
      </c>
      <c r="C71" s="1" t="n">
        <v>46038</v>
      </c>
      <c r="D71" t="inlineStr">
        <is>
          <t>VÄSTRA GÖTALANDS LÄN</t>
        </is>
      </c>
      <c r="E71" t="inlineStr">
        <is>
          <t>ALE</t>
        </is>
      </c>
      <c r="G71" t="n">
        <v>1.1</v>
      </c>
      <c r="H71" t="n">
        <v>0</v>
      </c>
      <c r="I71" t="n">
        <v>0</v>
      </c>
      <c r="J71" t="n">
        <v>0</v>
      </c>
      <c r="K71" t="n">
        <v>0</v>
      </c>
      <c r="L71" t="n">
        <v>0</v>
      </c>
      <c r="M71" t="n">
        <v>0</v>
      </c>
      <c r="N71" t="n">
        <v>0</v>
      </c>
      <c r="O71" t="n">
        <v>0</v>
      </c>
      <c r="P71" t="n">
        <v>0</v>
      </c>
      <c r="Q71" t="n">
        <v>0</v>
      </c>
      <c r="R71" s="2" t="inlineStr"/>
    </row>
    <row r="72" ht="15" customHeight="1">
      <c r="A72" t="inlineStr">
        <is>
          <t>A 27314-2021</t>
        </is>
      </c>
      <c r="B72" s="1" t="n">
        <v>44351.36537037037</v>
      </c>
      <c r="C72" s="1" t="n">
        <v>46038</v>
      </c>
      <c r="D72" t="inlineStr">
        <is>
          <t>VÄSTRA GÖTALANDS LÄN</t>
        </is>
      </c>
      <c r="E72" t="inlineStr">
        <is>
          <t>ALE</t>
        </is>
      </c>
      <c r="G72" t="n">
        <v>11.3</v>
      </c>
      <c r="H72" t="n">
        <v>0</v>
      </c>
      <c r="I72" t="n">
        <v>0</v>
      </c>
      <c r="J72" t="n">
        <v>0</v>
      </c>
      <c r="K72" t="n">
        <v>0</v>
      </c>
      <c r="L72" t="n">
        <v>0</v>
      </c>
      <c r="M72" t="n">
        <v>0</v>
      </c>
      <c r="N72" t="n">
        <v>0</v>
      </c>
      <c r="O72" t="n">
        <v>0</v>
      </c>
      <c r="P72" t="n">
        <v>0</v>
      </c>
      <c r="Q72" t="n">
        <v>0</v>
      </c>
      <c r="R72" s="2" t="inlineStr"/>
    </row>
    <row r="73" ht="15" customHeight="1">
      <c r="A73" t="inlineStr">
        <is>
          <t>A 67160-2021</t>
        </is>
      </c>
      <c r="B73" s="1" t="n">
        <v>44523</v>
      </c>
      <c r="C73" s="1" t="n">
        <v>46038</v>
      </c>
      <c r="D73" t="inlineStr">
        <is>
          <t>VÄSTRA GÖTALANDS LÄN</t>
        </is>
      </c>
      <c r="E73" t="inlineStr">
        <is>
          <t>ALE</t>
        </is>
      </c>
      <c r="G73" t="n">
        <v>2.2</v>
      </c>
      <c r="H73" t="n">
        <v>0</v>
      </c>
      <c r="I73" t="n">
        <v>0</v>
      </c>
      <c r="J73" t="n">
        <v>0</v>
      </c>
      <c r="K73" t="n">
        <v>0</v>
      </c>
      <c r="L73" t="n">
        <v>0</v>
      </c>
      <c r="M73" t="n">
        <v>0</v>
      </c>
      <c r="N73" t="n">
        <v>0</v>
      </c>
      <c r="O73" t="n">
        <v>0</v>
      </c>
      <c r="P73" t="n">
        <v>0</v>
      </c>
      <c r="Q73" t="n">
        <v>0</v>
      </c>
      <c r="R73" s="2" t="inlineStr"/>
    </row>
    <row r="74" ht="15" customHeight="1">
      <c r="A74" t="inlineStr">
        <is>
          <t>A 5875-2023</t>
        </is>
      </c>
      <c r="B74" s="1" t="n">
        <v>44963</v>
      </c>
      <c r="C74" s="1" t="n">
        <v>46038</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64199-2021</t>
        </is>
      </c>
      <c r="B75" s="1" t="n">
        <v>44510</v>
      </c>
      <c r="C75" s="1" t="n">
        <v>46038</v>
      </c>
      <c r="D75" t="inlineStr">
        <is>
          <t>VÄSTRA GÖTALANDS LÄN</t>
        </is>
      </c>
      <c r="E75" t="inlineStr">
        <is>
          <t>ALE</t>
        </is>
      </c>
      <c r="G75" t="n">
        <v>5.7</v>
      </c>
      <c r="H75" t="n">
        <v>0</v>
      </c>
      <c r="I75" t="n">
        <v>0</v>
      </c>
      <c r="J75" t="n">
        <v>0</v>
      </c>
      <c r="K75" t="n">
        <v>0</v>
      </c>
      <c r="L75" t="n">
        <v>0</v>
      </c>
      <c r="M75" t="n">
        <v>0</v>
      </c>
      <c r="N75" t="n">
        <v>0</v>
      </c>
      <c r="O75" t="n">
        <v>0</v>
      </c>
      <c r="P75" t="n">
        <v>0</v>
      </c>
      <c r="Q75" t="n">
        <v>0</v>
      </c>
      <c r="R75" s="2" t="inlineStr"/>
    </row>
    <row r="76" ht="15" customHeight="1">
      <c r="A76" t="inlineStr">
        <is>
          <t>A 16601-2025</t>
        </is>
      </c>
      <c r="B76" s="1" t="n">
        <v>45753.53189814815</v>
      </c>
      <c r="C76" s="1" t="n">
        <v>46038</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36403-2024</t>
        </is>
      </c>
      <c r="B77" s="1" t="n">
        <v>45535.69445601852</v>
      </c>
      <c r="C77" s="1" t="n">
        <v>46038</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200-2022</t>
        </is>
      </c>
      <c r="B78" s="1" t="n">
        <v>44564</v>
      </c>
      <c r="C78" s="1" t="n">
        <v>46038</v>
      </c>
      <c r="D78" t="inlineStr">
        <is>
          <t>VÄSTRA GÖTALANDS LÄN</t>
        </is>
      </c>
      <c r="E78" t="inlineStr">
        <is>
          <t>ALE</t>
        </is>
      </c>
      <c r="G78" t="n">
        <v>6.8</v>
      </c>
      <c r="H78" t="n">
        <v>0</v>
      </c>
      <c r="I78" t="n">
        <v>0</v>
      </c>
      <c r="J78" t="n">
        <v>0</v>
      </c>
      <c r="K78" t="n">
        <v>0</v>
      </c>
      <c r="L78" t="n">
        <v>0</v>
      </c>
      <c r="M78" t="n">
        <v>0</v>
      </c>
      <c r="N78" t="n">
        <v>0</v>
      </c>
      <c r="O78" t="n">
        <v>0</v>
      </c>
      <c r="P78" t="n">
        <v>0</v>
      </c>
      <c r="Q78" t="n">
        <v>0</v>
      </c>
      <c r="R78" s="2" t="inlineStr"/>
    </row>
    <row r="79" ht="15" customHeight="1">
      <c r="A79" t="inlineStr">
        <is>
          <t>A 3520-2022</t>
        </is>
      </c>
      <c r="B79" s="1" t="n">
        <v>44585.72818287037</v>
      </c>
      <c r="C79" s="1" t="n">
        <v>46038</v>
      </c>
      <c r="D79" t="inlineStr">
        <is>
          <t>VÄSTRA GÖTALANDS LÄN</t>
        </is>
      </c>
      <c r="E79" t="inlineStr">
        <is>
          <t>ALE</t>
        </is>
      </c>
      <c r="G79" t="n">
        <v>2.3</v>
      </c>
      <c r="H79" t="n">
        <v>0</v>
      </c>
      <c r="I79" t="n">
        <v>0</v>
      </c>
      <c r="J79" t="n">
        <v>0</v>
      </c>
      <c r="K79" t="n">
        <v>0</v>
      </c>
      <c r="L79" t="n">
        <v>0</v>
      </c>
      <c r="M79" t="n">
        <v>0</v>
      </c>
      <c r="N79" t="n">
        <v>0</v>
      </c>
      <c r="O79" t="n">
        <v>0</v>
      </c>
      <c r="P79" t="n">
        <v>0</v>
      </c>
      <c r="Q79" t="n">
        <v>0</v>
      </c>
      <c r="R79" s="2" t="inlineStr"/>
    </row>
    <row r="80" ht="15" customHeight="1">
      <c r="A80" t="inlineStr">
        <is>
          <t>A 1960-2024</t>
        </is>
      </c>
      <c r="B80" s="1" t="n">
        <v>45308.50962962963</v>
      </c>
      <c r="C80" s="1" t="n">
        <v>46038</v>
      </c>
      <c r="D80" t="inlineStr">
        <is>
          <t>VÄSTRA GÖTALANDS LÄN</t>
        </is>
      </c>
      <c r="E80" t="inlineStr">
        <is>
          <t>ALE</t>
        </is>
      </c>
      <c r="G80" t="n">
        <v>1.9</v>
      </c>
      <c r="H80" t="n">
        <v>0</v>
      </c>
      <c r="I80" t="n">
        <v>0</v>
      </c>
      <c r="J80" t="n">
        <v>0</v>
      </c>
      <c r="K80" t="n">
        <v>0</v>
      </c>
      <c r="L80" t="n">
        <v>0</v>
      </c>
      <c r="M80" t="n">
        <v>0</v>
      </c>
      <c r="N80" t="n">
        <v>0</v>
      </c>
      <c r="O80" t="n">
        <v>0</v>
      </c>
      <c r="P80" t="n">
        <v>0</v>
      </c>
      <c r="Q80" t="n">
        <v>0</v>
      </c>
      <c r="R80" s="2" t="inlineStr"/>
    </row>
    <row r="81" ht="15" customHeight="1">
      <c r="A81" t="inlineStr">
        <is>
          <t>A 41607-2022</t>
        </is>
      </c>
      <c r="B81" s="1" t="n">
        <v>44827.46658564815</v>
      </c>
      <c r="C81" s="1" t="n">
        <v>46038</v>
      </c>
      <c r="D81" t="inlineStr">
        <is>
          <t>VÄSTRA GÖTALANDS LÄN</t>
        </is>
      </c>
      <c r="E81" t="inlineStr">
        <is>
          <t>ALE</t>
        </is>
      </c>
      <c r="G81" t="n">
        <v>3.6</v>
      </c>
      <c r="H81" t="n">
        <v>0</v>
      </c>
      <c r="I81" t="n">
        <v>0</v>
      </c>
      <c r="J81" t="n">
        <v>0</v>
      </c>
      <c r="K81" t="n">
        <v>0</v>
      </c>
      <c r="L81" t="n">
        <v>0</v>
      </c>
      <c r="M81" t="n">
        <v>0</v>
      </c>
      <c r="N81" t="n">
        <v>0</v>
      </c>
      <c r="O81" t="n">
        <v>0</v>
      </c>
      <c r="P81" t="n">
        <v>0</v>
      </c>
      <c r="Q81" t="n">
        <v>0</v>
      </c>
      <c r="R81" s="2" t="inlineStr"/>
    </row>
    <row r="82" ht="15" customHeight="1">
      <c r="A82" t="inlineStr">
        <is>
          <t>A 65226-2021</t>
        </is>
      </c>
      <c r="B82" s="1" t="n">
        <v>44515</v>
      </c>
      <c r="C82" s="1" t="n">
        <v>46038</v>
      </c>
      <c r="D82" t="inlineStr">
        <is>
          <t>VÄSTRA GÖTALANDS LÄN</t>
        </is>
      </c>
      <c r="E82" t="inlineStr">
        <is>
          <t>ALE</t>
        </is>
      </c>
      <c r="G82" t="n">
        <v>0.7</v>
      </c>
      <c r="H82" t="n">
        <v>0</v>
      </c>
      <c r="I82" t="n">
        <v>0</v>
      </c>
      <c r="J82" t="n">
        <v>0</v>
      </c>
      <c r="K82" t="n">
        <v>0</v>
      </c>
      <c r="L82" t="n">
        <v>0</v>
      </c>
      <c r="M82" t="n">
        <v>0</v>
      </c>
      <c r="N82" t="n">
        <v>0</v>
      </c>
      <c r="O82" t="n">
        <v>0</v>
      </c>
      <c r="P82" t="n">
        <v>0</v>
      </c>
      <c r="Q82" t="n">
        <v>0</v>
      </c>
      <c r="R82" s="2" t="inlineStr"/>
    </row>
    <row r="83" ht="15" customHeight="1">
      <c r="A83" t="inlineStr">
        <is>
          <t>A 15582-2025</t>
        </is>
      </c>
      <c r="B83" s="1" t="n">
        <v>45747.81394675926</v>
      </c>
      <c r="C83" s="1" t="n">
        <v>46038</v>
      </c>
      <c r="D83" t="inlineStr">
        <is>
          <t>VÄSTRA GÖTALANDS LÄN</t>
        </is>
      </c>
      <c r="E83" t="inlineStr">
        <is>
          <t>ALE</t>
        </is>
      </c>
      <c r="G83" t="n">
        <v>2.2</v>
      </c>
      <c r="H83" t="n">
        <v>0</v>
      </c>
      <c r="I83" t="n">
        <v>0</v>
      </c>
      <c r="J83" t="n">
        <v>0</v>
      </c>
      <c r="K83" t="n">
        <v>0</v>
      </c>
      <c r="L83" t="n">
        <v>0</v>
      </c>
      <c r="M83" t="n">
        <v>0</v>
      </c>
      <c r="N83" t="n">
        <v>0</v>
      </c>
      <c r="O83" t="n">
        <v>0</v>
      </c>
      <c r="P83" t="n">
        <v>0</v>
      </c>
      <c r="Q83" t="n">
        <v>0</v>
      </c>
      <c r="R83" s="2" t="inlineStr"/>
    </row>
    <row r="84" ht="15" customHeight="1">
      <c r="A84" t="inlineStr">
        <is>
          <t>A 7892-2024</t>
        </is>
      </c>
      <c r="B84" s="1" t="n">
        <v>45350.40921296296</v>
      </c>
      <c r="C84" s="1" t="n">
        <v>46038</v>
      </c>
      <c r="D84" t="inlineStr">
        <is>
          <t>VÄSTRA GÖTALANDS LÄN</t>
        </is>
      </c>
      <c r="E84" t="inlineStr">
        <is>
          <t>ALE</t>
        </is>
      </c>
      <c r="G84" t="n">
        <v>3.6</v>
      </c>
      <c r="H84" t="n">
        <v>0</v>
      </c>
      <c r="I84" t="n">
        <v>0</v>
      </c>
      <c r="J84" t="n">
        <v>0</v>
      </c>
      <c r="K84" t="n">
        <v>0</v>
      </c>
      <c r="L84" t="n">
        <v>0</v>
      </c>
      <c r="M84" t="n">
        <v>0</v>
      </c>
      <c r="N84" t="n">
        <v>0</v>
      </c>
      <c r="O84" t="n">
        <v>0</v>
      </c>
      <c r="P84" t="n">
        <v>0</v>
      </c>
      <c r="Q84" t="n">
        <v>0</v>
      </c>
      <c r="R84" s="2" t="inlineStr"/>
    </row>
    <row r="85" ht="15" customHeight="1">
      <c r="A85" t="inlineStr">
        <is>
          <t>A 15499-2022</t>
        </is>
      </c>
      <c r="B85" s="1" t="n">
        <v>44662</v>
      </c>
      <c r="C85" s="1" t="n">
        <v>46038</v>
      </c>
      <c r="D85" t="inlineStr">
        <is>
          <t>VÄSTRA GÖTALANDS LÄN</t>
        </is>
      </c>
      <c r="E85" t="inlineStr">
        <is>
          <t>ALE</t>
        </is>
      </c>
      <c r="G85" t="n">
        <v>4.7</v>
      </c>
      <c r="H85" t="n">
        <v>0</v>
      </c>
      <c r="I85" t="n">
        <v>0</v>
      </c>
      <c r="J85" t="n">
        <v>0</v>
      </c>
      <c r="K85" t="n">
        <v>0</v>
      </c>
      <c r="L85" t="n">
        <v>0</v>
      </c>
      <c r="M85" t="n">
        <v>0</v>
      </c>
      <c r="N85" t="n">
        <v>0</v>
      </c>
      <c r="O85" t="n">
        <v>0</v>
      </c>
      <c r="P85" t="n">
        <v>0</v>
      </c>
      <c r="Q85" t="n">
        <v>0</v>
      </c>
      <c r="R85" s="2" t="inlineStr"/>
    </row>
    <row r="86" ht="15" customHeight="1">
      <c r="A86" t="inlineStr">
        <is>
          <t>A 53476-2023</t>
        </is>
      </c>
      <c r="B86" s="1" t="n">
        <v>45230.33737268519</v>
      </c>
      <c r="C86" s="1" t="n">
        <v>46038</v>
      </c>
      <c r="D86" t="inlineStr">
        <is>
          <t>VÄSTRA GÖTALANDS LÄN</t>
        </is>
      </c>
      <c r="E86" t="inlineStr">
        <is>
          <t>ALE</t>
        </is>
      </c>
      <c r="G86" t="n">
        <v>1.9</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46038</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46038</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6947-2024</t>
        </is>
      </c>
      <c r="B89" s="1" t="n">
        <v>45343</v>
      </c>
      <c r="C89" s="1" t="n">
        <v>46038</v>
      </c>
      <c r="D89" t="inlineStr">
        <is>
          <t>VÄSTRA GÖTALANDS LÄN</t>
        </is>
      </c>
      <c r="E89" t="inlineStr">
        <is>
          <t>ALE</t>
        </is>
      </c>
      <c r="G89" t="n">
        <v>3.7</v>
      </c>
      <c r="H89" t="n">
        <v>0</v>
      </c>
      <c r="I89" t="n">
        <v>0</v>
      </c>
      <c r="J89" t="n">
        <v>0</v>
      </c>
      <c r="K89" t="n">
        <v>0</v>
      </c>
      <c r="L89" t="n">
        <v>0</v>
      </c>
      <c r="M89" t="n">
        <v>0</v>
      </c>
      <c r="N89" t="n">
        <v>0</v>
      </c>
      <c r="O89" t="n">
        <v>0</v>
      </c>
      <c r="P89" t="n">
        <v>0</v>
      </c>
      <c r="Q89" t="n">
        <v>0</v>
      </c>
      <c r="R89" s="2" t="inlineStr"/>
    </row>
    <row r="90" ht="15" customHeight="1">
      <c r="A90" t="inlineStr">
        <is>
          <t>A 4444-2024</t>
        </is>
      </c>
      <c r="B90" s="1" t="n">
        <v>45327</v>
      </c>
      <c r="C90" s="1" t="n">
        <v>46038</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17044-2025</t>
        </is>
      </c>
      <c r="B91" s="1" t="n">
        <v>45755.58891203703</v>
      </c>
      <c r="C91" s="1" t="n">
        <v>46038</v>
      </c>
      <c r="D91" t="inlineStr">
        <is>
          <t>VÄSTRA GÖTALANDS LÄN</t>
        </is>
      </c>
      <c r="E91" t="inlineStr">
        <is>
          <t>ALE</t>
        </is>
      </c>
      <c r="G91" t="n">
        <v>1.5</v>
      </c>
      <c r="H91" t="n">
        <v>0</v>
      </c>
      <c r="I91" t="n">
        <v>0</v>
      </c>
      <c r="J91" t="n">
        <v>0</v>
      </c>
      <c r="K91" t="n">
        <v>0</v>
      </c>
      <c r="L91" t="n">
        <v>0</v>
      </c>
      <c r="M91" t="n">
        <v>0</v>
      </c>
      <c r="N91" t="n">
        <v>0</v>
      </c>
      <c r="O91" t="n">
        <v>0</v>
      </c>
      <c r="P91" t="n">
        <v>0</v>
      </c>
      <c r="Q91" t="n">
        <v>0</v>
      </c>
      <c r="R91" s="2" t="inlineStr"/>
    </row>
    <row r="92" ht="15" customHeight="1">
      <c r="A92" t="inlineStr">
        <is>
          <t>A 55488-2022</t>
        </is>
      </c>
      <c r="B92" s="1" t="n">
        <v>44887</v>
      </c>
      <c r="C92" s="1" t="n">
        <v>46038</v>
      </c>
      <c r="D92" t="inlineStr">
        <is>
          <t>VÄSTRA GÖTALANDS LÄN</t>
        </is>
      </c>
      <c r="E92" t="inlineStr">
        <is>
          <t>ALE</t>
        </is>
      </c>
      <c r="G92" t="n">
        <v>2.5</v>
      </c>
      <c r="H92" t="n">
        <v>0</v>
      </c>
      <c r="I92" t="n">
        <v>0</v>
      </c>
      <c r="J92" t="n">
        <v>0</v>
      </c>
      <c r="K92" t="n">
        <v>0</v>
      </c>
      <c r="L92" t="n">
        <v>0</v>
      </c>
      <c r="M92" t="n">
        <v>0</v>
      </c>
      <c r="N92" t="n">
        <v>0</v>
      </c>
      <c r="O92" t="n">
        <v>0</v>
      </c>
      <c r="P92" t="n">
        <v>0</v>
      </c>
      <c r="Q92" t="n">
        <v>0</v>
      </c>
      <c r="R92" s="2" t="inlineStr"/>
    </row>
    <row r="93" ht="15" customHeight="1">
      <c r="A93" t="inlineStr">
        <is>
          <t>A 55405-2021</t>
        </is>
      </c>
      <c r="B93" s="1" t="n">
        <v>44475.53733796296</v>
      </c>
      <c r="C93" s="1" t="n">
        <v>46038</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72801-2021</t>
        </is>
      </c>
      <c r="B94" s="1" t="n">
        <v>44546</v>
      </c>
      <c r="C94" s="1" t="n">
        <v>46038</v>
      </c>
      <c r="D94" t="inlineStr">
        <is>
          <t>VÄSTRA GÖTALANDS LÄN</t>
        </is>
      </c>
      <c r="E94" t="inlineStr">
        <is>
          <t>ALE</t>
        </is>
      </c>
      <c r="F94" t="inlineStr">
        <is>
          <t>Naturvårdsverket</t>
        </is>
      </c>
      <c r="G94" t="n">
        <v>1.4</v>
      </c>
      <c r="H94" t="n">
        <v>0</v>
      </c>
      <c r="I94" t="n">
        <v>0</v>
      </c>
      <c r="J94" t="n">
        <v>0</v>
      </c>
      <c r="K94" t="n">
        <v>0</v>
      </c>
      <c r="L94" t="n">
        <v>0</v>
      </c>
      <c r="M94" t="n">
        <v>0</v>
      </c>
      <c r="N94" t="n">
        <v>0</v>
      </c>
      <c r="O94" t="n">
        <v>0</v>
      </c>
      <c r="P94" t="n">
        <v>0</v>
      </c>
      <c r="Q94" t="n">
        <v>0</v>
      </c>
      <c r="R94" s="2" t="inlineStr"/>
    </row>
    <row r="95" ht="15" customHeight="1">
      <c r="A95" t="inlineStr">
        <is>
          <t>A 51164-2024</t>
        </is>
      </c>
      <c r="B95" s="1" t="n">
        <v>45603.5830787037</v>
      </c>
      <c r="C95" s="1" t="n">
        <v>46038</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40074-2025</t>
        </is>
      </c>
      <c r="B96" s="1" t="n">
        <v>45894.44685185186</v>
      </c>
      <c r="C96" s="1" t="n">
        <v>46038</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26083-2023</t>
        </is>
      </c>
      <c r="B97" s="1" t="n">
        <v>45091</v>
      </c>
      <c r="C97" s="1" t="n">
        <v>46038</v>
      </c>
      <c r="D97" t="inlineStr">
        <is>
          <t>VÄSTRA GÖTALANDS LÄN</t>
        </is>
      </c>
      <c r="E97" t="inlineStr">
        <is>
          <t>ALE</t>
        </is>
      </c>
      <c r="G97" t="n">
        <v>1.6</v>
      </c>
      <c r="H97" t="n">
        <v>0</v>
      </c>
      <c r="I97" t="n">
        <v>0</v>
      </c>
      <c r="J97" t="n">
        <v>0</v>
      </c>
      <c r="K97" t="n">
        <v>0</v>
      </c>
      <c r="L97" t="n">
        <v>0</v>
      </c>
      <c r="M97" t="n">
        <v>0</v>
      </c>
      <c r="N97" t="n">
        <v>0</v>
      </c>
      <c r="O97" t="n">
        <v>0</v>
      </c>
      <c r="P97" t="n">
        <v>0</v>
      </c>
      <c r="Q97" t="n">
        <v>0</v>
      </c>
      <c r="R97" s="2" t="inlineStr"/>
    </row>
    <row r="98" ht="15" customHeight="1">
      <c r="A98" t="inlineStr">
        <is>
          <t>A 56493-2021</t>
        </is>
      </c>
      <c r="B98" s="1" t="n">
        <v>44480.57173611111</v>
      </c>
      <c r="C98" s="1" t="n">
        <v>46038</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16344-2023</t>
        </is>
      </c>
      <c r="B99" s="1" t="n">
        <v>45028</v>
      </c>
      <c r="C99" s="1" t="n">
        <v>46038</v>
      </c>
      <c r="D99" t="inlineStr">
        <is>
          <t>VÄSTRA GÖTALANDS LÄN</t>
        </is>
      </c>
      <c r="E99" t="inlineStr">
        <is>
          <t>ALE</t>
        </is>
      </c>
      <c r="G99" t="n">
        <v>6.6</v>
      </c>
      <c r="H99" t="n">
        <v>0</v>
      </c>
      <c r="I99" t="n">
        <v>0</v>
      </c>
      <c r="J99" t="n">
        <v>0</v>
      </c>
      <c r="K99" t="n">
        <v>0</v>
      </c>
      <c r="L99" t="n">
        <v>0</v>
      </c>
      <c r="M99" t="n">
        <v>0</v>
      </c>
      <c r="N99" t="n">
        <v>0</v>
      </c>
      <c r="O99" t="n">
        <v>0</v>
      </c>
      <c r="P99" t="n">
        <v>0</v>
      </c>
      <c r="Q99" t="n">
        <v>0</v>
      </c>
      <c r="R99" s="2" t="inlineStr"/>
    </row>
    <row r="100" ht="15" customHeight="1">
      <c r="A100" t="inlineStr">
        <is>
          <t>A 13426-2025</t>
        </is>
      </c>
      <c r="B100" s="1" t="n">
        <v>45736.32780092592</v>
      </c>
      <c r="C100" s="1" t="n">
        <v>46038</v>
      </c>
      <c r="D100" t="inlineStr">
        <is>
          <t>VÄSTRA GÖTALANDS LÄN</t>
        </is>
      </c>
      <c r="E100" t="inlineStr">
        <is>
          <t>ALE</t>
        </is>
      </c>
      <c r="G100" t="n">
        <v>1.5</v>
      </c>
      <c r="H100" t="n">
        <v>0</v>
      </c>
      <c r="I100" t="n">
        <v>0</v>
      </c>
      <c r="J100" t="n">
        <v>0</v>
      </c>
      <c r="K100" t="n">
        <v>0</v>
      </c>
      <c r="L100" t="n">
        <v>0</v>
      </c>
      <c r="M100" t="n">
        <v>0</v>
      </c>
      <c r="N100" t="n">
        <v>0</v>
      </c>
      <c r="O100" t="n">
        <v>0</v>
      </c>
      <c r="P100" t="n">
        <v>0</v>
      </c>
      <c r="Q100" t="n">
        <v>0</v>
      </c>
      <c r="R100" s="2" t="inlineStr"/>
    </row>
    <row r="101" ht="15" customHeight="1">
      <c r="A101" t="inlineStr">
        <is>
          <t>A 24642-2022</t>
        </is>
      </c>
      <c r="B101" s="1" t="n">
        <v>44727.59578703704</v>
      </c>
      <c r="C101" s="1" t="n">
        <v>46038</v>
      </c>
      <c r="D101" t="inlineStr">
        <is>
          <t>VÄSTRA GÖTALANDS LÄN</t>
        </is>
      </c>
      <c r="E101" t="inlineStr">
        <is>
          <t>ALE</t>
        </is>
      </c>
      <c r="G101" t="n">
        <v>10</v>
      </c>
      <c r="H101" t="n">
        <v>0</v>
      </c>
      <c r="I101" t="n">
        <v>0</v>
      </c>
      <c r="J101" t="n">
        <v>0</v>
      </c>
      <c r="K101" t="n">
        <v>0</v>
      </c>
      <c r="L101" t="n">
        <v>0</v>
      </c>
      <c r="M101" t="n">
        <v>0</v>
      </c>
      <c r="N101" t="n">
        <v>0</v>
      </c>
      <c r="O101" t="n">
        <v>0</v>
      </c>
      <c r="P101" t="n">
        <v>0</v>
      </c>
      <c r="Q101" t="n">
        <v>0</v>
      </c>
      <c r="R101" s="2" t="inlineStr"/>
    </row>
    <row r="102" ht="15" customHeight="1">
      <c r="A102" t="inlineStr">
        <is>
          <t>A 4363-2024</t>
        </is>
      </c>
      <c r="B102" s="1" t="n">
        <v>45325</v>
      </c>
      <c r="C102" s="1" t="n">
        <v>46038</v>
      </c>
      <c r="D102" t="inlineStr">
        <is>
          <t>VÄSTRA GÖTALANDS LÄN</t>
        </is>
      </c>
      <c r="E102" t="inlineStr">
        <is>
          <t>ALE</t>
        </is>
      </c>
      <c r="G102" t="n">
        <v>0.6</v>
      </c>
      <c r="H102" t="n">
        <v>0</v>
      </c>
      <c r="I102" t="n">
        <v>0</v>
      </c>
      <c r="J102" t="n">
        <v>0</v>
      </c>
      <c r="K102" t="n">
        <v>0</v>
      </c>
      <c r="L102" t="n">
        <v>0</v>
      </c>
      <c r="M102" t="n">
        <v>0</v>
      </c>
      <c r="N102" t="n">
        <v>0</v>
      </c>
      <c r="O102" t="n">
        <v>0</v>
      </c>
      <c r="P102" t="n">
        <v>0</v>
      </c>
      <c r="Q102" t="n">
        <v>0</v>
      </c>
      <c r="R102" s="2" t="inlineStr"/>
    </row>
    <row r="103" ht="15" customHeight="1">
      <c r="A103" t="inlineStr">
        <is>
          <t>A 45988-2021</t>
        </is>
      </c>
      <c r="B103" s="1" t="n">
        <v>44441</v>
      </c>
      <c r="C103" s="1" t="n">
        <v>46038</v>
      </c>
      <c r="D103" t="inlineStr">
        <is>
          <t>VÄSTRA GÖTALANDS LÄN</t>
        </is>
      </c>
      <c r="E103" t="inlineStr">
        <is>
          <t>ALE</t>
        </is>
      </c>
      <c r="G103" t="n">
        <v>1.2</v>
      </c>
      <c r="H103" t="n">
        <v>0</v>
      </c>
      <c r="I103" t="n">
        <v>0</v>
      </c>
      <c r="J103" t="n">
        <v>0</v>
      </c>
      <c r="K103" t="n">
        <v>0</v>
      </c>
      <c r="L103" t="n">
        <v>0</v>
      </c>
      <c r="M103" t="n">
        <v>0</v>
      </c>
      <c r="N103" t="n">
        <v>0</v>
      </c>
      <c r="O103" t="n">
        <v>0</v>
      </c>
      <c r="P103" t="n">
        <v>0</v>
      </c>
      <c r="Q103" t="n">
        <v>0</v>
      </c>
      <c r="R103" s="2" t="inlineStr"/>
    </row>
    <row r="104" ht="15" customHeight="1">
      <c r="A104" t="inlineStr">
        <is>
          <t>A 20067-2023</t>
        </is>
      </c>
      <c r="B104" s="1" t="n">
        <v>45054</v>
      </c>
      <c r="C104" s="1" t="n">
        <v>46038</v>
      </c>
      <c r="D104" t="inlineStr">
        <is>
          <t>VÄSTRA GÖTALANDS LÄN</t>
        </is>
      </c>
      <c r="E104" t="inlineStr">
        <is>
          <t>ALE</t>
        </is>
      </c>
      <c r="G104" t="n">
        <v>0.4</v>
      </c>
      <c r="H104" t="n">
        <v>0</v>
      </c>
      <c r="I104" t="n">
        <v>0</v>
      </c>
      <c r="J104" t="n">
        <v>0</v>
      </c>
      <c r="K104" t="n">
        <v>0</v>
      </c>
      <c r="L104" t="n">
        <v>0</v>
      </c>
      <c r="M104" t="n">
        <v>0</v>
      </c>
      <c r="N104" t="n">
        <v>0</v>
      </c>
      <c r="O104" t="n">
        <v>0</v>
      </c>
      <c r="P104" t="n">
        <v>0</v>
      </c>
      <c r="Q104" t="n">
        <v>0</v>
      </c>
      <c r="R104" s="2" t="inlineStr"/>
    </row>
    <row r="105" ht="15" customHeight="1">
      <c r="A105" t="inlineStr">
        <is>
          <t>A 46226-2025</t>
        </is>
      </c>
      <c r="B105" s="1" t="n">
        <v>45924</v>
      </c>
      <c r="C105" s="1" t="n">
        <v>46038</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46227-2025</t>
        </is>
      </c>
      <c r="B106" s="1" t="n">
        <v>45924.90386574074</v>
      </c>
      <c r="C106" s="1" t="n">
        <v>46038</v>
      </c>
      <c r="D106" t="inlineStr">
        <is>
          <t>VÄSTRA GÖTALANDS LÄN</t>
        </is>
      </c>
      <c r="E106" t="inlineStr">
        <is>
          <t>ALE</t>
        </is>
      </c>
      <c r="G106" t="n">
        <v>0.3</v>
      </c>
      <c r="H106" t="n">
        <v>0</v>
      </c>
      <c r="I106" t="n">
        <v>0</v>
      </c>
      <c r="J106" t="n">
        <v>0</v>
      </c>
      <c r="K106" t="n">
        <v>0</v>
      </c>
      <c r="L106" t="n">
        <v>0</v>
      </c>
      <c r="M106" t="n">
        <v>0</v>
      </c>
      <c r="N106" t="n">
        <v>0</v>
      </c>
      <c r="O106" t="n">
        <v>0</v>
      </c>
      <c r="P106" t="n">
        <v>0</v>
      </c>
      <c r="Q106" t="n">
        <v>0</v>
      </c>
      <c r="R106" s="2" t="inlineStr"/>
    </row>
    <row r="107" ht="15" customHeight="1">
      <c r="A107" t="inlineStr">
        <is>
          <t>A 47592-2025</t>
        </is>
      </c>
      <c r="B107" s="1" t="n">
        <v>45931.44649305556</v>
      </c>
      <c r="C107" s="1" t="n">
        <v>46038</v>
      </c>
      <c r="D107" t="inlineStr">
        <is>
          <t>VÄSTRA GÖTALANDS LÄN</t>
        </is>
      </c>
      <c r="E107" t="inlineStr">
        <is>
          <t>ALE</t>
        </is>
      </c>
      <c r="G107" t="n">
        <v>0.6</v>
      </c>
      <c r="H107" t="n">
        <v>0</v>
      </c>
      <c r="I107" t="n">
        <v>0</v>
      </c>
      <c r="J107" t="n">
        <v>0</v>
      </c>
      <c r="K107" t="n">
        <v>0</v>
      </c>
      <c r="L107" t="n">
        <v>0</v>
      </c>
      <c r="M107" t="n">
        <v>0</v>
      </c>
      <c r="N107" t="n">
        <v>0</v>
      </c>
      <c r="O107" t="n">
        <v>0</v>
      </c>
      <c r="P107" t="n">
        <v>0</v>
      </c>
      <c r="Q107" t="n">
        <v>0</v>
      </c>
      <c r="R107" s="2" t="inlineStr"/>
    </row>
    <row r="108" ht="15" customHeight="1">
      <c r="A108" t="inlineStr">
        <is>
          <t>A 47330-2025</t>
        </is>
      </c>
      <c r="B108" s="1" t="n">
        <v>45930.56170138889</v>
      </c>
      <c r="C108" s="1" t="n">
        <v>46038</v>
      </c>
      <c r="D108" t="inlineStr">
        <is>
          <t>VÄSTRA GÖTALANDS LÄN</t>
        </is>
      </c>
      <c r="E108" t="inlineStr">
        <is>
          <t>ALE</t>
        </is>
      </c>
      <c r="G108" t="n">
        <v>3.7</v>
      </c>
      <c r="H108" t="n">
        <v>0</v>
      </c>
      <c r="I108" t="n">
        <v>0</v>
      </c>
      <c r="J108" t="n">
        <v>0</v>
      </c>
      <c r="K108" t="n">
        <v>0</v>
      </c>
      <c r="L108" t="n">
        <v>0</v>
      </c>
      <c r="M108" t="n">
        <v>0</v>
      </c>
      <c r="N108" t="n">
        <v>0</v>
      </c>
      <c r="O108" t="n">
        <v>0</v>
      </c>
      <c r="P108" t="n">
        <v>0</v>
      </c>
      <c r="Q108" t="n">
        <v>0</v>
      </c>
      <c r="R108" s="2" t="inlineStr"/>
    </row>
    <row r="109" ht="15" customHeight="1">
      <c r="A109" t="inlineStr">
        <is>
          <t>A 47593-2025</t>
        </is>
      </c>
      <c r="B109" s="1" t="n">
        <v>45931.4480787037</v>
      </c>
      <c r="C109" s="1" t="n">
        <v>46038</v>
      </c>
      <c r="D109" t="inlineStr">
        <is>
          <t>VÄSTRA GÖTALANDS LÄN</t>
        </is>
      </c>
      <c r="E109" t="inlineStr">
        <is>
          <t>ALE</t>
        </is>
      </c>
      <c r="G109" t="n">
        <v>1</v>
      </c>
      <c r="H109" t="n">
        <v>0</v>
      </c>
      <c r="I109" t="n">
        <v>0</v>
      </c>
      <c r="J109" t="n">
        <v>0</v>
      </c>
      <c r="K109" t="n">
        <v>0</v>
      </c>
      <c r="L109" t="n">
        <v>0</v>
      </c>
      <c r="M109" t="n">
        <v>0</v>
      </c>
      <c r="N109" t="n">
        <v>0</v>
      </c>
      <c r="O109" t="n">
        <v>0</v>
      </c>
      <c r="P109" t="n">
        <v>0</v>
      </c>
      <c r="Q109" t="n">
        <v>0</v>
      </c>
      <c r="R109" s="2" t="inlineStr"/>
    </row>
    <row r="110" ht="15" customHeight="1">
      <c r="A110" t="inlineStr">
        <is>
          <t>A 47728-2025</t>
        </is>
      </c>
      <c r="B110" s="1" t="n">
        <v>45931.63186342592</v>
      </c>
      <c r="C110" s="1" t="n">
        <v>46038</v>
      </c>
      <c r="D110" t="inlineStr">
        <is>
          <t>VÄSTRA GÖTALANDS LÄN</t>
        </is>
      </c>
      <c r="E110" t="inlineStr">
        <is>
          <t>ALE</t>
        </is>
      </c>
      <c r="G110" t="n">
        <v>1.1</v>
      </c>
      <c r="H110" t="n">
        <v>0</v>
      </c>
      <c r="I110" t="n">
        <v>0</v>
      </c>
      <c r="J110" t="n">
        <v>0</v>
      </c>
      <c r="K110" t="n">
        <v>0</v>
      </c>
      <c r="L110" t="n">
        <v>0</v>
      </c>
      <c r="M110" t="n">
        <v>0</v>
      </c>
      <c r="N110" t="n">
        <v>0</v>
      </c>
      <c r="O110" t="n">
        <v>0</v>
      </c>
      <c r="P110" t="n">
        <v>0</v>
      </c>
      <c r="Q110" t="n">
        <v>0</v>
      </c>
      <c r="R110" s="2" t="inlineStr"/>
    </row>
    <row r="111" ht="15" customHeight="1">
      <c r="A111" t="inlineStr">
        <is>
          <t>A 1566-2022</t>
        </is>
      </c>
      <c r="B111" s="1" t="n">
        <v>44573</v>
      </c>
      <c r="C111" s="1" t="n">
        <v>46038</v>
      </c>
      <c r="D111" t="inlineStr">
        <is>
          <t>VÄSTRA GÖTALANDS LÄN</t>
        </is>
      </c>
      <c r="E111" t="inlineStr">
        <is>
          <t>ALE</t>
        </is>
      </c>
      <c r="G111" t="n">
        <v>3</v>
      </c>
      <c r="H111" t="n">
        <v>0</v>
      </c>
      <c r="I111" t="n">
        <v>0</v>
      </c>
      <c r="J111" t="n">
        <v>0</v>
      </c>
      <c r="K111" t="n">
        <v>0</v>
      </c>
      <c r="L111" t="n">
        <v>0</v>
      </c>
      <c r="M111" t="n">
        <v>0</v>
      </c>
      <c r="N111" t="n">
        <v>0</v>
      </c>
      <c r="O111" t="n">
        <v>0</v>
      </c>
      <c r="P111" t="n">
        <v>0</v>
      </c>
      <c r="Q111" t="n">
        <v>0</v>
      </c>
      <c r="R111" s="2" t="inlineStr"/>
    </row>
    <row r="112" ht="15" customHeight="1">
      <c r="A112" t="inlineStr">
        <is>
          <t>A 12445-2022</t>
        </is>
      </c>
      <c r="B112" s="1" t="n">
        <v>44638</v>
      </c>
      <c r="C112" s="1" t="n">
        <v>46038</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57473-2022</t>
        </is>
      </c>
      <c r="B113" s="1" t="n">
        <v>44896</v>
      </c>
      <c r="C113" s="1" t="n">
        <v>46038</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48213-2025</t>
        </is>
      </c>
      <c r="B114" s="1" t="n">
        <v>45933</v>
      </c>
      <c r="C114" s="1" t="n">
        <v>46038</v>
      </c>
      <c r="D114" t="inlineStr">
        <is>
          <t>VÄSTRA GÖTALANDS LÄN</t>
        </is>
      </c>
      <c r="E114" t="inlineStr">
        <is>
          <t>ALE</t>
        </is>
      </c>
      <c r="G114" t="n">
        <v>3.3</v>
      </c>
      <c r="H114" t="n">
        <v>0</v>
      </c>
      <c r="I114" t="n">
        <v>0</v>
      </c>
      <c r="J114" t="n">
        <v>0</v>
      </c>
      <c r="K114" t="n">
        <v>0</v>
      </c>
      <c r="L114" t="n">
        <v>0</v>
      </c>
      <c r="M114" t="n">
        <v>0</v>
      </c>
      <c r="N114" t="n">
        <v>0</v>
      </c>
      <c r="O114" t="n">
        <v>0</v>
      </c>
      <c r="P114" t="n">
        <v>0</v>
      </c>
      <c r="Q114" t="n">
        <v>0</v>
      </c>
      <c r="R114" s="2" t="inlineStr"/>
    </row>
    <row r="115" ht="15" customHeight="1">
      <c r="A115" t="inlineStr">
        <is>
          <t>A 48257-2022</t>
        </is>
      </c>
      <c r="B115" s="1" t="n">
        <v>44858.47591435185</v>
      </c>
      <c r="C115" s="1" t="n">
        <v>46038</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48218-2025</t>
        </is>
      </c>
      <c r="B116" s="1" t="n">
        <v>45933</v>
      </c>
      <c r="C116" s="1" t="n">
        <v>46038</v>
      </c>
      <c r="D116" t="inlineStr">
        <is>
          <t>VÄSTRA GÖTALANDS LÄN</t>
        </is>
      </c>
      <c r="E116" t="inlineStr">
        <is>
          <t>ALE</t>
        </is>
      </c>
      <c r="G116" t="n">
        <v>1.4</v>
      </c>
      <c r="H116" t="n">
        <v>0</v>
      </c>
      <c r="I116" t="n">
        <v>0</v>
      </c>
      <c r="J116" t="n">
        <v>0</v>
      </c>
      <c r="K116" t="n">
        <v>0</v>
      </c>
      <c r="L116" t="n">
        <v>0</v>
      </c>
      <c r="M116" t="n">
        <v>0</v>
      </c>
      <c r="N116" t="n">
        <v>0</v>
      </c>
      <c r="O116" t="n">
        <v>0</v>
      </c>
      <c r="P116" t="n">
        <v>0</v>
      </c>
      <c r="Q116" t="n">
        <v>0</v>
      </c>
      <c r="R116" s="2" t="inlineStr"/>
    </row>
    <row r="117" ht="15" customHeight="1">
      <c r="A117" t="inlineStr">
        <is>
          <t>A 41309-2024</t>
        </is>
      </c>
      <c r="B117" s="1" t="n">
        <v>45559</v>
      </c>
      <c r="C117" s="1" t="n">
        <v>46038</v>
      </c>
      <c r="D117" t="inlineStr">
        <is>
          <t>VÄSTRA GÖTALANDS LÄN</t>
        </is>
      </c>
      <c r="E117" t="inlineStr">
        <is>
          <t>ALE</t>
        </is>
      </c>
      <c r="G117" t="n">
        <v>8.4</v>
      </c>
      <c r="H117" t="n">
        <v>0</v>
      </c>
      <c r="I117" t="n">
        <v>0</v>
      </c>
      <c r="J117" t="n">
        <v>0</v>
      </c>
      <c r="K117" t="n">
        <v>0</v>
      </c>
      <c r="L117" t="n">
        <v>0</v>
      </c>
      <c r="M117" t="n">
        <v>0</v>
      </c>
      <c r="N117" t="n">
        <v>0</v>
      </c>
      <c r="O117" t="n">
        <v>0</v>
      </c>
      <c r="P117" t="n">
        <v>0</v>
      </c>
      <c r="Q117" t="n">
        <v>0</v>
      </c>
      <c r="R117" s="2" t="inlineStr"/>
    </row>
    <row r="118" ht="15" customHeight="1">
      <c r="A118" t="inlineStr">
        <is>
          <t>A 7807-2023</t>
        </is>
      </c>
      <c r="B118" s="1" t="n">
        <v>44973</v>
      </c>
      <c r="C118" s="1" t="n">
        <v>46038</v>
      </c>
      <c r="D118" t="inlineStr">
        <is>
          <t>VÄSTRA GÖTALANDS LÄN</t>
        </is>
      </c>
      <c r="E118" t="inlineStr">
        <is>
          <t>ALE</t>
        </is>
      </c>
      <c r="G118" t="n">
        <v>10.5</v>
      </c>
      <c r="H118" t="n">
        <v>0</v>
      </c>
      <c r="I118" t="n">
        <v>0</v>
      </c>
      <c r="J118" t="n">
        <v>0</v>
      </c>
      <c r="K118" t="n">
        <v>0</v>
      </c>
      <c r="L118" t="n">
        <v>0</v>
      </c>
      <c r="M118" t="n">
        <v>0</v>
      </c>
      <c r="N118" t="n">
        <v>0</v>
      </c>
      <c r="O118" t="n">
        <v>0</v>
      </c>
      <c r="P118" t="n">
        <v>0</v>
      </c>
      <c r="Q118" t="n">
        <v>0</v>
      </c>
      <c r="R118" s="2" t="inlineStr"/>
    </row>
    <row r="119" ht="15" customHeight="1">
      <c r="A119" t="inlineStr">
        <is>
          <t>A 50189-2025</t>
        </is>
      </c>
      <c r="B119" s="1" t="n">
        <v>45943.63476851852</v>
      </c>
      <c r="C119" s="1" t="n">
        <v>46038</v>
      </c>
      <c r="D119" t="inlineStr">
        <is>
          <t>VÄSTRA GÖTALANDS LÄN</t>
        </is>
      </c>
      <c r="E119" t="inlineStr">
        <is>
          <t>ALE</t>
        </is>
      </c>
      <c r="G119" t="n">
        <v>3</v>
      </c>
      <c r="H119" t="n">
        <v>0</v>
      </c>
      <c r="I119" t="n">
        <v>0</v>
      </c>
      <c r="J119" t="n">
        <v>0</v>
      </c>
      <c r="K119" t="n">
        <v>0</v>
      </c>
      <c r="L119" t="n">
        <v>0</v>
      </c>
      <c r="M119" t="n">
        <v>0</v>
      </c>
      <c r="N119" t="n">
        <v>0</v>
      </c>
      <c r="O119" t="n">
        <v>0</v>
      </c>
      <c r="P119" t="n">
        <v>0</v>
      </c>
      <c r="Q119" t="n">
        <v>0</v>
      </c>
      <c r="R119" s="2" t="inlineStr"/>
    </row>
    <row r="120" ht="15" customHeight="1">
      <c r="A120" t="inlineStr">
        <is>
          <t>A 3413-2023</t>
        </is>
      </c>
      <c r="B120" s="1" t="n">
        <v>44949</v>
      </c>
      <c r="C120" s="1" t="n">
        <v>46038</v>
      </c>
      <c r="D120" t="inlineStr">
        <is>
          <t>VÄSTRA GÖTALANDS LÄN</t>
        </is>
      </c>
      <c r="E120" t="inlineStr">
        <is>
          <t>ALE</t>
        </is>
      </c>
      <c r="G120" t="n">
        <v>2.3</v>
      </c>
      <c r="H120" t="n">
        <v>0</v>
      </c>
      <c r="I120" t="n">
        <v>0</v>
      </c>
      <c r="J120" t="n">
        <v>0</v>
      </c>
      <c r="K120" t="n">
        <v>0</v>
      </c>
      <c r="L120" t="n">
        <v>0</v>
      </c>
      <c r="M120" t="n">
        <v>0</v>
      </c>
      <c r="N120" t="n">
        <v>0</v>
      </c>
      <c r="O120" t="n">
        <v>0</v>
      </c>
      <c r="P120" t="n">
        <v>0</v>
      </c>
      <c r="Q120" t="n">
        <v>0</v>
      </c>
      <c r="R120" s="2" t="inlineStr"/>
    </row>
    <row r="121" ht="15" customHeight="1">
      <c r="A121" t="inlineStr">
        <is>
          <t>A 50973-2025</t>
        </is>
      </c>
      <c r="B121" s="1" t="n">
        <v>45947.31263888889</v>
      </c>
      <c r="C121" s="1" t="n">
        <v>46038</v>
      </c>
      <c r="D121" t="inlineStr">
        <is>
          <t>VÄSTRA GÖTALANDS LÄN</t>
        </is>
      </c>
      <c r="E121" t="inlineStr">
        <is>
          <t>ALE</t>
        </is>
      </c>
      <c r="G121" t="n">
        <v>12</v>
      </c>
      <c r="H121" t="n">
        <v>0</v>
      </c>
      <c r="I121" t="n">
        <v>0</v>
      </c>
      <c r="J121" t="n">
        <v>0</v>
      </c>
      <c r="K121" t="n">
        <v>0</v>
      </c>
      <c r="L121" t="n">
        <v>0</v>
      </c>
      <c r="M121" t="n">
        <v>0</v>
      </c>
      <c r="N121" t="n">
        <v>0</v>
      </c>
      <c r="O121" t="n">
        <v>0</v>
      </c>
      <c r="P121" t="n">
        <v>0</v>
      </c>
      <c r="Q121" t="n">
        <v>0</v>
      </c>
      <c r="R121" s="2" t="inlineStr"/>
    </row>
    <row r="122" ht="15" customHeight="1">
      <c r="A122" t="inlineStr">
        <is>
          <t>A 51976-2025</t>
        </is>
      </c>
      <c r="B122" s="1" t="n">
        <v>45952.56412037037</v>
      </c>
      <c r="C122" s="1" t="n">
        <v>46038</v>
      </c>
      <c r="D122" t="inlineStr">
        <is>
          <t>VÄSTRA GÖTALANDS LÄN</t>
        </is>
      </c>
      <c r="E122" t="inlineStr">
        <is>
          <t>ALE</t>
        </is>
      </c>
      <c r="G122" t="n">
        <v>5.2</v>
      </c>
      <c r="H122" t="n">
        <v>0</v>
      </c>
      <c r="I122" t="n">
        <v>0</v>
      </c>
      <c r="J122" t="n">
        <v>0</v>
      </c>
      <c r="K122" t="n">
        <v>0</v>
      </c>
      <c r="L122" t="n">
        <v>0</v>
      </c>
      <c r="M122" t="n">
        <v>0</v>
      </c>
      <c r="N122" t="n">
        <v>0</v>
      </c>
      <c r="O122" t="n">
        <v>0</v>
      </c>
      <c r="P122" t="n">
        <v>0</v>
      </c>
      <c r="Q122" t="n">
        <v>0</v>
      </c>
      <c r="R122" s="2" t="inlineStr"/>
    </row>
    <row r="123" ht="15" customHeight="1">
      <c r="A123" t="inlineStr">
        <is>
          <t>A 52423-2025</t>
        </is>
      </c>
      <c r="B123" s="1" t="n">
        <v>45954.37650462963</v>
      </c>
      <c r="C123" s="1" t="n">
        <v>46038</v>
      </c>
      <c r="D123" t="inlineStr">
        <is>
          <t>VÄSTRA GÖTALANDS LÄN</t>
        </is>
      </c>
      <c r="E123" t="inlineStr">
        <is>
          <t>ALE</t>
        </is>
      </c>
      <c r="G123" t="n">
        <v>4.1</v>
      </c>
      <c r="H123" t="n">
        <v>0</v>
      </c>
      <c r="I123" t="n">
        <v>0</v>
      </c>
      <c r="J123" t="n">
        <v>0</v>
      </c>
      <c r="K123" t="n">
        <v>0</v>
      </c>
      <c r="L123" t="n">
        <v>0</v>
      </c>
      <c r="M123" t="n">
        <v>0</v>
      </c>
      <c r="N123" t="n">
        <v>0</v>
      </c>
      <c r="O123" t="n">
        <v>0</v>
      </c>
      <c r="P123" t="n">
        <v>0</v>
      </c>
      <c r="Q123" t="n">
        <v>0</v>
      </c>
      <c r="R123" s="2" t="inlineStr"/>
    </row>
    <row r="124" ht="15" customHeight="1">
      <c r="A124" t="inlineStr">
        <is>
          <t>A 52391-2025</t>
        </is>
      </c>
      <c r="B124" s="1" t="n">
        <v>45954.34305555555</v>
      </c>
      <c r="C124" s="1" t="n">
        <v>46038</v>
      </c>
      <c r="D124" t="inlineStr">
        <is>
          <t>VÄSTRA GÖTALANDS LÄN</t>
        </is>
      </c>
      <c r="E124" t="inlineStr">
        <is>
          <t>ALE</t>
        </is>
      </c>
      <c r="G124" t="n">
        <v>10.6</v>
      </c>
      <c r="H124" t="n">
        <v>0</v>
      </c>
      <c r="I124" t="n">
        <v>0</v>
      </c>
      <c r="J124" t="n">
        <v>0</v>
      </c>
      <c r="K124" t="n">
        <v>0</v>
      </c>
      <c r="L124" t="n">
        <v>0</v>
      </c>
      <c r="M124" t="n">
        <v>0</v>
      </c>
      <c r="N124" t="n">
        <v>0</v>
      </c>
      <c r="O124" t="n">
        <v>0</v>
      </c>
      <c r="P124" t="n">
        <v>0</v>
      </c>
      <c r="Q124" t="n">
        <v>0</v>
      </c>
      <c r="R124" s="2" t="inlineStr"/>
    </row>
    <row r="125" ht="15" customHeight="1">
      <c r="A125" t="inlineStr">
        <is>
          <t>A 61819-2025</t>
        </is>
      </c>
      <c r="B125" s="1" t="n">
        <v>46003.3241087963</v>
      </c>
      <c r="C125" s="1" t="n">
        <v>46038</v>
      </c>
      <c r="D125" t="inlineStr">
        <is>
          <t>VÄSTRA GÖTALANDS LÄN</t>
        </is>
      </c>
      <c r="E125" t="inlineStr">
        <is>
          <t>ALE</t>
        </is>
      </c>
      <c r="G125" t="n">
        <v>5.1</v>
      </c>
      <c r="H125" t="n">
        <v>0</v>
      </c>
      <c r="I125" t="n">
        <v>0</v>
      </c>
      <c r="J125" t="n">
        <v>0</v>
      </c>
      <c r="K125" t="n">
        <v>0</v>
      </c>
      <c r="L125" t="n">
        <v>0</v>
      </c>
      <c r="M125" t="n">
        <v>0</v>
      </c>
      <c r="N125" t="n">
        <v>0</v>
      </c>
      <c r="O125" t="n">
        <v>0</v>
      </c>
      <c r="P125" t="n">
        <v>0</v>
      </c>
      <c r="Q125" t="n">
        <v>0</v>
      </c>
      <c r="R125" s="2" t="inlineStr"/>
    </row>
    <row r="126" ht="15" customHeight="1">
      <c r="A126" t="inlineStr">
        <is>
          <t>A 35959-2022</t>
        </is>
      </c>
      <c r="B126" s="1" t="n">
        <v>44802.57002314815</v>
      </c>
      <c r="C126" s="1" t="n">
        <v>46038</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61771-2025</t>
        </is>
      </c>
      <c r="B127" s="1" t="n">
        <v>46002.6478587963</v>
      </c>
      <c r="C127" s="1" t="n">
        <v>46038</v>
      </c>
      <c r="D127" t="inlineStr">
        <is>
          <t>VÄSTRA GÖTALANDS LÄN</t>
        </is>
      </c>
      <c r="E127" t="inlineStr">
        <is>
          <t>ALE</t>
        </is>
      </c>
      <c r="G127" t="n">
        <v>3.9</v>
      </c>
      <c r="H127" t="n">
        <v>0</v>
      </c>
      <c r="I127" t="n">
        <v>0</v>
      </c>
      <c r="J127" t="n">
        <v>0</v>
      </c>
      <c r="K127" t="n">
        <v>0</v>
      </c>
      <c r="L127" t="n">
        <v>0</v>
      </c>
      <c r="M127" t="n">
        <v>0</v>
      </c>
      <c r="N127" t="n">
        <v>0</v>
      </c>
      <c r="O127" t="n">
        <v>0</v>
      </c>
      <c r="P127" t="n">
        <v>0</v>
      </c>
      <c r="Q127" t="n">
        <v>0</v>
      </c>
      <c r="R127" s="2" t="inlineStr"/>
    </row>
    <row r="128" ht="15" customHeight="1">
      <c r="A128" t="inlineStr">
        <is>
          <t>A 61744-2025</t>
        </is>
      </c>
      <c r="B128" s="1" t="n">
        <v>46002.60298611111</v>
      </c>
      <c r="C128" s="1" t="n">
        <v>46038</v>
      </c>
      <c r="D128" t="inlineStr">
        <is>
          <t>VÄSTRA GÖTALANDS LÄN</t>
        </is>
      </c>
      <c r="E128" t="inlineStr">
        <is>
          <t>ALE</t>
        </is>
      </c>
      <c r="G128" t="n">
        <v>3.1</v>
      </c>
      <c r="H128" t="n">
        <v>0</v>
      </c>
      <c r="I128" t="n">
        <v>0</v>
      </c>
      <c r="J128" t="n">
        <v>0</v>
      </c>
      <c r="K128" t="n">
        <v>0</v>
      </c>
      <c r="L128" t="n">
        <v>0</v>
      </c>
      <c r="M128" t="n">
        <v>0</v>
      </c>
      <c r="N128" t="n">
        <v>0</v>
      </c>
      <c r="O128" t="n">
        <v>0</v>
      </c>
      <c r="P128" t="n">
        <v>0</v>
      </c>
      <c r="Q128" t="n">
        <v>0</v>
      </c>
      <c r="R128" s="2" t="inlineStr"/>
    </row>
    <row r="129" ht="15" customHeight="1">
      <c r="A129" t="inlineStr">
        <is>
          <t>A 14493-2024</t>
        </is>
      </c>
      <c r="B129" s="1" t="n">
        <v>45394.58491898148</v>
      </c>
      <c r="C129" s="1" t="n">
        <v>46038</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1500-2024</t>
        </is>
      </c>
      <c r="B130" s="1" t="n">
        <v>45306</v>
      </c>
      <c r="C130" s="1" t="n">
        <v>46038</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1687-2024</t>
        </is>
      </c>
      <c r="B131" s="1" t="n">
        <v>45306</v>
      </c>
      <c r="C131" s="1" t="n">
        <v>46038</v>
      </c>
      <c r="D131" t="inlineStr">
        <is>
          <t>VÄSTRA GÖTALANDS LÄN</t>
        </is>
      </c>
      <c r="E131" t="inlineStr">
        <is>
          <t>ALE</t>
        </is>
      </c>
      <c r="G131" t="n">
        <v>3.4</v>
      </c>
      <c r="H131" t="n">
        <v>0</v>
      </c>
      <c r="I131" t="n">
        <v>0</v>
      </c>
      <c r="J131" t="n">
        <v>0</v>
      </c>
      <c r="K131" t="n">
        <v>0</v>
      </c>
      <c r="L131" t="n">
        <v>0</v>
      </c>
      <c r="M131" t="n">
        <v>0</v>
      </c>
      <c r="N131" t="n">
        <v>0</v>
      </c>
      <c r="O131" t="n">
        <v>0</v>
      </c>
      <c r="P131" t="n">
        <v>0</v>
      </c>
      <c r="Q131" t="n">
        <v>0</v>
      </c>
      <c r="R131" s="2" t="inlineStr"/>
    </row>
    <row r="132" ht="15" customHeight="1">
      <c r="A132" t="inlineStr">
        <is>
          <t>A 62828-2025</t>
        </is>
      </c>
      <c r="B132" s="1" t="n">
        <v>46008.66553240741</v>
      </c>
      <c r="C132" s="1" t="n">
        <v>46038</v>
      </c>
      <c r="D132" t="inlineStr">
        <is>
          <t>VÄSTRA GÖTALANDS LÄN</t>
        </is>
      </c>
      <c r="E132" t="inlineStr">
        <is>
          <t>ALE</t>
        </is>
      </c>
      <c r="G132" t="n">
        <v>2.6</v>
      </c>
      <c r="H132" t="n">
        <v>0</v>
      </c>
      <c r="I132" t="n">
        <v>0</v>
      </c>
      <c r="J132" t="n">
        <v>0</v>
      </c>
      <c r="K132" t="n">
        <v>0</v>
      </c>
      <c r="L132" t="n">
        <v>0</v>
      </c>
      <c r="M132" t="n">
        <v>0</v>
      </c>
      <c r="N132" t="n">
        <v>0</v>
      </c>
      <c r="O132" t="n">
        <v>0</v>
      </c>
      <c r="P132" t="n">
        <v>0</v>
      </c>
      <c r="Q132" t="n">
        <v>0</v>
      </c>
      <c r="R132" s="2" t="inlineStr"/>
    </row>
    <row r="133" ht="15" customHeight="1">
      <c r="A133" t="inlineStr">
        <is>
          <t>A 14458-2024</t>
        </is>
      </c>
      <c r="B133" s="1" t="n">
        <v>45394</v>
      </c>
      <c r="C133" s="1" t="n">
        <v>46038</v>
      </c>
      <c r="D133" t="inlineStr">
        <is>
          <t>VÄSTRA GÖTALANDS LÄN</t>
        </is>
      </c>
      <c r="E133" t="inlineStr">
        <is>
          <t>ALE</t>
        </is>
      </c>
      <c r="G133" t="n">
        <v>0.5</v>
      </c>
      <c r="H133" t="n">
        <v>0</v>
      </c>
      <c r="I133" t="n">
        <v>0</v>
      </c>
      <c r="J133" t="n">
        <v>0</v>
      </c>
      <c r="K133" t="n">
        <v>0</v>
      </c>
      <c r="L133" t="n">
        <v>0</v>
      </c>
      <c r="M133" t="n">
        <v>0</v>
      </c>
      <c r="N133" t="n">
        <v>0</v>
      </c>
      <c r="O133" t="n">
        <v>0</v>
      </c>
      <c r="P133" t="n">
        <v>0</v>
      </c>
      <c r="Q133" t="n">
        <v>0</v>
      </c>
      <c r="R133" s="2" t="inlineStr"/>
    </row>
    <row r="134" ht="15" customHeight="1">
      <c r="A134" t="inlineStr">
        <is>
          <t>A 42446-2023</t>
        </is>
      </c>
      <c r="B134" s="1" t="n">
        <v>45180</v>
      </c>
      <c r="C134" s="1" t="n">
        <v>46038</v>
      </c>
      <c r="D134" t="inlineStr">
        <is>
          <t>VÄSTRA GÖTALANDS LÄN</t>
        </is>
      </c>
      <c r="E134" t="inlineStr">
        <is>
          <t>ALE</t>
        </is>
      </c>
      <c r="G134" t="n">
        <v>0.8</v>
      </c>
      <c r="H134" t="n">
        <v>0</v>
      </c>
      <c r="I134" t="n">
        <v>0</v>
      </c>
      <c r="J134" t="n">
        <v>0</v>
      </c>
      <c r="K134" t="n">
        <v>0</v>
      </c>
      <c r="L134" t="n">
        <v>0</v>
      </c>
      <c r="M134" t="n">
        <v>0</v>
      </c>
      <c r="N134" t="n">
        <v>0</v>
      </c>
      <c r="O134" t="n">
        <v>0</v>
      </c>
      <c r="P134" t="n">
        <v>0</v>
      </c>
      <c r="Q134" t="n">
        <v>0</v>
      </c>
      <c r="R134" s="2" t="inlineStr"/>
    </row>
    <row r="135" ht="15" customHeight="1">
      <c r="A135" t="inlineStr">
        <is>
          <t>A 56905-2025</t>
        </is>
      </c>
      <c r="B135" s="1" t="n">
        <v>45978.57502314815</v>
      </c>
      <c r="C135" s="1" t="n">
        <v>46038</v>
      </c>
      <c r="D135" t="inlineStr">
        <is>
          <t>VÄSTRA GÖTALANDS LÄN</t>
        </is>
      </c>
      <c r="E135" t="inlineStr">
        <is>
          <t>ALE</t>
        </is>
      </c>
      <c r="G135" t="n">
        <v>5.2</v>
      </c>
      <c r="H135" t="n">
        <v>0</v>
      </c>
      <c r="I135" t="n">
        <v>0</v>
      </c>
      <c r="J135" t="n">
        <v>0</v>
      </c>
      <c r="K135" t="n">
        <v>0</v>
      </c>
      <c r="L135" t="n">
        <v>0</v>
      </c>
      <c r="M135" t="n">
        <v>0</v>
      </c>
      <c r="N135" t="n">
        <v>0</v>
      </c>
      <c r="O135" t="n">
        <v>0</v>
      </c>
      <c r="P135" t="n">
        <v>0</v>
      </c>
      <c r="Q135" t="n">
        <v>0</v>
      </c>
      <c r="R135" s="2" t="inlineStr"/>
    </row>
    <row r="136" ht="15" customHeight="1">
      <c r="A136" t="inlineStr">
        <is>
          <t>A 58414-2025</t>
        </is>
      </c>
      <c r="B136" s="1" t="n">
        <v>45985.57778935185</v>
      </c>
      <c r="C136" s="1" t="n">
        <v>46038</v>
      </c>
      <c r="D136" t="inlineStr">
        <is>
          <t>VÄSTRA GÖTALANDS LÄN</t>
        </is>
      </c>
      <c r="E136" t="inlineStr">
        <is>
          <t>ALE</t>
        </is>
      </c>
      <c r="G136" t="n">
        <v>4.3</v>
      </c>
      <c r="H136" t="n">
        <v>0</v>
      </c>
      <c r="I136" t="n">
        <v>0</v>
      </c>
      <c r="J136" t="n">
        <v>0</v>
      </c>
      <c r="K136" t="n">
        <v>0</v>
      </c>
      <c r="L136" t="n">
        <v>0</v>
      </c>
      <c r="M136" t="n">
        <v>0</v>
      </c>
      <c r="N136" t="n">
        <v>0</v>
      </c>
      <c r="O136" t="n">
        <v>0</v>
      </c>
      <c r="P136" t="n">
        <v>0</v>
      </c>
      <c r="Q136" t="n">
        <v>0</v>
      </c>
      <c r="R136" s="2" t="inlineStr"/>
    </row>
    <row r="137" ht="15" customHeight="1">
      <c r="A137" t="inlineStr">
        <is>
          <t>A 33237-2024</t>
        </is>
      </c>
      <c r="B137" s="1" t="n">
        <v>45518.59173611111</v>
      </c>
      <c r="C137" s="1" t="n">
        <v>46038</v>
      </c>
      <c r="D137" t="inlineStr">
        <is>
          <t>VÄSTRA GÖTALANDS LÄN</t>
        </is>
      </c>
      <c r="E137" t="inlineStr">
        <is>
          <t>ALE</t>
        </is>
      </c>
      <c r="G137" t="n">
        <v>0.6</v>
      </c>
      <c r="H137" t="n">
        <v>0</v>
      </c>
      <c r="I137" t="n">
        <v>0</v>
      </c>
      <c r="J137" t="n">
        <v>0</v>
      </c>
      <c r="K137" t="n">
        <v>0</v>
      </c>
      <c r="L137" t="n">
        <v>0</v>
      </c>
      <c r="M137" t="n">
        <v>0</v>
      </c>
      <c r="N137" t="n">
        <v>0</v>
      </c>
      <c r="O137" t="n">
        <v>0</v>
      </c>
      <c r="P137" t="n">
        <v>0</v>
      </c>
      <c r="Q137" t="n">
        <v>0</v>
      </c>
      <c r="R137" s="2" t="inlineStr"/>
    </row>
    <row r="138" ht="15" customHeight="1">
      <c r="A138" t="inlineStr">
        <is>
          <t>A 12055-2022</t>
        </is>
      </c>
      <c r="B138" s="1" t="n">
        <v>44636</v>
      </c>
      <c r="C138" s="1" t="n">
        <v>46038</v>
      </c>
      <c r="D138" t="inlineStr">
        <is>
          <t>VÄSTRA GÖTALANDS LÄN</t>
        </is>
      </c>
      <c r="E138" t="inlineStr">
        <is>
          <t>ALE</t>
        </is>
      </c>
      <c r="G138" t="n">
        <v>0.2</v>
      </c>
      <c r="H138" t="n">
        <v>0</v>
      </c>
      <c r="I138" t="n">
        <v>0</v>
      </c>
      <c r="J138" t="n">
        <v>0</v>
      </c>
      <c r="K138" t="n">
        <v>0</v>
      </c>
      <c r="L138" t="n">
        <v>0</v>
      </c>
      <c r="M138" t="n">
        <v>0</v>
      </c>
      <c r="N138" t="n">
        <v>0</v>
      </c>
      <c r="O138" t="n">
        <v>0</v>
      </c>
      <c r="P138" t="n">
        <v>0</v>
      </c>
      <c r="Q138" t="n">
        <v>0</v>
      </c>
      <c r="R138" s="2" t="inlineStr"/>
    </row>
    <row r="139" ht="15" customHeight="1">
      <c r="A139" t="inlineStr">
        <is>
          <t>A 31407-2025</t>
        </is>
      </c>
      <c r="B139" s="1" t="n">
        <v>45833</v>
      </c>
      <c r="C139" s="1" t="n">
        <v>46038</v>
      </c>
      <c r="D139" t="inlineStr">
        <is>
          <t>VÄSTRA GÖTALANDS LÄN</t>
        </is>
      </c>
      <c r="E139" t="inlineStr">
        <is>
          <t>ALE</t>
        </is>
      </c>
      <c r="G139" t="n">
        <v>0.8</v>
      </c>
      <c r="H139" t="n">
        <v>0</v>
      </c>
      <c r="I139" t="n">
        <v>0</v>
      </c>
      <c r="J139" t="n">
        <v>0</v>
      </c>
      <c r="K139" t="n">
        <v>0</v>
      </c>
      <c r="L139" t="n">
        <v>0</v>
      </c>
      <c r="M139" t="n">
        <v>0</v>
      </c>
      <c r="N139" t="n">
        <v>0</v>
      </c>
      <c r="O139" t="n">
        <v>0</v>
      </c>
      <c r="P139" t="n">
        <v>0</v>
      </c>
      <c r="Q139" t="n">
        <v>0</v>
      </c>
      <c r="R139" s="2" t="inlineStr"/>
    </row>
    <row r="140" ht="15" customHeight="1">
      <c r="A140" t="inlineStr">
        <is>
          <t>A 59409-2025</t>
        </is>
      </c>
      <c r="B140" s="1" t="n">
        <v>45989.49545138889</v>
      </c>
      <c r="C140" s="1" t="n">
        <v>46038</v>
      </c>
      <c r="D140" t="inlineStr">
        <is>
          <t>VÄSTRA GÖTALANDS LÄN</t>
        </is>
      </c>
      <c r="E140" t="inlineStr">
        <is>
          <t>ALE</t>
        </is>
      </c>
      <c r="G140" t="n">
        <v>0.3</v>
      </c>
      <c r="H140" t="n">
        <v>0</v>
      </c>
      <c r="I140" t="n">
        <v>0</v>
      </c>
      <c r="J140" t="n">
        <v>0</v>
      </c>
      <c r="K140" t="n">
        <v>0</v>
      </c>
      <c r="L140" t="n">
        <v>0</v>
      </c>
      <c r="M140" t="n">
        <v>0</v>
      </c>
      <c r="N140" t="n">
        <v>0</v>
      </c>
      <c r="O140" t="n">
        <v>0</v>
      </c>
      <c r="P140" t="n">
        <v>0</v>
      </c>
      <c r="Q140" t="n">
        <v>0</v>
      </c>
      <c r="R140" s="2" t="inlineStr"/>
    </row>
    <row r="141" ht="15" customHeight="1">
      <c r="A141" t="inlineStr">
        <is>
          <t>A 1291-2026</t>
        </is>
      </c>
      <c r="B141" s="1" t="n">
        <v>46031.50569444444</v>
      </c>
      <c r="C141" s="1" t="n">
        <v>46038</v>
      </c>
      <c r="D141" t="inlineStr">
        <is>
          <t>VÄSTRA GÖTALANDS LÄN</t>
        </is>
      </c>
      <c r="E141" t="inlineStr">
        <is>
          <t>ALE</t>
        </is>
      </c>
      <c r="G141" t="n">
        <v>0.9</v>
      </c>
      <c r="H141" t="n">
        <v>0</v>
      </c>
      <c r="I141" t="n">
        <v>0</v>
      </c>
      <c r="J141" t="n">
        <v>0</v>
      </c>
      <c r="K141" t="n">
        <v>0</v>
      </c>
      <c r="L141" t="n">
        <v>0</v>
      </c>
      <c r="M141" t="n">
        <v>0</v>
      </c>
      <c r="N141" t="n">
        <v>0</v>
      </c>
      <c r="O141" t="n">
        <v>0</v>
      </c>
      <c r="P141" t="n">
        <v>0</v>
      </c>
      <c r="Q141" t="n">
        <v>0</v>
      </c>
      <c r="R141" s="2" t="inlineStr"/>
    </row>
    <row r="142" ht="15" customHeight="1">
      <c r="A142" t="inlineStr">
        <is>
          <t>A 36763-2022</t>
        </is>
      </c>
      <c r="B142" s="1" t="n">
        <v>44805</v>
      </c>
      <c r="C142" s="1" t="n">
        <v>46038</v>
      </c>
      <c r="D142" t="inlineStr">
        <is>
          <t>VÄSTRA GÖTALANDS LÄN</t>
        </is>
      </c>
      <c r="E142" t="inlineStr">
        <is>
          <t>ALE</t>
        </is>
      </c>
      <c r="G142" t="n">
        <v>6.1</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44949.54909722223</v>
      </c>
      <c r="C143" s="1" t="n">
        <v>46038</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15241-2025</t>
        </is>
      </c>
      <c r="B144" s="1" t="n">
        <v>45744.61255787037</v>
      </c>
      <c r="C144" s="1" t="n">
        <v>46038</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49680-2024</t>
        </is>
      </c>
      <c r="B145" s="1" t="n">
        <v>45596.66880787037</v>
      </c>
      <c r="C145" s="1" t="n">
        <v>46038</v>
      </c>
      <c r="D145" t="inlineStr">
        <is>
          <t>VÄSTRA GÖTALANDS LÄN</t>
        </is>
      </c>
      <c r="E145" t="inlineStr">
        <is>
          <t>ALE</t>
        </is>
      </c>
      <c r="G145" t="n">
        <v>3.7</v>
      </c>
      <c r="H145" t="n">
        <v>0</v>
      </c>
      <c r="I145" t="n">
        <v>0</v>
      </c>
      <c r="J145" t="n">
        <v>0</v>
      </c>
      <c r="K145" t="n">
        <v>0</v>
      </c>
      <c r="L145" t="n">
        <v>0</v>
      </c>
      <c r="M145" t="n">
        <v>0</v>
      </c>
      <c r="N145" t="n">
        <v>0</v>
      </c>
      <c r="O145" t="n">
        <v>0</v>
      </c>
      <c r="P145" t="n">
        <v>0</v>
      </c>
      <c r="Q145" t="n">
        <v>0</v>
      </c>
      <c r="R145" s="2" t="inlineStr"/>
    </row>
    <row r="146" ht="15" customHeight="1">
      <c r="A146" t="inlineStr">
        <is>
          <t>A 34153-2024</t>
        </is>
      </c>
      <c r="B146" s="1" t="n">
        <v>45524.38400462963</v>
      </c>
      <c r="C146" s="1" t="n">
        <v>46038</v>
      </c>
      <c r="D146" t="inlineStr">
        <is>
          <t>VÄSTRA GÖTALANDS LÄN</t>
        </is>
      </c>
      <c r="E146" t="inlineStr">
        <is>
          <t>ALE</t>
        </is>
      </c>
      <c r="G146" t="n">
        <v>0.8</v>
      </c>
      <c r="H146" t="n">
        <v>0</v>
      </c>
      <c r="I146" t="n">
        <v>0</v>
      </c>
      <c r="J146" t="n">
        <v>0</v>
      </c>
      <c r="K146" t="n">
        <v>0</v>
      </c>
      <c r="L146" t="n">
        <v>0</v>
      </c>
      <c r="M146" t="n">
        <v>0</v>
      </c>
      <c r="N146" t="n">
        <v>0</v>
      </c>
      <c r="O146" t="n">
        <v>0</v>
      </c>
      <c r="P146" t="n">
        <v>0</v>
      </c>
      <c r="Q146" t="n">
        <v>0</v>
      </c>
      <c r="R146" s="2" t="inlineStr"/>
    </row>
    <row r="147" ht="15" customHeight="1">
      <c r="A147" t="inlineStr">
        <is>
          <t>A 14731-2022</t>
        </is>
      </c>
      <c r="B147" s="1" t="n">
        <v>44656</v>
      </c>
      <c r="C147" s="1" t="n">
        <v>46038</v>
      </c>
      <c r="D147" t="inlineStr">
        <is>
          <t>VÄSTRA GÖTALANDS LÄN</t>
        </is>
      </c>
      <c r="E147" t="inlineStr">
        <is>
          <t>ALE</t>
        </is>
      </c>
      <c r="G147" t="n">
        <v>1.8</v>
      </c>
      <c r="H147" t="n">
        <v>0</v>
      </c>
      <c r="I147" t="n">
        <v>0</v>
      </c>
      <c r="J147" t="n">
        <v>0</v>
      </c>
      <c r="K147" t="n">
        <v>0</v>
      </c>
      <c r="L147" t="n">
        <v>0</v>
      </c>
      <c r="M147" t="n">
        <v>0</v>
      </c>
      <c r="N147" t="n">
        <v>0</v>
      </c>
      <c r="O147" t="n">
        <v>0</v>
      </c>
      <c r="P147" t="n">
        <v>0</v>
      </c>
      <c r="Q147" t="n">
        <v>0</v>
      </c>
      <c r="R147" s="2" t="inlineStr"/>
    </row>
    <row r="148" ht="15" customHeight="1">
      <c r="A148" t="inlineStr">
        <is>
          <t>A 2414-2026</t>
        </is>
      </c>
      <c r="B148" s="1" t="n">
        <v>46036.74319444445</v>
      </c>
      <c r="C148" s="1" t="n">
        <v>46038</v>
      </c>
      <c r="D148" t="inlineStr">
        <is>
          <t>VÄSTRA GÖTALANDS LÄN</t>
        </is>
      </c>
      <c r="E148" t="inlineStr">
        <is>
          <t>ALE</t>
        </is>
      </c>
      <c r="G148" t="n">
        <v>3.3</v>
      </c>
      <c r="H148" t="n">
        <v>0</v>
      </c>
      <c r="I148" t="n">
        <v>0</v>
      </c>
      <c r="J148" t="n">
        <v>0</v>
      </c>
      <c r="K148" t="n">
        <v>0</v>
      </c>
      <c r="L148" t="n">
        <v>0</v>
      </c>
      <c r="M148" t="n">
        <v>0</v>
      </c>
      <c r="N148" t="n">
        <v>0</v>
      </c>
      <c r="O148" t="n">
        <v>0</v>
      </c>
      <c r="P148" t="n">
        <v>0</v>
      </c>
      <c r="Q148" t="n">
        <v>0</v>
      </c>
      <c r="R148" s="2" t="inlineStr"/>
    </row>
    <row r="149" ht="15" customHeight="1">
      <c r="A149" t="inlineStr">
        <is>
          <t>A 60287-2025</t>
        </is>
      </c>
      <c r="B149" s="1" t="n">
        <v>45994.64711805555</v>
      </c>
      <c r="C149" s="1" t="n">
        <v>46038</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41598-2022</t>
        </is>
      </c>
      <c r="B150" s="1" t="n">
        <v>44827.4609837963</v>
      </c>
      <c r="C150" s="1" t="n">
        <v>46038</v>
      </c>
      <c r="D150" t="inlineStr">
        <is>
          <t>VÄSTRA GÖTALANDS LÄN</t>
        </is>
      </c>
      <c r="E150" t="inlineStr">
        <is>
          <t>ALE</t>
        </is>
      </c>
      <c r="G150" t="n">
        <v>2</v>
      </c>
      <c r="H150" t="n">
        <v>0</v>
      </c>
      <c r="I150" t="n">
        <v>0</v>
      </c>
      <c r="J150" t="n">
        <v>0</v>
      </c>
      <c r="K150" t="n">
        <v>0</v>
      </c>
      <c r="L150" t="n">
        <v>0</v>
      </c>
      <c r="M150" t="n">
        <v>0</v>
      </c>
      <c r="N150" t="n">
        <v>0</v>
      </c>
      <c r="O150" t="n">
        <v>0</v>
      </c>
      <c r="P150" t="n">
        <v>0</v>
      </c>
      <c r="Q150" t="n">
        <v>0</v>
      </c>
      <c r="R150" s="2" t="inlineStr"/>
    </row>
    <row r="151" ht="15" customHeight="1">
      <c r="A151" t="inlineStr">
        <is>
          <t>A 4642-2024</t>
        </is>
      </c>
      <c r="B151" s="1" t="n">
        <v>45328.43502314815</v>
      </c>
      <c r="C151" s="1" t="n">
        <v>46038</v>
      </c>
      <c r="D151" t="inlineStr">
        <is>
          <t>VÄSTRA GÖTALANDS LÄN</t>
        </is>
      </c>
      <c r="E151" t="inlineStr">
        <is>
          <t>ALE</t>
        </is>
      </c>
      <c r="G151" t="n">
        <v>7.1</v>
      </c>
      <c r="H151" t="n">
        <v>0</v>
      </c>
      <c r="I151" t="n">
        <v>0</v>
      </c>
      <c r="J151" t="n">
        <v>0</v>
      </c>
      <c r="K151" t="n">
        <v>0</v>
      </c>
      <c r="L151" t="n">
        <v>0</v>
      </c>
      <c r="M151" t="n">
        <v>0</v>
      </c>
      <c r="N151" t="n">
        <v>0</v>
      </c>
      <c r="O151" t="n">
        <v>0</v>
      </c>
      <c r="P151" t="n">
        <v>0</v>
      </c>
      <c r="Q151" t="n">
        <v>0</v>
      </c>
      <c r="R151" s="2" t="inlineStr"/>
    </row>
    <row r="152" ht="15" customHeight="1">
      <c r="A152" t="inlineStr">
        <is>
          <t>A 5916-2023</t>
        </is>
      </c>
      <c r="B152" s="1" t="n">
        <v>44963</v>
      </c>
      <c r="C152" s="1" t="n">
        <v>46038</v>
      </c>
      <c r="D152" t="inlineStr">
        <is>
          <t>VÄSTRA GÖTALANDS LÄN</t>
        </is>
      </c>
      <c r="E152" t="inlineStr">
        <is>
          <t>ALE</t>
        </is>
      </c>
      <c r="G152" t="n">
        <v>4.2</v>
      </c>
      <c r="H152" t="n">
        <v>0</v>
      </c>
      <c r="I152" t="n">
        <v>0</v>
      </c>
      <c r="J152" t="n">
        <v>0</v>
      </c>
      <c r="K152" t="n">
        <v>0</v>
      </c>
      <c r="L152" t="n">
        <v>0</v>
      </c>
      <c r="M152" t="n">
        <v>0</v>
      </c>
      <c r="N152" t="n">
        <v>0</v>
      </c>
      <c r="O152" t="n">
        <v>0</v>
      </c>
      <c r="P152" t="n">
        <v>0</v>
      </c>
      <c r="Q152" t="n">
        <v>0</v>
      </c>
      <c r="R152" s="2" t="inlineStr"/>
    </row>
    <row r="153" ht="15" customHeight="1">
      <c r="A153" t="inlineStr">
        <is>
          <t>A 3457-2022</t>
        </is>
      </c>
      <c r="B153" s="1" t="n">
        <v>44585</v>
      </c>
      <c r="C153" s="1" t="n">
        <v>46038</v>
      </c>
      <c r="D153" t="inlineStr">
        <is>
          <t>VÄSTRA GÖTALANDS LÄN</t>
        </is>
      </c>
      <c r="E153" t="inlineStr">
        <is>
          <t>ALE</t>
        </is>
      </c>
      <c r="G153" t="n">
        <v>5.1</v>
      </c>
      <c r="H153" t="n">
        <v>0</v>
      </c>
      <c r="I153" t="n">
        <v>0</v>
      </c>
      <c r="J153" t="n">
        <v>0</v>
      </c>
      <c r="K153" t="n">
        <v>0</v>
      </c>
      <c r="L153" t="n">
        <v>0</v>
      </c>
      <c r="M153" t="n">
        <v>0</v>
      </c>
      <c r="N153" t="n">
        <v>0</v>
      </c>
      <c r="O153" t="n">
        <v>0</v>
      </c>
      <c r="P153" t="n">
        <v>0</v>
      </c>
      <c r="Q153" t="n">
        <v>0</v>
      </c>
      <c r="R153" s="2" t="inlineStr"/>
    </row>
    <row r="154" ht="15" customHeight="1">
      <c r="A154" t="inlineStr">
        <is>
          <t>A 8956-2025</t>
        </is>
      </c>
      <c r="B154" s="1" t="n">
        <v>45713.46825231481</v>
      </c>
      <c r="C154" s="1" t="n">
        <v>46038</v>
      </c>
      <c r="D154" t="inlineStr">
        <is>
          <t>VÄSTRA GÖTALANDS LÄN</t>
        </is>
      </c>
      <c r="E154" t="inlineStr">
        <is>
          <t>ALE</t>
        </is>
      </c>
      <c r="G154" t="n">
        <v>1</v>
      </c>
      <c r="H154" t="n">
        <v>0</v>
      </c>
      <c r="I154" t="n">
        <v>0</v>
      </c>
      <c r="J154" t="n">
        <v>0</v>
      </c>
      <c r="K154" t="n">
        <v>0</v>
      </c>
      <c r="L154" t="n">
        <v>0</v>
      </c>
      <c r="M154" t="n">
        <v>0</v>
      </c>
      <c r="N154" t="n">
        <v>0</v>
      </c>
      <c r="O154" t="n">
        <v>0</v>
      </c>
      <c r="P154" t="n">
        <v>0</v>
      </c>
      <c r="Q154" t="n">
        <v>0</v>
      </c>
      <c r="R154" s="2" t="inlineStr"/>
    </row>
    <row r="155" ht="15" customHeight="1">
      <c r="A155" t="inlineStr">
        <is>
          <t>A 50451-2024</t>
        </is>
      </c>
      <c r="B155" s="1" t="n">
        <v>45601.44248842593</v>
      </c>
      <c r="C155" s="1" t="n">
        <v>46038</v>
      </c>
      <c r="D155" t="inlineStr">
        <is>
          <t>VÄSTRA GÖTALANDS LÄN</t>
        </is>
      </c>
      <c r="E155" t="inlineStr">
        <is>
          <t>ALE</t>
        </is>
      </c>
      <c r="G155" t="n">
        <v>2.9</v>
      </c>
      <c r="H155" t="n">
        <v>0</v>
      </c>
      <c r="I155" t="n">
        <v>0</v>
      </c>
      <c r="J155" t="n">
        <v>0</v>
      </c>
      <c r="K155" t="n">
        <v>0</v>
      </c>
      <c r="L155" t="n">
        <v>0</v>
      </c>
      <c r="M155" t="n">
        <v>0</v>
      </c>
      <c r="N155" t="n">
        <v>0</v>
      </c>
      <c r="O155" t="n">
        <v>0</v>
      </c>
      <c r="P155" t="n">
        <v>0</v>
      </c>
      <c r="Q155" t="n">
        <v>0</v>
      </c>
      <c r="R155" s="2" t="inlineStr"/>
    </row>
    <row r="156" ht="15" customHeight="1">
      <c r="A156" t="inlineStr">
        <is>
          <t>A 4971-2024</t>
        </is>
      </c>
      <c r="B156" s="1" t="n">
        <v>45329</v>
      </c>
      <c r="C156" s="1" t="n">
        <v>46038</v>
      </c>
      <c r="D156" t="inlineStr">
        <is>
          <t>VÄSTRA GÖTALANDS LÄN</t>
        </is>
      </c>
      <c r="E156" t="inlineStr">
        <is>
          <t>ALE</t>
        </is>
      </c>
      <c r="G156" t="n">
        <v>2.2</v>
      </c>
      <c r="H156" t="n">
        <v>0</v>
      </c>
      <c r="I156" t="n">
        <v>0</v>
      </c>
      <c r="J156" t="n">
        <v>0</v>
      </c>
      <c r="K156" t="n">
        <v>0</v>
      </c>
      <c r="L156" t="n">
        <v>0</v>
      </c>
      <c r="M156" t="n">
        <v>0</v>
      </c>
      <c r="N156" t="n">
        <v>0</v>
      </c>
      <c r="O156" t="n">
        <v>0</v>
      </c>
      <c r="P156" t="n">
        <v>0</v>
      </c>
      <c r="Q156" t="n">
        <v>0</v>
      </c>
      <c r="R156" s="2" t="inlineStr"/>
    </row>
    <row r="157" ht="15" customHeight="1">
      <c r="A157" t="inlineStr">
        <is>
          <t>A 22946-2025</t>
        </is>
      </c>
      <c r="B157" s="1" t="n">
        <v>45790.48229166667</v>
      </c>
      <c r="C157" s="1" t="n">
        <v>46038</v>
      </c>
      <c r="D157" t="inlineStr">
        <is>
          <t>VÄSTRA GÖTALANDS LÄN</t>
        </is>
      </c>
      <c r="E157" t="inlineStr">
        <is>
          <t>ALE</t>
        </is>
      </c>
      <c r="G157" t="n">
        <v>0.6</v>
      </c>
      <c r="H157" t="n">
        <v>0</v>
      </c>
      <c r="I157" t="n">
        <v>0</v>
      </c>
      <c r="J157" t="n">
        <v>0</v>
      </c>
      <c r="K157" t="n">
        <v>0</v>
      </c>
      <c r="L157" t="n">
        <v>0</v>
      </c>
      <c r="M157" t="n">
        <v>0</v>
      </c>
      <c r="N157" t="n">
        <v>0</v>
      </c>
      <c r="O157" t="n">
        <v>0</v>
      </c>
      <c r="P157" t="n">
        <v>0</v>
      </c>
      <c r="Q157" t="n">
        <v>0</v>
      </c>
      <c r="R157" s="2" t="inlineStr"/>
    </row>
    <row r="158" ht="15" customHeight="1">
      <c r="A158" t="inlineStr">
        <is>
          <t>A 37461-2024</t>
        </is>
      </c>
      <c r="B158" s="1" t="n">
        <v>45540.72516203704</v>
      </c>
      <c r="C158" s="1" t="n">
        <v>46038</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25849-2025</t>
        </is>
      </c>
      <c r="B159" s="1" t="n">
        <v>45804</v>
      </c>
      <c r="C159" s="1" t="n">
        <v>46038</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25848-2025</t>
        </is>
      </c>
      <c r="B160" s="1" t="n">
        <v>45804</v>
      </c>
      <c r="C160" s="1" t="n">
        <v>46038</v>
      </c>
      <c r="D160" t="inlineStr">
        <is>
          <t>VÄSTRA GÖTALANDS LÄN</t>
        </is>
      </c>
      <c r="E160" t="inlineStr">
        <is>
          <t>ALE</t>
        </is>
      </c>
      <c r="G160" t="n">
        <v>1.1</v>
      </c>
      <c r="H160" t="n">
        <v>0</v>
      </c>
      <c r="I160" t="n">
        <v>0</v>
      </c>
      <c r="J160" t="n">
        <v>0</v>
      </c>
      <c r="K160" t="n">
        <v>0</v>
      </c>
      <c r="L160" t="n">
        <v>0</v>
      </c>
      <c r="M160" t="n">
        <v>0</v>
      </c>
      <c r="N160" t="n">
        <v>0</v>
      </c>
      <c r="O160" t="n">
        <v>0</v>
      </c>
      <c r="P160" t="n">
        <v>0</v>
      </c>
      <c r="Q160" t="n">
        <v>0</v>
      </c>
      <c r="R160" s="2" t="inlineStr"/>
    </row>
    <row r="161" ht="15" customHeight="1">
      <c r="A161" t="inlineStr">
        <is>
          <t>A 25840-2025</t>
        </is>
      </c>
      <c r="B161" s="1" t="n">
        <v>45804</v>
      </c>
      <c r="C161" s="1" t="n">
        <v>46038</v>
      </c>
      <c r="D161" t="inlineStr">
        <is>
          <t>VÄSTRA GÖTALANDS LÄN</t>
        </is>
      </c>
      <c r="E161" t="inlineStr">
        <is>
          <t>ALE</t>
        </is>
      </c>
      <c r="G161" t="n">
        <v>3.8</v>
      </c>
      <c r="H161" t="n">
        <v>0</v>
      </c>
      <c r="I161" t="n">
        <v>0</v>
      </c>
      <c r="J161" t="n">
        <v>0</v>
      </c>
      <c r="K161" t="n">
        <v>0</v>
      </c>
      <c r="L161" t="n">
        <v>0</v>
      </c>
      <c r="M161" t="n">
        <v>0</v>
      </c>
      <c r="N161" t="n">
        <v>0</v>
      </c>
      <c r="O161" t="n">
        <v>0</v>
      </c>
      <c r="P161" t="n">
        <v>0</v>
      </c>
      <c r="Q161" t="n">
        <v>0</v>
      </c>
      <c r="R161" s="2" t="inlineStr"/>
    </row>
    <row r="162" ht="15" customHeight="1">
      <c r="A162" t="inlineStr">
        <is>
          <t>A 18637-2023</t>
        </is>
      </c>
      <c r="B162" s="1" t="n">
        <v>45043</v>
      </c>
      <c r="C162" s="1" t="n">
        <v>46038</v>
      </c>
      <c r="D162" t="inlineStr">
        <is>
          <t>VÄSTRA GÖTALANDS LÄN</t>
        </is>
      </c>
      <c r="E162" t="inlineStr">
        <is>
          <t>ALE</t>
        </is>
      </c>
      <c r="G162" t="n">
        <v>3.6</v>
      </c>
      <c r="H162" t="n">
        <v>0</v>
      </c>
      <c r="I162" t="n">
        <v>0</v>
      </c>
      <c r="J162" t="n">
        <v>0</v>
      </c>
      <c r="K162" t="n">
        <v>0</v>
      </c>
      <c r="L162" t="n">
        <v>0</v>
      </c>
      <c r="M162" t="n">
        <v>0</v>
      </c>
      <c r="N162" t="n">
        <v>0</v>
      </c>
      <c r="O162" t="n">
        <v>0</v>
      </c>
      <c r="P162" t="n">
        <v>0</v>
      </c>
      <c r="Q162" t="n">
        <v>0</v>
      </c>
      <c r="R162" s="2" t="inlineStr"/>
    </row>
    <row r="163" ht="15" customHeight="1">
      <c r="A163" t="inlineStr">
        <is>
          <t>A 59933-2023</t>
        </is>
      </c>
      <c r="B163" s="1" t="n">
        <v>45257</v>
      </c>
      <c r="C163" s="1" t="n">
        <v>46038</v>
      </c>
      <c r="D163" t="inlineStr">
        <is>
          <t>VÄSTRA GÖTALANDS LÄN</t>
        </is>
      </c>
      <c r="E163" t="inlineStr">
        <is>
          <t>ALE</t>
        </is>
      </c>
      <c r="G163" t="n">
        <v>2.7</v>
      </c>
      <c r="H163" t="n">
        <v>0</v>
      </c>
      <c r="I163" t="n">
        <v>0</v>
      </c>
      <c r="J163" t="n">
        <v>0</v>
      </c>
      <c r="K163" t="n">
        <v>0</v>
      </c>
      <c r="L163" t="n">
        <v>0</v>
      </c>
      <c r="M163" t="n">
        <v>0</v>
      </c>
      <c r="N163" t="n">
        <v>0</v>
      </c>
      <c r="O163" t="n">
        <v>0</v>
      </c>
      <c r="P163" t="n">
        <v>0</v>
      </c>
      <c r="Q163" t="n">
        <v>0</v>
      </c>
      <c r="R163" s="2" t="inlineStr"/>
    </row>
    <row r="164" ht="15" customHeight="1">
      <c r="A164" t="inlineStr">
        <is>
          <t>A 8659-2025</t>
        </is>
      </c>
      <c r="B164" s="1" t="n">
        <v>45712</v>
      </c>
      <c r="C164" s="1" t="n">
        <v>46038</v>
      </c>
      <c r="D164" t="inlineStr">
        <is>
          <t>VÄSTRA GÖTALANDS LÄN</t>
        </is>
      </c>
      <c r="E164" t="inlineStr">
        <is>
          <t>ALE</t>
        </is>
      </c>
      <c r="G164" t="n">
        <v>5.7</v>
      </c>
      <c r="H164" t="n">
        <v>0</v>
      </c>
      <c r="I164" t="n">
        <v>0</v>
      </c>
      <c r="J164" t="n">
        <v>0</v>
      </c>
      <c r="K164" t="n">
        <v>0</v>
      </c>
      <c r="L164" t="n">
        <v>0</v>
      </c>
      <c r="M164" t="n">
        <v>0</v>
      </c>
      <c r="N164" t="n">
        <v>0</v>
      </c>
      <c r="O164" t="n">
        <v>0</v>
      </c>
      <c r="P164" t="n">
        <v>0</v>
      </c>
      <c r="Q164" t="n">
        <v>0</v>
      </c>
      <c r="R164" s="2" t="inlineStr"/>
    </row>
    <row r="165" ht="15" customHeight="1">
      <c r="A165" t="inlineStr">
        <is>
          <t>A 5344-2024</t>
        </is>
      </c>
      <c r="B165" s="1" t="n">
        <v>45331</v>
      </c>
      <c r="C165" s="1" t="n">
        <v>46038</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29373-2025</t>
        </is>
      </c>
      <c r="B166" s="1" t="n">
        <v>45824.579375</v>
      </c>
      <c r="C166" s="1" t="n">
        <v>46038</v>
      </c>
      <c r="D166" t="inlineStr">
        <is>
          <t>VÄSTRA GÖTALANDS LÄN</t>
        </is>
      </c>
      <c r="E166" t="inlineStr">
        <is>
          <t>ALE</t>
        </is>
      </c>
      <c r="G166" t="n">
        <v>4.6</v>
      </c>
      <c r="H166" t="n">
        <v>0</v>
      </c>
      <c r="I166" t="n">
        <v>0</v>
      </c>
      <c r="J166" t="n">
        <v>0</v>
      </c>
      <c r="K166" t="n">
        <v>0</v>
      </c>
      <c r="L166" t="n">
        <v>0</v>
      </c>
      <c r="M166" t="n">
        <v>0</v>
      </c>
      <c r="N166" t="n">
        <v>0</v>
      </c>
      <c r="O166" t="n">
        <v>0</v>
      </c>
      <c r="P166" t="n">
        <v>0</v>
      </c>
      <c r="Q166" t="n">
        <v>0</v>
      </c>
      <c r="R166" s="2" t="inlineStr"/>
    </row>
    <row r="167" ht="15" customHeight="1">
      <c r="A167" t="inlineStr">
        <is>
          <t>A 13382-2025</t>
        </is>
      </c>
      <c r="B167" s="1" t="n">
        <v>45735.67928240741</v>
      </c>
      <c r="C167" s="1" t="n">
        <v>46038</v>
      </c>
      <c r="D167" t="inlineStr">
        <is>
          <t>VÄSTRA GÖTALANDS LÄN</t>
        </is>
      </c>
      <c r="E167" t="inlineStr">
        <is>
          <t>ALE</t>
        </is>
      </c>
      <c r="G167" t="n">
        <v>0.9</v>
      </c>
      <c r="H167" t="n">
        <v>0</v>
      </c>
      <c r="I167" t="n">
        <v>0</v>
      </c>
      <c r="J167" t="n">
        <v>0</v>
      </c>
      <c r="K167" t="n">
        <v>0</v>
      </c>
      <c r="L167" t="n">
        <v>0</v>
      </c>
      <c r="M167" t="n">
        <v>0</v>
      </c>
      <c r="N167" t="n">
        <v>0</v>
      </c>
      <c r="O167" t="n">
        <v>0</v>
      </c>
      <c r="P167" t="n">
        <v>0</v>
      </c>
      <c r="Q167" t="n">
        <v>0</v>
      </c>
      <c r="R167" s="2" t="inlineStr"/>
    </row>
    <row r="168" ht="15" customHeight="1">
      <c r="A168" t="inlineStr">
        <is>
          <t>A 13903-2025</t>
        </is>
      </c>
      <c r="B168" s="1" t="n">
        <v>45737.63481481482</v>
      </c>
      <c r="C168" s="1" t="n">
        <v>46038</v>
      </c>
      <c r="D168" t="inlineStr">
        <is>
          <t>VÄSTRA GÖTALANDS LÄN</t>
        </is>
      </c>
      <c r="E168" t="inlineStr">
        <is>
          <t>ALE</t>
        </is>
      </c>
      <c r="G168" t="n">
        <v>0.5</v>
      </c>
      <c r="H168" t="n">
        <v>0</v>
      </c>
      <c r="I168" t="n">
        <v>0</v>
      </c>
      <c r="J168" t="n">
        <v>0</v>
      </c>
      <c r="K168" t="n">
        <v>0</v>
      </c>
      <c r="L168" t="n">
        <v>0</v>
      </c>
      <c r="M168" t="n">
        <v>0</v>
      </c>
      <c r="N168" t="n">
        <v>0</v>
      </c>
      <c r="O168" t="n">
        <v>0</v>
      </c>
      <c r="P168" t="n">
        <v>0</v>
      </c>
      <c r="Q168" t="n">
        <v>0</v>
      </c>
      <c r="R168" s="2" t="inlineStr"/>
    </row>
    <row r="169" ht="15" customHeight="1">
      <c r="A169" t="inlineStr">
        <is>
          <t>A 31409-2025</t>
        </is>
      </c>
      <c r="B169" s="1" t="n">
        <v>45833</v>
      </c>
      <c r="C169" s="1" t="n">
        <v>46038</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31488-2025</t>
        </is>
      </c>
      <c r="B170" s="1" t="n">
        <v>45833</v>
      </c>
      <c r="C170" s="1" t="n">
        <v>46038</v>
      </c>
      <c r="D170" t="inlineStr">
        <is>
          <t>VÄSTRA GÖTALANDS LÄN</t>
        </is>
      </c>
      <c r="E170" t="inlineStr">
        <is>
          <t>ALE</t>
        </is>
      </c>
      <c r="G170" t="n">
        <v>1.8</v>
      </c>
      <c r="H170" t="n">
        <v>0</v>
      </c>
      <c r="I170" t="n">
        <v>0</v>
      </c>
      <c r="J170" t="n">
        <v>0</v>
      </c>
      <c r="K170" t="n">
        <v>0</v>
      </c>
      <c r="L170" t="n">
        <v>0</v>
      </c>
      <c r="M170" t="n">
        <v>0</v>
      </c>
      <c r="N170" t="n">
        <v>0</v>
      </c>
      <c r="O170" t="n">
        <v>0</v>
      </c>
      <c r="P170" t="n">
        <v>0</v>
      </c>
      <c r="Q170" t="n">
        <v>0</v>
      </c>
      <c r="R170" s="2" t="inlineStr"/>
    </row>
    <row r="171">
      <c r="A171" t="inlineStr">
        <is>
          <t>A 31533-2025</t>
        </is>
      </c>
      <c r="B171" s="1" t="n">
        <v>45833</v>
      </c>
      <c r="C171" s="1" t="n">
        <v>46038</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2026-01-16T11:00:03Z</dcterms:created>
  <dcterms:modified xmlns:dcterms="http://purl.org/dc/terms/" xmlns:xsi="http://www.w3.org/2001/XMLSchema-instance" xsi:type="dcterms:W3CDTF">2026-01-16T11:00:03Z</dcterms:modified>
</cp:coreProperties>
</file>