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46075</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46075</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46075</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46075</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46075</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46075</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46075</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46075</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46075</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46075</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46075</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46075</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46075</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46075</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60293-2025</t>
        </is>
      </c>
      <c r="B18" s="1" t="n">
        <v>45994.65568287037</v>
      </c>
      <c r="C18" s="1" t="n">
        <v>46075</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46075</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2270-2025</t>
        </is>
      </c>
      <c r="B20" s="1" t="n">
        <v>45673.54403935185</v>
      </c>
      <c r="C20" s="1" t="n">
        <v>46075</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63569-2023</t>
        </is>
      </c>
      <c r="B21" s="1" t="n">
        <v>45275</v>
      </c>
      <c r="C21" s="1" t="n">
        <v>46075</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13380-2025</t>
        </is>
      </c>
      <c r="B22" s="1" t="n">
        <v>45735.6765162037</v>
      </c>
      <c r="C22" s="1" t="n">
        <v>46075</v>
      </c>
      <c r="D22" t="inlineStr">
        <is>
          <t>VÄSTRA GÖTALANDS LÄN</t>
        </is>
      </c>
      <c r="E22" t="inlineStr">
        <is>
          <t>ALE</t>
        </is>
      </c>
      <c r="G22" t="n">
        <v>1.8</v>
      </c>
      <c r="H22" t="n">
        <v>2</v>
      </c>
      <c r="I22" t="n">
        <v>0</v>
      </c>
      <c r="J22" t="n">
        <v>2</v>
      </c>
      <c r="K22" t="n">
        <v>0</v>
      </c>
      <c r="L22" t="n">
        <v>0</v>
      </c>
      <c r="M22" t="n">
        <v>0</v>
      </c>
      <c r="N22" t="n">
        <v>0</v>
      </c>
      <c r="O22" t="n">
        <v>2</v>
      </c>
      <c r="P22" t="n">
        <v>0</v>
      </c>
      <c r="Q22" t="n">
        <v>2</v>
      </c>
      <c r="R22" s="2" t="inlineStr">
        <is>
          <t>Entita
Spillkråka</t>
        </is>
      </c>
      <c r="S22">
        <f>HYPERLINK("https://klasma.github.io/Logging_1440/artfynd/A 13380-2025 artfynd.xlsx", "A 13380-2025")</f>
        <v/>
      </c>
      <c r="T22">
        <f>HYPERLINK("https://klasma.github.io/Logging_1440/kartor/A 13380-2025 karta.png", "A 13380-2025")</f>
        <v/>
      </c>
      <c r="V22">
        <f>HYPERLINK("https://klasma.github.io/Logging_1440/klagomål/A 13380-2025 FSC-klagomål.docx", "A 13380-2025")</f>
        <v/>
      </c>
      <c r="W22">
        <f>HYPERLINK("https://klasma.github.io/Logging_1440/klagomålsmail/A 13380-2025 FSC-klagomål mail.docx", "A 13380-2025")</f>
        <v/>
      </c>
      <c r="X22">
        <f>HYPERLINK("https://klasma.github.io/Logging_1440/tillsyn/A 13380-2025 tillsynsbegäran.docx", "A 13380-2025")</f>
        <v/>
      </c>
      <c r="Y22">
        <f>HYPERLINK("https://klasma.github.io/Logging_1440/tillsynsmail/A 13380-2025 tillsynsbegäran mail.docx", "A 13380-2025")</f>
        <v/>
      </c>
      <c r="Z22">
        <f>HYPERLINK("https://klasma.github.io/Logging_1440/fåglar/A 13380-2025 prioriterade fågelarter.docx", "A 13380-2025")</f>
        <v/>
      </c>
    </row>
    <row r="23" ht="15" customHeight="1">
      <c r="A23" t="inlineStr">
        <is>
          <t>A 40931-2025</t>
        </is>
      </c>
      <c r="B23" s="1" t="n">
        <v>45897.64783564815</v>
      </c>
      <c r="C23" s="1" t="n">
        <v>46075</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16534-2025</t>
        </is>
      </c>
      <c r="B24" s="1" t="n">
        <v>45751.65315972222</v>
      </c>
      <c r="C24" s="1" t="n">
        <v>46075</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46075</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46075</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46075</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46075</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46075</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1503-2024</t>
        </is>
      </c>
      <c r="B30" s="1" t="n">
        <v>45306.35041666667</v>
      </c>
      <c r="C30" s="1" t="n">
        <v>46075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13902-2025</t>
        </is>
      </c>
      <c r="B31" s="1" t="n">
        <v>45737.63446759259</v>
      </c>
      <c r="C31" s="1" t="n">
        <v>46075</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47330-2025</t>
        </is>
      </c>
      <c r="B32" s="1" t="n">
        <v>45930.56170138889</v>
      </c>
      <c r="C32" s="1" t="n">
        <v>46075</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58412-2025</t>
        </is>
      </c>
      <c r="B33" s="1" t="n">
        <v>45985.57564814815</v>
      </c>
      <c r="C33" s="1" t="n">
        <v>46075</v>
      </c>
      <c r="D33" t="inlineStr">
        <is>
          <t>VÄSTRA GÖTALANDS LÄN</t>
        </is>
      </c>
      <c r="E33" t="inlineStr">
        <is>
          <t>ALE</t>
        </is>
      </c>
      <c r="G33" t="n">
        <v>3.2</v>
      </c>
      <c r="H33" t="n">
        <v>1</v>
      </c>
      <c r="I33" t="n">
        <v>0</v>
      </c>
      <c r="J33" t="n">
        <v>0</v>
      </c>
      <c r="K33" t="n">
        <v>0</v>
      </c>
      <c r="L33" t="n">
        <v>0</v>
      </c>
      <c r="M33" t="n">
        <v>0</v>
      </c>
      <c r="N33" t="n">
        <v>0</v>
      </c>
      <c r="O33" t="n">
        <v>0</v>
      </c>
      <c r="P33" t="n">
        <v>0</v>
      </c>
      <c r="Q33" t="n">
        <v>1</v>
      </c>
      <c r="R33" s="2" t="inlineStr">
        <is>
          <t>Äkta lopplummer</t>
        </is>
      </c>
      <c r="S33">
        <f>HYPERLINK("https://klasma.github.io/Logging_1440/artfynd/A 58412-2025 artfynd.xlsx", "A 58412-2025")</f>
        <v/>
      </c>
      <c r="T33">
        <f>HYPERLINK("https://klasma.github.io/Logging_1440/kartor/A 58412-2025 karta.png", "A 58412-2025")</f>
        <v/>
      </c>
      <c r="V33">
        <f>HYPERLINK("https://klasma.github.io/Logging_1440/klagomål/A 58412-2025 FSC-klagomål.docx", "A 58412-2025")</f>
        <v/>
      </c>
      <c r="W33">
        <f>HYPERLINK("https://klasma.github.io/Logging_1440/klagomålsmail/A 58412-2025 FSC-klagomål mail.docx", "A 58412-2025")</f>
        <v/>
      </c>
      <c r="X33">
        <f>HYPERLINK("https://klasma.github.io/Logging_1440/tillsyn/A 58412-2025 tillsynsbegäran.docx", "A 58412-2025")</f>
        <v/>
      </c>
      <c r="Y33">
        <f>HYPERLINK("https://klasma.github.io/Logging_1440/tillsynsmail/A 58412-2025 tillsynsbegäran mail.docx", "A 58412-2025")</f>
        <v/>
      </c>
    </row>
    <row r="34" ht="15" customHeight="1">
      <c r="A34" t="inlineStr">
        <is>
          <t>A 62524-2025</t>
        </is>
      </c>
      <c r="B34" s="1" t="n">
        <v>46007.6247337963</v>
      </c>
      <c r="C34" s="1" t="n">
        <v>46075</v>
      </c>
      <c r="D34" t="inlineStr">
        <is>
          <t>VÄSTRA GÖTALANDS LÄN</t>
        </is>
      </c>
      <c r="E34" t="inlineStr">
        <is>
          <t>ALE</t>
        </is>
      </c>
      <c r="G34" t="n">
        <v>8</v>
      </c>
      <c r="H34" t="n">
        <v>1</v>
      </c>
      <c r="I34" t="n">
        <v>0</v>
      </c>
      <c r="J34" t="n">
        <v>0</v>
      </c>
      <c r="K34" t="n">
        <v>0</v>
      </c>
      <c r="L34" t="n">
        <v>0</v>
      </c>
      <c r="M34" t="n">
        <v>0</v>
      </c>
      <c r="N34" t="n">
        <v>0</v>
      </c>
      <c r="O34" t="n">
        <v>0</v>
      </c>
      <c r="P34" t="n">
        <v>0</v>
      </c>
      <c r="Q34" t="n">
        <v>1</v>
      </c>
      <c r="R34" s="2" t="inlineStr">
        <is>
          <t>Revlummer</t>
        </is>
      </c>
      <c r="S34">
        <f>HYPERLINK("https://klasma.github.io/Logging_1440/artfynd/A 62524-2025 artfynd.xlsx", "A 62524-2025")</f>
        <v/>
      </c>
      <c r="T34">
        <f>HYPERLINK("https://klasma.github.io/Logging_1440/kartor/A 62524-2025 karta.png", "A 62524-2025")</f>
        <v/>
      </c>
      <c r="V34">
        <f>HYPERLINK("https://klasma.github.io/Logging_1440/klagomål/A 62524-2025 FSC-klagomål.docx", "A 62524-2025")</f>
        <v/>
      </c>
      <c r="W34">
        <f>HYPERLINK("https://klasma.github.io/Logging_1440/klagomålsmail/A 62524-2025 FSC-klagomål mail.docx", "A 62524-2025")</f>
        <v/>
      </c>
      <c r="X34">
        <f>HYPERLINK("https://klasma.github.io/Logging_1440/tillsyn/A 62524-2025 tillsynsbegäran.docx", "A 62524-2025")</f>
        <v/>
      </c>
      <c r="Y34">
        <f>HYPERLINK("https://klasma.github.io/Logging_1440/tillsynsmail/A 62524-2025 tillsynsbegäran mail.docx", "A 62524-2025")</f>
        <v/>
      </c>
    </row>
    <row r="35" ht="15" customHeight="1">
      <c r="A35" t="inlineStr">
        <is>
          <t>A 12084-2025</t>
        </is>
      </c>
      <c r="B35" s="1" t="n">
        <v>45728.95387731482</v>
      </c>
      <c r="C35" s="1" t="n">
        <v>46075</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26493-2024</t>
        </is>
      </c>
      <c r="B36" s="1" t="n">
        <v>45469</v>
      </c>
      <c r="C36" s="1" t="n">
        <v>46075</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46075</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26677-2025</t>
        </is>
      </c>
      <c r="B38" s="1" t="n">
        <v>45810.42446759259</v>
      </c>
      <c r="C38" s="1" t="n">
        <v>46075</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21281-2021</t>
        </is>
      </c>
      <c r="B39" s="1" t="n">
        <v>44320.61850694445</v>
      </c>
      <c r="C39" s="1" t="n">
        <v>46075</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46075</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46075</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46075</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46075</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46075</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46075</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46075</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46075</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46075</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46075</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46075</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46075</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46075</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46075</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46075</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46075</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46075</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46075</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46075</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46075</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1822-2024</t>
        </is>
      </c>
      <c r="B61" s="1" t="n">
        <v>45307.6205787037</v>
      </c>
      <c r="C61" s="1" t="n">
        <v>46075</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34104-2024</t>
        </is>
      </c>
      <c r="B62" s="1" t="n">
        <v>45523.79202546296</v>
      </c>
      <c r="C62" s="1" t="n">
        <v>46075</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3418-2023</t>
        </is>
      </c>
      <c r="B63" s="1" t="n">
        <v>44949.56182870371</v>
      </c>
      <c r="C63" s="1" t="n">
        <v>46075</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46075</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15499-2022</t>
        </is>
      </c>
      <c r="B65" s="1" t="n">
        <v>44662</v>
      </c>
      <c r="C65" s="1" t="n">
        <v>46075</v>
      </c>
      <c r="D65" t="inlineStr">
        <is>
          <t>VÄSTRA GÖTALANDS LÄN</t>
        </is>
      </c>
      <c r="E65" t="inlineStr">
        <is>
          <t>ALE</t>
        </is>
      </c>
      <c r="G65" t="n">
        <v>4.7</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46075</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53476-2023</t>
        </is>
      </c>
      <c r="B67" s="1" t="n">
        <v>45230.33737268519</v>
      </c>
      <c r="C67" s="1" t="n">
        <v>46075</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55405-2021</t>
        </is>
      </c>
      <c r="B68" s="1" t="n">
        <v>44475.53733796296</v>
      </c>
      <c r="C68" s="1" t="n">
        <v>46075</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51164-2024</t>
        </is>
      </c>
      <c r="B69" s="1" t="n">
        <v>45603.5830787037</v>
      </c>
      <c r="C69" s="1" t="n">
        <v>46075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56493-2021</t>
        </is>
      </c>
      <c r="B70" s="1" t="n">
        <v>44480.57173611111</v>
      </c>
      <c r="C70" s="1" t="n">
        <v>46075</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46075</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46075</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5344-2024</t>
        </is>
      </c>
      <c r="B73" s="1" t="n">
        <v>45331</v>
      </c>
      <c r="C73" s="1" t="n">
        <v>46075</v>
      </c>
      <c r="D73" t="inlineStr">
        <is>
          <t>VÄSTRA GÖTALANDS LÄN</t>
        </is>
      </c>
      <c r="E73" t="inlineStr">
        <is>
          <t>ALE</t>
        </is>
      </c>
      <c r="G73" t="n">
        <v>2.5</v>
      </c>
      <c r="H73" t="n">
        <v>0</v>
      </c>
      <c r="I73" t="n">
        <v>0</v>
      </c>
      <c r="J73" t="n">
        <v>0</v>
      </c>
      <c r="K73" t="n">
        <v>0</v>
      </c>
      <c r="L73" t="n">
        <v>0</v>
      </c>
      <c r="M73" t="n">
        <v>0</v>
      </c>
      <c r="N73" t="n">
        <v>0</v>
      </c>
      <c r="O73" t="n">
        <v>0</v>
      </c>
      <c r="P73" t="n">
        <v>0</v>
      </c>
      <c r="Q73" t="n">
        <v>0</v>
      </c>
      <c r="R73" s="2" t="inlineStr"/>
    </row>
    <row r="74" ht="15" customHeight="1">
      <c r="A74" t="inlineStr">
        <is>
          <t>A 32762-2023</t>
        </is>
      </c>
      <c r="B74" s="1" t="n">
        <v>45123.46649305556</v>
      </c>
      <c r="C74" s="1" t="n">
        <v>46075</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51564-2023</t>
        </is>
      </c>
      <c r="B75" s="1" t="n">
        <v>45222</v>
      </c>
      <c r="C75" s="1" t="n">
        <v>46075</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46075</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46075</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46075</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13903-2025</t>
        </is>
      </c>
      <c r="B79" s="1" t="n">
        <v>45737.63481481482</v>
      </c>
      <c r="C79" s="1" t="n">
        <v>46075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31409-2025</t>
        </is>
      </c>
      <c r="B80" s="1" t="n">
        <v>45833</v>
      </c>
      <c r="C80" s="1" t="n">
        <v>46075</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46075</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31533-2025</t>
        </is>
      </c>
      <c r="B82" s="1" t="n">
        <v>45833</v>
      </c>
      <c r="C82" s="1" t="n">
        <v>46075</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46075</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26157-2023</t>
        </is>
      </c>
      <c r="B84" s="1" t="n">
        <v>45091.50479166667</v>
      </c>
      <c r="C84" s="1" t="n">
        <v>46075</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47087-2023</t>
        </is>
      </c>
      <c r="B85" s="1" t="n">
        <v>45196</v>
      </c>
      <c r="C85" s="1" t="n">
        <v>46075</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27314-2021</t>
        </is>
      </c>
      <c r="B86" s="1" t="n">
        <v>44351.36537037037</v>
      </c>
      <c r="C86" s="1" t="n">
        <v>46075</v>
      </c>
      <c r="D86" t="inlineStr">
        <is>
          <t>VÄSTRA GÖTALANDS LÄN</t>
        </is>
      </c>
      <c r="E86" t="inlineStr">
        <is>
          <t>ALE</t>
        </is>
      </c>
      <c r="G86" t="n">
        <v>11.3</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46075</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46227-2025</t>
        </is>
      </c>
      <c r="B88" s="1" t="n">
        <v>45924.90386574074</v>
      </c>
      <c r="C88" s="1" t="n">
        <v>46075</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5875-2023</t>
        </is>
      </c>
      <c r="B89" s="1" t="n">
        <v>44963</v>
      </c>
      <c r="C89" s="1" t="n">
        <v>46075</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46075</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47592-2025</t>
        </is>
      </c>
      <c r="B91" s="1" t="n">
        <v>45931.44649305556</v>
      </c>
      <c r="C91" s="1" t="n">
        <v>46075</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47593-2025</t>
        </is>
      </c>
      <c r="B92" s="1" t="n">
        <v>45931.4480787037</v>
      </c>
      <c r="C92" s="1" t="n">
        <v>46075</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47728-2025</t>
        </is>
      </c>
      <c r="B93" s="1" t="n">
        <v>45931.63186342592</v>
      </c>
      <c r="C93" s="1" t="n">
        <v>46075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46075</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46075</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57473-2022</t>
        </is>
      </c>
      <c r="B96" s="1" t="n">
        <v>44896</v>
      </c>
      <c r="C96" s="1" t="n">
        <v>46075</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67160-2021</t>
        </is>
      </c>
      <c r="B97" s="1" t="n">
        <v>44523</v>
      </c>
      <c r="C97" s="1" t="n">
        <v>46075</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48213-2025</t>
        </is>
      </c>
      <c r="B98" s="1" t="n">
        <v>45933</v>
      </c>
      <c r="C98" s="1" t="n">
        <v>46075</v>
      </c>
      <c r="D98" t="inlineStr">
        <is>
          <t>VÄSTRA GÖTALANDS LÄN</t>
        </is>
      </c>
      <c r="E98" t="inlineStr">
        <is>
          <t>ALE</t>
        </is>
      </c>
      <c r="G98" t="n">
        <v>3.3</v>
      </c>
      <c r="H98" t="n">
        <v>0</v>
      </c>
      <c r="I98" t="n">
        <v>0</v>
      </c>
      <c r="J98" t="n">
        <v>0</v>
      </c>
      <c r="K98" t="n">
        <v>0</v>
      </c>
      <c r="L98" t="n">
        <v>0</v>
      </c>
      <c r="M98" t="n">
        <v>0</v>
      </c>
      <c r="N98" t="n">
        <v>0</v>
      </c>
      <c r="O98" t="n">
        <v>0</v>
      </c>
      <c r="P98" t="n">
        <v>0</v>
      </c>
      <c r="Q98" t="n">
        <v>0</v>
      </c>
      <c r="R98" s="2" t="inlineStr"/>
    </row>
    <row r="99" ht="15" customHeight="1">
      <c r="A99" t="inlineStr">
        <is>
          <t>A 48218-2025</t>
        </is>
      </c>
      <c r="B99" s="1" t="n">
        <v>45933</v>
      </c>
      <c r="C99" s="1" t="n">
        <v>46075</v>
      </c>
      <c r="D99" t="inlineStr">
        <is>
          <t>VÄSTRA GÖTALANDS LÄN</t>
        </is>
      </c>
      <c r="E99" t="inlineStr">
        <is>
          <t>ALE</t>
        </is>
      </c>
      <c r="G99" t="n">
        <v>1.4</v>
      </c>
      <c r="H99" t="n">
        <v>0</v>
      </c>
      <c r="I99" t="n">
        <v>0</v>
      </c>
      <c r="J99" t="n">
        <v>0</v>
      </c>
      <c r="K99" t="n">
        <v>0</v>
      </c>
      <c r="L99" t="n">
        <v>0</v>
      </c>
      <c r="M99" t="n">
        <v>0</v>
      </c>
      <c r="N99" t="n">
        <v>0</v>
      </c>
      <c r="O99" t="n">
        <v>0</v>
      </c>
      <c r="P99" t="n">
        <v>0</v>
      </c>
      <c r="Q99" t="n">
        <v>0</v>
      </c>
      <c r="R99" s="2" t="inlineStr"/>
    </row>
    <row r="100" ht="15" customHeight="1">
      <c r="A100" t="inlineStr">
        <is>
          <t>A 50189-2025</t>
        </is>
      </c>
      <c r="B100" s="1" t="n">
        <v>45943.63476851852</v>
      </c>
      <c r="C100" s="1" t="n">
        <v>46075</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46075</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65226-2021</t>
        </is>
      </c>
      <c r="B102" s="1" t="n">
        <v>44515</v>
      </c>
      <c r="C102" s="1" t="n">
        <v>46075</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50973-2025</t>
        </is>
      </c>
      <c r="B103" s="1" t="n">
        <v>45947.31263888889</v>
      </c>
      <c r="C103" s="1" t="n">
        <v>46075</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18999-2021</t>
        </is>
      </c>
      <c r="B104" s="1" t="n">
        <v>44308</v>
      </c>
      <c r="C104" s="1" t="n">
        <v>46075</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46075</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52423-2025</t>
        </is>
      </c>
      <c r="B106" s="1" t="n">
        <v>45954.37650462963</v>
      </c>
      <c r="C106" s="1" t="n">
        <v>46075</v>
      </c>
      <c r="D106" t="inlineStr">
        <is>
          <t>VÄSTRA GÖTALANDS LÄN</t>
        </is>
      </c>
      <c r="E106" t="inlineStr">
        <is>
          <t>ALE</t>
        </is>
      </c>
      <c r="G106" t="n">
        <v>4.1</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46075</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17044-2025</t>
        </is>
      </c>
      <c r="B108" s="1" t="n">
        <v>45755.58891203703</v>
      </c>
      <c r="C108" s="1" t="n">
        <v>46075</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46075</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16601-2025</t>
        </is>
      </c>
      <c r="B110" s="1" t="n">
        <v>45753.53189814815</v>
      </c>
      <c r="C110" s="1" t="n">
        <v>46075</v>
      </c>
      <c r="D110" t="inlineStr">
        <is>
          <t>VÄSTRA GÖTALANDS LÄN</t>
        </is>
      </c>
      <c r="E110" t="inlineStr">
        <is>
          <t>ALE</t>
        </is>
      </c>
      <c r="G110" t="n">
        <v>1.7</v>
      </c>
      <c r="H110" t="n">
        <v>0</v>
      </c>
      <c r="I110" t="n">
        <v>0</v>
      </c>
      <c r="J110" t="n">
        <v>0</v>
      </c>
      <c r="K110" t="n">
        <v>0</v>
      </c>
      <c r="L110" t="n">
        <v>0</v>
      </c>
      <c r="M110" t="n">
        <v>0</v>
      </c>
      <c r="N110" t="n">
        <v>0</v>
      </c>
      <c r="O110" t="n">
        <v>0</v>
      </c>
      <c r="P110" t="n">
        <v>0</v>
      </c>
      <c r="Q110" t="n">
        <v>0</v>
      </c>
      <c r="R110" s="2" t="inlineStr"/>
    </row>
    <row r="111" ht="15" customHeight="1">
      <c r="A111" t="inlineStr">
        <is>
          <t>A 36403-2024</t>
        </is>
      </c>
      <c r="B111" s="1" t="n">
        <v>45535.69445601852</v>
      </c>
      <c r="C111" s="1" t="n">
        <v>46075</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46075</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15582-2025</t>
        </is>
      </c>
      <c r="B113" s="1" t="n">
        <v>45747.81394675926</v>
      </c>
      <c r="C113" s="1" t="n">
        <v>46075</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7892-2024</t>
        </is>
      </c>
      <c r="B114" s="1" t="n">
        <v>45350.40921296296</v>
      </c>
      <c r="C114" s="1" t="n">
        <v>46075</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56905-2025</t>
        </is>
      </c>
      <c r="B115" s="1" t="n">
        <v>45978.57502314815</v>
      </c>
      <c r="C115" s="1" t="n">
        <v>46075</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6947-2024</t>
        </is>
      </c>
      <c r="B116" s="1" t="n">
        <v>45343</v>
      </c>
      <c r="C116" s="1" t="n">
        <v>46075</v>
      </c>
      <c r="D116" t="inlineStr">
        <is>
          <t>VÄSTRA GÖTALANDS LÄN</t>
        </is>
      </c>
      <c r="E116" t="inlineStr">
        <is>
          <t>ALE</t>
        </is>
      </c>
      <c r="G116" t="n">
        <v>3.7</v>
      </c>
      <c r="H116" t="n">
        <v>0</v>
      </c>
      <c r="I116" t="n">
        <v>0</v>
      </c>
      <c r="J116" t="n">
        <v>0</v>
      </c>
      <c r="K116" t="n">
        <v>0</v>
      </c>
      <c r="L116" t="n">
        <v>0</v>
      </c>
      <c r="M116" t="n">
        <v>0</v>
      </c>
      <c r="N116" t="n">
        <v>0</v>
      </c>
      <c r="O116" t="n">
        <v>0</v>
      </c>
      <c r="P116" t="n">
        <v>0</v>
      </c>
      <c r="Q116" t="n">
        <v>0</v>
      </c>
      <c r="R116" s="2" t="inlineStr"/>
    </row>
    <row r="117" ht="15" customHeight="1">
      <c r="A117" t="inlineStr">
        <is>
          <t>A 4444-2024</t>
        </is>
      </c>
      <c r="B117" s="1" t="n">
        <v>45327</v>
      </c>
      <c r="C117" s="1" t="n">
        <v>46075</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72801-2021</t>
        </is>
      </c>
      <c r="B118" s="1" t="n">
        <v>44546</v>
      </c>
      <c r="C118" s="1" t="n">
        <v>46075</v>
      </c>
      <c r="D118" t="inlineStr">
        <is>
          <t>VÄSTRA GÖTALANDS LÄN</t>
        </is>
      </c>
      <c r="E118" t="inlineStr">
        <is>
          <t>ALE</t>
        </is>
      </c>
      <c r="F118" t="inlineStr">
        <is>
          <t>Naturvårdsverket</t>
        </is>
      </c>
      <c r="G118" t="n">
        <v>1.4</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46075</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31407-2025</t>
        </is>
      </c>
      <c r="B120" s="1" t="n">
        <v>45833</v>
      </c>
      <c r="C120" s="1" t="n">
        <v>46075</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59409-2025</t>
        </is>
      </c>
      <c r="B121" s="1" t="n">
        <v>45989.49545138889</v>
      </c>
      <c r="C121" s="1" t="n">
        <v>46075</v>
      </c>
      <c r="D121" t="inlineStr">
        <is>
          <t>VÄSTRA GÖTALANDS LÄN</t>
        </is>
      </c>
      <c r="E121" t="inlineStr">
        <is>
          <t>ALE</t>
        </is>
      </c>
      <c r="G121" t="n">
        <v>0.3</v>
      </c>
      <c r="H121" t="n">
        <v>0</v>
      </c>
      <c r="I121" t="n">
        <v>0</v>
      </c>
      <c r="J121" t="n">
        <v>0</v>
      </c>
      <c r="K121" t="n">
        <v>0</v>
      </c>
      <c r="L121" t="n">
        <v>0</v>
      </c>
      <c r="M121" t="n">
        <v>0</v>
      </c>
      <c r="N121" t="n">
        <v>0</v>
      </c>
      <c r="O121" t="n">
        <v>0</v>
      </c>
      <c r="P121" t="n">
        <v>0</v>
      </c>
      <c r="Q121" t="n">
        <v>0</v>
      </c>
      <c r="R121" s="2" t="inlineStr"/>
    </row>
    <row r="122" ht="15" customHeight="1">
      <c r="A122" t="inlineStr">
        <is>
          <t>A 26083-2023</t>
        </is>
      </c>
      <c r="B122" s="1" t="n">
        <v>45091</v>
      </c>
      <c r="C122" s="1" t="n">
        <v>46075</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2414-2026</t>
        </is>
      </c>
      <c r="B123" s="1" t="n">
        <v>46036.74319444445</v>
      </c>
      <c r="C123" s="1" t="n">
        <v>46075</v>
      </c>
      <c r="D123" t="inlineStr">
        <is>
          <t>VÄSTRA GÖTALANDS LÄN</t>
        </is>
      </c>
      <c r="E123" t="inlineStr">
        <is>
          <t>ALE</t>
        </is>
      </c>
      <c r="G123" t="n">
        <v>3.3</v>
      </c>
      <c r="H123" t="n">
        <v>0</v>
      </c>
      <c r="I123" t="n">
        <v>0</v>
      </c>
      <c r="J123" t="n">
        <v>0</v>
      </c>
      <c r="K123" t="n">
        <v>0</v>
      </c>
      <c r="L123" t="n">
        <v>0</v>
      </c>
      <c r="M123" t="n">
        <v>0</v>
      </c>
      <c r="N123" t="n">
        <v>0</v>
      </c>
      <c r="O123" t="n">
        <v>0</v>
      </c>
      <c r="P123" t="n">
        <v>0</v>
      </c>
      <c r="Q123" t="n">
        <v>0</v>
      </c>
      <c r="R123" s="2" t="inlineStr"/>
    </row>
    <row r="124" ht="15" customHeight="1">
      <c r="A124" t="inlineStr">
        <is>
          <t>A 16344-2023</t>
        </is>
      </c>
      <c r="B124" s="1" t="n">
        <v>45028</v>
      </c>
      <c r="C124" s="1" t="n">
        <v>46075</v>
      </c>
      <c r="D124" t="inlineStr">
        <is>
          <t>VÄSTRA GÖTALANDS LÄN</t>
        </is>
      </c>
      <c r="E124" t="inlineStr">
        <is>
          <t>ALE</t>
        </is>
      </c>
      <c r="G124" t="n">
        <v>6.6</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46075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3261-2026</t>
        </is>
      </c>
      <c r="B126" s="1" t="n">
        <v>46041.5952662037</v>
      </c>
      <c r="C126" s="1" t="n">
        <v>46075</v>
      </c>
      <c r="D126" t="inlineStr">
        <is>
          <t>VÄSTRA GÖTALANDS LÄN</t>
        </is>
      </c>
      <c r="E126" t="inlineStr">
        <is>
          <t>ALE</t>
        </is>
      </c>
      <c r="G126" t="n">
        <v>3.4</v>
      </c>
      <c r="H126" t="n">
        <v>0</v>
      </c>
      <c r="I126" t="n">
        <v>0</v>
      </c>
      <c r="J126" t="n">
        <v>0</v>
      </c>
      <c r="K126" t="n">
        <v>0</v>
      </c>
      <c r="L126" t="n">
        <v>0</v>
      </c>
      <c r="M126" t="n">
        <v>0</v>
      </c>
      <c r="N126" t="n">
        <v>0</v>
      </c>
      <c r="O126" t="n">
        <v>0</v>
      </c>
      <c r="P126" t="n">
        <v>0</v>
      </c>
      <c r="Q126" t="n">
        <v>0</v>
      </c>
      <c r="R126" s="2" t="inlineStr"/>
    </row>
    <row r="127" ht="15" customHeight="1">
      <c r="A127" t="inlineStr">
        <is>
          <t>A 4363-2024</t>
        </is>
      </c>
      <c r="B127" s="1" t="n">
        <v>45325</v>
      </c>
      <c r="C127" s="1" t="n">
        <v>46075</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45988-2021</t>
        </is>
      </c>
      <c r="B128" s="1" t="n">
        <v>44441</v>
      </c>
      <c r="C128" s="1" t="n">
        <v>46075</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61771-2025</t>
        </is>
      </c>
      <c r="B129" s="1" t="n">
        <v>46002.6478587963</v>
      </c>
      <c r="C129" s="1" t="n">
        <v>46075</v>
      </c>
      <c r="D129" t="inlineStr">
        <is>
          <t>VÄSTRA GÖTALANDS LÄN</t>
        </is>
      </c>
      <c r="E129" t="inlineStr">
        <is>
          <t>ALE</t>
        </is>
      </c>
      <c r="G129" t="n">
        <v>3.9</v>
      </c>
      <c r="H129" t="n">
        <v>0</v>
      </c>
      <c r="I129" t="n">
        <v>0</v>
      </c>
      <c r="J129" t="n">
        <v>0</v>
      </c>
      <c r="K129" t="n">
        <v>0</v>
      </c>
      <c r="L129" t="n">
        <v>0</v>
      </c>
      <c r="M129" t="n">
        <v>0</v>
      </c>
      <c r="N129" t="n">
        <v>0</v>
      </c>
      <c r="O129" t="n">
        <v>0</v>
      </c>
      <c r="P129" t="n">
        <v>0</v>
      </c>
      <c r="Q129" t="n">
        <v>0</v>
      </c>
      <c r="R129" s="2" t="inlineStr"/>
    </row>
    <row r="130" ht="15" customHeight="1">
      <c r="A130" t="inlineStr">
        <is>
          <t>A 20067-2023</t>
        </is>
      </c>
      <c r="B130" s="1" t="n">
        <v>45054</v>
      </c>
      <c r="C130" s="1" t="n">
        <v>46075</v>
      </c>
      <c r="D130" t="inlineStr">
        <is>
          <t>VÄSTRA GÖTALANDS LÄN</t>
        </is>
      </c>
      <c r="E130" t="inlineStr">
        <is>
          <t>ALE</t>
        </is>
      </c>
      <c r="G130" t="n">
        <v>0.4</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46075</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61819-2025</t>
        </is>
      </c>
      <c r="B132" s="1" t="n">
        <v>46003.3241087963</v>
      </c>
      <c r="C132" s="1" t="n">
        <v>46075</v>
      </c>
      <c r="D132" t="inlineStr">
        <is>
          <t>VÄSTRA GÖTALANDS LÄN</t>
        </is>
      </c>
      <c r="E132" t="inlineStr">
        <is>
          <t>ALE</t>
        </is>
      </c>
      <c r="G132" t="n">
        <v>5.1</v>
      </c>
      <c r="H132" t="n">
        <v>0</v>
      </c>
      <c r="I132" t="n">
        <v>0</v>
      </c>
      <c r="J132" t="n">
        <v>0</v>
      </c>
      <c r="K132" t="n">
        <v>0</v>
      </c>
      <c r="L132" t="n">
        <v>0</v>
      </c>
      <c r="M132" t="n">
        <v>0</v>
      </c>
      <c r="N132" t="n">
        <v>0</v>
      </c>
      <c r="O132" t="n">
        <v>0</v>
      </c>
      <c r="P132" t="n">
        <v>0</v>
      </c>
      <c r="Q132" t="n">
        <v>0</v>
      </c>
      <c r="R132" s="2" t="inlineStr"/>
    </row>
    <row r="133" ht="15" customHeight="1">
      <c r="A133" t="inlineStr">
        <is>
          <t>A 62828-2025</t>
        </is>
      </c>
      <c r="B133" s="1" t="n">
        <v>46008.66553240741</v>
      </c>
      <c r="C133" s="1" t="n">
        <v>46075</v>
      </c>
      <c r="D133" t="inlineStr">
        <is>
          <t>VÄSTRA GÖTALANDS LÄN</t>
        </is>
      </c>
      <c r="E133" t="inlineStr">
        <is>
          <t>ALE</t>
        </is>
      </c>
      <c r="G133" t="n">
        <v>2.6</v>
      </c>
      <c r="H133" t="n">
        <v>0</v>
      </c>
      <c r="I133" t="n">
        <v>0</v>
      </c>
      <c r="J133" t="n">
        <v>0</v>
      </c>
      <c r="K133" t="n">
        <v>0</v>
      </c>
      <c r="L133" t="n">
        <v>0</v>
      </c>
      <c r="M133" t="n">
        <v>0</v>
      </c>
      <c r="N133" t="n">
        <v>0</v>
      </c>
      <c r="O133" t="n">
        <v>0</v>
      </c>
      <c r="P133" t="n">
        <v>0</v>
      </c>
      <c r="Q133" t="n">
        <v>0</v>
      </c>
      <c r="R133" s="2" t="inlineStr"/>
    </row>
    <row r="134" ht="15" customHeight="1">
      <c r="A134" t="inlineStr">
        <is>
          <t>A 48257-2022</t>
        </is>
      </c>
      <c r="B134" s="1" t="n">
        <v>44858.47591435185</v>
      </c>
      <c r="C134" s="1" t="n">
        <v>46075</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41309-2024</t>
        </is>
      </c>
      <c r="B135" s="1" t="n">
        <v>45559</v>
      </c>
      <c r="C135" s="1" t="n">
        <v>46075</v>
      </c>
      <c r="D135" t="inlineStr">
        <is>
          <t>VÄSTRA GÖTALANDS LÄN</t>
        </is>
      </c>
      <c r="E135" t="inlineStr">
        <is>
          <t>ALE</t>
        </is>
      </c>
      <c r="G135" t="n">
        <v>8.4</v>
      </c>
      <c r="H135" t="n">
        <v>0</v>
      </c>
      <c r="I135" t="n">
        <v>0</v>
      </c>
      <c r="J135" t="n">
        <v>0</v>
      </c>
      <c r="K135" t="n">
        <v>0</v>
      </c>
      <c r="L135" t="n">
        <v>0</v>
      </c>
      <c r="M135" t="n">
        <v>0</v>
      </c>
      <c r="N135" t="n">
        <v>0</v>
      </c>
      <c r="O135" t="n">
        <v>0</v>
      </c>
      <c r="P135" t="n">
        <v>0</v>
      </c>
      <c r="Q135" t="n">
        <v>0</v>
      </c>
      <c r="R135" s="2" t="inlineStr"/>
    </row>
    <row r="136" ht="15" customHeight="1">
      <c r="A136" t="inlineStr">
        <is>
          <t>A 8956-2025</t>
        </is>
      </c>
      <c r="B136" s="1" t="n">
        <v>45713.46825231481</v>
      </c>
      <c r="C136" s="1" t="n">
        <v>46075</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7807-2023</t>
        </is>
      </c>
      <c r="B137" s="1" t="n">
        <v>44973</v>
      </c>
      <c r="C137" s="1" t="n">
        <v>46075</v>
      </c>
      <c r="D137" t="inlineStr">
        <is>
          <t>VÄSTRA GÖTALANDS LÄN</t>
        </is>
      </c>
      <c r="E137" t="inlineStr">
        <is>
          <t>ALE</t>
        </is>
      </c>
      <c r="G137" t="n">
        <v>10.5</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46075</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46075</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7296-2026</t>
        </is>
      </c>
      <c r="B140" s="1" t="n">
        <v>46058.64341435185</v>
      </c>
      <c r="C140" s="1" t="n">
        <v>46075</v>
      </c>
      <c r="D140" t="inlineStr">
        <is>
          <t>VÄSTRA GÖTALANDS LÄN</t>
        </is>
      </c>
      <c r="E140" t="inlineStr">
        <is>
          <t>ALE</t>
        </is>
      </c>
      <c r="G140" t="n">
        <v>7.2</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46075</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8111-2026</t>
        </is>
      </c>
      <c r="B142" s="1" t="n">
        <v>46062</v>
      </c>
      <c r="C142" s="1" t="n">
        <v>46075</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8110-2026</t>
        </is>
      </c>
      <c r="B143" s="1" t="n">
        <v>46062</v>
      </c>
      <c r="C143" s="1" t="n">
        <v>46075</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8112-2026</t>
        </is>
      </c>
      <c r="B144" s="1" t="n">
        <v>46062</v>
      </c>
      <c r="C144" s="1" t="n">
        <v>46075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35959-2022</t>
        </is>
      </c>
      <c r="B145" s="1" t="n">
        <v>44802.57002314815</v>
      </c>
      <c r="C145" s="1" t="n">
        <v>46075</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14493-2024</t>
        </is>
      </c>
      <c r="B146" s="1" t="n">
        <v>45394.58491898148</v>
      </c>
      <c r="C146" s="1" t="n">
        <v>46075</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1500-2024</t>
        </is>
      </c>
      <c r="B147" s="1" t="n">
        <v>45306</v>
      </c>
      <c r="C147" s="1" t="n">
        <v>46075</v>
      </c>
      <c r="D147" t="inlineStr">
        <is>
          <t>VÄSTRA GÖTALANDS LÄN</t>
        </is>
      </c>
      <c r="E147" t="inlineStr">
        <is>
          <t>ALE</t>
        </is>
      </c>
      <c r="G147" t="n">
        <v>1.3</v>
      </c>
      <c r="H147" t="n">
        <v>0</v>
      </c>
      <c r="I147" t="n">
        <v>0</v>
      </c>
      <c r="J147" t="n">
        <v>0</v>
      </c>
      <c r="K147" t="n">
        <v>0</v>
      </c>
      <c r="L147" t="n">
        <v>0</v>
      </c>
      <c r="M147" t="n">
        <v>0</v>
      </c>
      <c r="N147" t="n">
        <v>0</v>
      </c>
      <c r="O147" t="n">
        <v>0</v>
      </c>
      <c r="P147" t="n">
        <v>0</v>
      </c>
      <c r="Q147" t="n">
        <v>0</v>
      </c>
      <c r="R147" s="2" t="inlineStr"/>
    </row>
    <row r="148" ht="15" customHeight="1">
      <c r="A148" t="inlineStr">
        <is>
          <t>A 1687-2024</t>
        </is>
      </c>
      <c r="B148" s="1" t="n">
        <v>45306</v>
      </c>
      <c r="C148" s="1" t="n">
        <v>46075</v>
      </c>
      <c r="D148" t="inlineStr">
        <is>
          <t>VÄSTRA GÖTALANDS LÄN</t>
        </is>
      </c>
      <c r="E148" t="inlineStr">
        <is>
          <t>ALE</t>
        </is>
      </c>
      <c r="G148" t="n">
        <v>3.4</v>
      </c>
      <c r="H148" t="n">
        <v>0</v>
      </c>
      <c r="I148" t="n">
        <v>0</v>
      </c>
      <c r="J148" t="n">
        <v>0</v>
      </c>
      <c r="K148" t="n">
        <v>0</v>
      </c>
      <c r="L148" t="n">
        <v>0</v>
      </c>
      <c r="M148" t="n">
        <v>0</v>
      </c>
      <c r="N148" t="n">
        <v>0</v>
      </c>
      <c r="O148" t="n">
        <v>0</v>
      </c>
      <c r="P148" t="n">
        <v>0</v>
      </c>
      <c r="Q148" t="n">
        <v>0</v>
      </c>
      <c r="R148" s="2" t="inlineStr"/>
    </row>
    <row r="149" ht="15" customHeight="1">
      <c r="A149" t="inlineStr">
        <is>
          <t>A 1291-2026</t>
        </is>
      </c>
      <c r="B149" s="1" t="n">
        <v>46031.50569444444</v>
      </c>
      <c r="C149" s="1" t="n">
        <v>46075</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9783-2026</t>
        </is>
      </c>
      <c r="B150" s="1" t="n">
        <v>46072.58835648148</v>
      </c>
      <c r="C150" s="1" t="n">
        <v>46075</v>
      </c>
      <c r="D150" t="inlineStr">
        <is>
          <t>VÄSTRA GÖTALANDS LÄN</t>
        </is>
      </c>
      <c r="E150" t="inlineStr">
        <is>
          <t>ALE</t>
        </is>
      </c>
      <c r="G150" t="n">
        <v>4.9</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46075</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46075</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46075</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46075</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46075</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46075</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46075</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46075</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46075</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46075</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46075</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46075</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5916-2023</t>
        </is>
      </c>
      <c r="B163" s="1" t="n">
        <v>44963</v>
      </c>
      <c r="C163" s="1" t="n">
        <v>46075</v>
      </c>
      <c r="D163" t="inlineStr">
        <is>
          <t>VÄSTRA GÖTALANDS LÄN</t>
        </is>
      </c>
      <c r="E163" t="inlineStr">
        <is>
          <t>ALE</t>
        </is>
      </c>
      <c r="G163" t="n">
        <v>4.2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46075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50451-2024</t>
        </is>
      </c>
      <c r="B165" s="1" t="n">
        <v>45601.44248842593</v>
      </c>
      <c r="C165" s="1" t="n">
        <v>46075</v>
      </c>
      <c r="D165" t="inlineStr">
        <is>
          <t>VÄSTRA GÖTALANDS LÄN</t>
        </is>
      </c>
      <c r="E165" t="inlineStr">
        <is>
          <t>ALE</t>
        </is>
      </c>
      <c r="G165" t="n">
        <v>2.9</v>
      </c>
      <c r="H165" t="n">
        <v>0</v>
      </c>
      <c r="I165" t="n">
        <v>0</v>
      </c>
      <c r="J165" t="n">
        <v>0</v>
      </c>
      <c r="K165" t="n">
        <v>0</v>
      </c>
      <c r="L165" t="n">
        <v>0</v>
      </c>
      <c r="M165" t="n">
        <v>0</v>
      </c>
      <c r="N165" t="n">
        <v>0</v>
      </c>
      <c r="O165" t="n">
        <v>0</v>
      </c>
      <c r="P165" t="n">
        <v>0</v>
      </c>
      <c r="Q165" t="n">
        <v>0</v>
      </c>
      <c r="R165" s="2" t="inlineStr"/>
    </row>
    <row r="166" ht="15" customHeight="1">
      <c r="A166" t="inlineStr">
        <is>
          <t>A 4971-2024</t>
        </is>
      </c>
      <c r="B166" s="1" t="n">
        <v>45329</v>
      </c>
      <c r="C166" s="1" t="n">
        <v>46075</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22946-2025</t>
        </is>
      </c>
      <c r="B167" s="1" t="n">
        <v>45790.48229166667</v>
      </c>
      <c r="C167" s="1" t="n">
        <v>46075</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37461-2024</t>
        </is>
      </c>
      <c r="B168" s="1" t="n">
        <v>45540.72516203704</v>
      </c>
      <c r="C168" s="1" t="n">
        <v>46075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25849-2025</t>
        </is>
      </c>
      <c r="B169" s="1" t="n">
        <v>45804</v>
      </c>
      <c r="C169" s="1" t="n">
        <v>46075</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25848-2025</t>
        </is>
      </c>
      <c r="B170" s="1" t="n">
        <v>45804</v>
      </c>
      <c r="C170" s="1" t="n">
        <v>46075</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ht="15" customHeight="1">
      <c r="A171" t="inlineStr">
        <is>
          <t>A 25840-2025</t>
        </is>
      </c>
      <c r="B171" s="1" t="n">
        <v>45804</v>
      </c>
      <c r="C171" s="1" t="n">
        <v>46075</v>
      </c>
      <c r="D171" t="inlineStr">
        <is>
          <t>VÄSTRA GÖTALANDS LÄN</t>
        </is>
      </c>
      <c r="E171" t="inlineStr">
        <is>
          <t>ALE</t>
        </is>
      </c>
      <c r="G171" t="n">
        <v>3.8</v>
      </c>
      <c r="H171" t="n">
        <v>0</v>
      </c>
      <c r="I171" t="n">
        <v>0</v>
      </c>
      <c r="J171" t="n">
        <v>0</v>
      </c>
      <c r="K171" t="n">
        <v>0</v>
      </c>
      <c r="L171" t="n">
        <v>0</v>
      </c>
      <c r="M171" t="n">
        <v>0</v>
      </c>
      <c r="N171" t="n">
        <v>0</v>
      </c>
      <c r="O171" t="n">
        <v>0</v>
      </c>
      <c r="P171" t="n">
        <v>0</v>
      </c>
      <c r="Q171" t="n">
        <v>0</v>
      </c>
      <c r="R171" s="2" t="inlineStr"/>
    </row>
    <row r="172" ht="15" customHeight="1">
      <c r="A172" t="inlineStr">
        <is>
          <t>A 18637-2023</t>
        </is>
      </c>
      <c r="B172" s="1" t="n">
        <v>45043</v>
      </c>
      <c r="C172" s="1" t="n">
        <v>46075</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c r="A173" t="inlineStr">
        <is>
          <t>A 59933-2023</t>
        </is>
      </c>
      <c r="B173" s="1" t="n">
        <v>45257</v>
      </c>
      <c r="C173" s="1" t="n">
        <v>46075</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2026-02-22T11:01:28Z</dcterms:created>
  <dcterms:modified xmlns:dcterms="http://purl.org/dc/terms/" xmlns:xsi="http://www.w3.org/2001/XMLSchema-instance" xsi:type="dcterms:W3CDTF">2026-02-22T11:01:28Z</dcterms:modified>
</cp:coreProperties>
</file>