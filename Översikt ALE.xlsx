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46048</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46048</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46048</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46048</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46048</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63239-2025</t>
        </is>
      </c>
      <c r="B8" s="1" t="n">
        <v>46010.52755787037</v>
      </c>
      <c r="C8" s="1" t="n">
        <v>46048</v>
      </c>
      <c r="D8" t="inlineStr">
        <is>
          <t>VÄSTRA GÖTALANDS LÄN</t>
        </is>
      </c>
      <c r="E8" t="inlineStr">
        <is>
          <t>ALE</t>
        </is>
      </c>
      <c r="G8" t="n">
        <v>1.4</v>
      </c>
      <c r="H8" t="n">
        <v>5</v>
      </c>
      <c r="I8" t="n">
        <v>8</v>
      </c>
      <c r="J8" t="n">
        <v>3</v>
      </c>
      <c r="K8" t="n">
        <v>0</v>
      </c>
      <c r="L8" t="n">
        <v>0</v>
      </c>
      <c r="M8" t="n">
        <v>0</v>
      </c>
      <c r="N8" t="n">
        <v>0</v>
      </c>
      <c r="O8" t="n">
        <v>3</v>
      </c>
      <c r="P8" t="n">
        <v>0</v>
      </c>
      <c r="Q8" t="n">
        <v>14</v>
      </c>
      <c r="R8" s="2" t="inlineStr">
        <is>
          <t>Brunpudrad nållav
Spillkråka
Talltita
Björksplintborre
Bronshjon
Gulnål
Kattfotslav
Kornig nållav
Rostfläck
Stor revmossa
Vågbandad barkbock
Gröngöling
Kungsfågel
Tjäder</t>
        </is>
      </c>
      <c r="S8">
        <f>HYPERLINK("https://klasma.github.io/Logging_1440/artfynd/A 63239-2025 artfynd.xlsx", "A 63239-2025")</f>
        <v/>
      </c>
      <c r="T8">
        <f>HYPERLINK("https://klasma.github.io/Logging_1440/kartor/A 63239-2025 karta.png", "A 63239-2025")</f>
        <v/>
      </c>
      <c r="V8">
        <f>HYPERLINK("https://klasma.github.io/Logging_1440/klagomål/A 63239-2025 FSC-klagomål.docx", "A 63239-2025")</f>
        <v/>
      </c>
      <c r="W8">
        <f>HYPERLINK("https://klasma.github.io/Logging_1440/klagomålsmail/A 63239-2025 FSC-klagomål mail.docx", "A 63239-2025")</f>
        <v/>
      </c>
      <c r="X8">
        <f>HYPERLINK("https://klasma.github.io/Logging_1440/tillsyn/A 63239-2025 tillsynsbegäran.docx", "A 63239-2025")</f>
        <v/>
      </c>
      <c r="Y8">
        <f>HYPERLINK("https://klasma.github.io/Logging_1440/tillsynsmail/A 63239-2025 tillsynsbegäran mail.docx", "A 63239-2025")</f>
        <v/>
      </c>
      <c r="Z8">
        <f>HYPERLINK("https://klasma.github.io/Logging_1440/fåglar/A 63239-2025 prioriterade fågelarter.docx", "A 63239-2025")</f>
        <v/>
      </c>
    </row>
    <row r="9" ht="15" customHeight="1">
      <c r="A9" t="inlineStr">
        <is>
          <t>A 32849-2023</t>
        </is>
      </c>
      <c r="B9" s="1" t="n">
        <v>45124</v>
      </c>
      <c r="C9" s="1" t="n">
        <v>46048</v>
      </c>
      <c r="D9" t="inlineStr">
        <is>
          <t>VÄSTRA GÖTALANDS LÄN</t>
        </is>
      </c>
      <c r="E9" t="inlineStr">
        <is>
          <t>ALE</t>
        </is>
      </c>
      <c r="G9" t="n">
        <v>5.6</v>
      </c>
      <c r="H9" t="n">
        <v>4</v>
      </c>
      <c r="I9" t="n">
        <v>7</v>
      </c>
      <c r="J9" t="n">
        <v>2</v>
      </c>
      <c r="K9" t="n">
        <v>0</v>
      </c>
      <c r="L9" t="n">
        <v>0</v>
      </c>
      <c r="M9" t="n">
        <v>0</v>
      </c>
      <c r="N9" t="n">
        <v>0</v>
      </c>
      <c r="O9" t="n">
        <v>2</v>
      </c>
      <c r="P9" t="n">
        <v>0</v>
      </c>
      <c r="Q9" t="n">
        <v>12</v>
      </c>
      <c r="R9" s="2" t="inlineStr">
        <is>
          <t>Motaggsvamp
Spillkråka
Blåmossa
Dropptaggsvamp
Kornknutmossa
Sotriska
Stor revmossa
Stubbspretmossa
Västlig hakmossa
Kungsfågel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22637-2025</t>
        </is>
      </c>
      <c r="B10" s="1" t="n">
        <v>45789</v>
      </c>
      <c r="C10" s="1" t="n">
        <v>46048</v>
      </c>
      <c r="D10" t="inlineStr">
        <is>
          <t>VÄSTRA GÖTALANDS LÄN</t>
        </is>
      </c>
      <c r="E10" t="inlineStr">
        <is>
          <t>ALE</t>
        </is>
      </c>
      <c r="G10" t="n">
        <v>2.3</v>
      </c>
      <c r="H10" t="n">
        <v>4</v>
      </c>
      <c r="I10" t="n">
        <v>6</v>
      </c>
      <c r="J10" t="n">
        <v>2</v>
      </c>
      <c r="K10" t="n">
        <v>0</v>
      </c>
      <c r="L10" t="n">
        <v>1</v>
      </c>
      <c r="M10" t="n">
        <v>1</v>
      </c>
      <c r="N10" t="n">
        <v>0</v>
      </c>
      <c r="O10" t="n">
        <v>4</v>
      </c>
      <c r="P10" t="n">
        <v>2</v>
      </c>
      <c r="Q10" t="n">
        <v>12</v>
      </c>
      <c r="R10" s="2" t="inlineStr">
        <is>
          <t>Skogsalm
Ask
Entita
Spillkråka
Lilanopping
Platt fjädermossa
Skogshakmossa
Stor revmossa
Tibast
Trubbfjädermossa
Gröngöling
Kungsfågel</t>
        </is>
      </c>
      <c r="S10">
        <f>HYPERLINK("https://klasma.github.io/Logging_1440/artfynd/A 22637-2025 artfynd.xlsx", "A 22637-2025")</f>
        <v/>
      </c>
      <c r="T10">
        <f>HYPERLINK("https://klasma.github.io/Logging_1440/kartor/A 22637-2025 karta.png", "A 22637-2025")</f>
        <v/>
      </c>
      <c r="V10">
        <f>HYPERLINK("https://klasma.github.io/Logging_1440/klagomål/A 22637-2025 FSC-klagomål.docx", "A 22637-2025")</f>
        <v/>
      </c>
      <c r="W10">
        <f>HYPERLINK("https://klasma.github.io/Logging_1440/klagomålsmail/A 22637-2025 FSC-klagomål mail.docx", "A 22637-2025")</f>
        <v/>
      </c>
      <c r="X10">
        <f>HYPERLINK("https://klasma.github.io/Logging_1440/tillsyn/A 22637-2025 tillsynsbegäran.docx", "A 22637-2025")</f>
        <v/>
      </c>
      <c r="Y10">
        <f>HYPERLINK("https://klasma.github.io/Logging_1440/tillsynsmail/A 22637-2025 tillsynsbegäran mail.docx", "A 22637-2025")</f>
        <v/>
      </c>
      <c r="Z10">
        <f>HYPERLINK("https://klasma.github.io/Logging_1440/fåglar/A 22637-2025 prioriterade fågelarter.docx", "A 22637-2025")</f>
        <v/>
      </c>
    </row>
    <row r="11" ht="15" customHeight="1">
      <c r="A11" t="inlineStr">
        <is>
          <t>A 41294-2024</t>
        </is>
      </c>
      <c r="B11" s="1" t="n">
        <v>45559</v>
      </c>
      <c r="C11" s="1" t="n">
        <v>46048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46048</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51991-2025</t>
        </is>
      </c>
      <c r="B13" s="1" t="n">
        <v>45952.58069444444</v>
      </c>
      <c r="C13" s="1" t="n">
        <v>46048</v>
      </c>
      <c r="D13" t="inlineStr">
        <is>
          <t>VÄSTRA GÖTALANDS LÄN</t>
        </is>
      </c>
      <c r="E13" t="inlineStr">
        <is>
          <t>ALE</t>
        </is>
      </c>
      <c r="G13" t="n">
        <v>4.8</v>
      </c>
      <c r="H13" t="n">
        <v>3</v>
      </c>
      <c r="I13" t="n">
        <v>4</v>
      </c>
      <c r="J13" t="n">
        <v>3</v>
      </c>
      <c r="K13" t="n">
        <v>0</v>
      </c>
      <c r="L13" t="n">
        <v>0</v>
      </c>
      <c r="M13" t="n">
        <v>1</v>
      </c>
      <c r="N13" t="n">
        <v>0</v>
      </c>
      <c r="O13" t="n">
        <v>4</v>
      </c>
      <c r="P13" t="n">
        <v>1</v>
      </c>
      <c r="Q13" t="n">
        <v>9</v>
      </c>
      <c r="R13" s="2" t="inlineStr">
        <is>
          <t>Skogsalm
Entita
Spillkråka
Stubbtrådmossa
Blåmossa
Klippfrullania
Lönnlav
Västlig hakmossa
Revlummer</t>
        </is>
      </c>
      <c r="S13">
        <f>HYPERLINK("https://klasma.github.io/Logging_1440/artfynd/A 51991-2025 artfynd.xlsx", "A 51991-2025")</f>
        <v/>
      </c>
      <c r="T13">
        <f>HYPERLINK("https://klasma.github.io/Logging_1440/kartor/A 51991-2025 karta.png", "A 51991-2025")</f>
        <v/>
      </c>
      <c r="V13">
        <f>HYPERLINK("https://klasma.github.io/Logging_1440/klagomål/A 51991-2025 FSC-klagomål.docx", "A 51991-2025")</f>
        <v/>
      </c>
      <c r="W13">
        <f>HYPERLINK("https://klasma.github.io/Logging_1440/klagomålsmail/A 51991-2025 FSC-klagomål mail.docx", "A 51991-2025")</f>
        <v/>
      </c>
      <c r="X13">
        <f>HYPERLINK("https://klasma.github.io/Logging_1440/tillsyn/A 51991-2025 tillsynsbegäran.docx", "A 51991-2025")</f>
        <v/>
      </c>
      <c r="Y13">
        <f>HYPERLINK("https://klasma.github.io/Logging_1440/tillsynsmail/A 51991-2025 tillsynsbegäran mail.docx", "A 51991-2025")</f>
        <v/>
      </c>
      <c r="Z13">
        <f>HYPERLINK("https://klasma.github.io/Logging_1440/fåglar/A 51991-2025 prioriterade fågelarter.docx", "A 51991-2025")</f>
        <v/>
      </c>
    </row>
    <row r="14" ht="15" customHeight="1">
      <c r="A14" t="inlineStr">
        <is>
          <t>A 37005-2025</t>
        </is>
      </c>
      <c r="B14" s="1" t="n">
        <v>45874.69311342593</v>
      </c>
      <c r="C14" s="1" t="n">
        <v>46048</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46048</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46048</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46048</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46048</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46048</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19934-2025</t>
        </is>
      </c>
      <c r="B20" s="1" t="n">
        <v>45771</v>
      </c>
      <c r="C20" s="1" t="n">
        <v>46048</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7903-2024</t>
        </is>
      </c>
      <c r="B21" s="1" t="n">
        <v>45350</v>
      </c>
      <c r="C21" s="1" t="n">
        <v>46048</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60293-2025</t>
        </is>
      </c>
      <c r="B22" s="1" t="n">
        <v>45994.65568287037</v>
      </c>
      <c r="C22" s="1" t="n">
        <v>46048</v>
      </c>
      <c r="D22" t="inlineStr">
        <is>
          <t>VÄSTRA GÖTALANDS LÄN</t>
        </is>
      </c>
      <c r="E22" t="inlineStr">
        <is>
          <t>ALE</t>
        </is>
      </c>
      <c r="G22" t="n">
        <v>1.9</v>
      </c>
      <c r="H22" t="n">
        <v>2</v>
      </c>
      <c r="I22" t="n">
        <v>2</v>
      </c>
      <c r="J22" t="n">
        <v>2</v>
      </c>
      <c r="K22" t="n">
        <v>0</v>
      </c>
      <c r="L22" t="n">
        <v>0</v>
      </c>
      <c r="M22" t="n">
        <v>0</v>
      </c>
      <c r="N22" t="n">
        <v>0</v>
      </c>
      <c r="O22" t="n">
        <v>2</v>
      </c>
      <c r="P22" t="n">
        <v>0</v>
      </c>
      <c r="Q22" t="n">
        <v>4</v>
      </c>
      <c r="R22" s="2" t="inlineStr">
        <is>
          <t>Entita
Rödvingetrast
Björksplintborre
Gulnål</t>
        </is>
      </c>
      <c r="S22">
        <f>HYPERLINK("https://klasma.github.io/Logging_1440/artfynd/A 60293-2025 artfynd.xlsx", "A 60293-2025")</f>
        <v/>
      </c>
      <c r="T22">
        <f>HYPERLINK("https://klasma.github.io/Logging_1440/kartor/A 60293-2025 karta.png", "A 60293-2025")</f>
        <v/>
      </c>
      <c r="V22">
        <f>HYPERLINK("https://klasma.github.io/Logging_1440/klagomål/A 60293-2025 FSC-klagomål.docx", "A 60293-2025")</f>
        <v/>
      </c>
      <c r="W22">
        <f>HYPERLINK("https://klasma.github.io/Logging_1440/klagomålsmail/A 60293-2025 FSC-klagomål mail.docx", "A 60293-2025")</f>
        <v/>
      </c>
      <c r="X22">
        <f>HYPERLINK("https://klasma.github.io/Logging_1440/tillsyn/A 60293-2025 tillsynsbegäran.docx", "A 60293-2025")</f>
        <v/>
      </c>
      <c r="Y22">
        <f>HYPERLINK("https://klasma.github.io/Logging_1440/tillsynsmail/A 60293-2025 tillsynsbegäran mail.docx", "A 60293-2025")</f>
        <v/>
      </c>
      <c r="Z22">
        <f>HYPERLINK("https://klasma.github.io/Logging_1440/fåglar/A 60293-2025 prioriterade fågelarter.docx", "A 60293-2025")</f>
        <v/>
      </c>
    </row>
    <row r="23" ht="15" customHeight="1">
      <c r="A23" t="inlineStr">
        <is>
          <t>A 63575-2023</t>
        </is>
      </c>
      <c r="B23" s="1" t="n">
        <v>45275.39715277778</v>
      </c>
      <c r="C23" s="1" t="n">
        <v>46048</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63569-2023</t>
        </is>
      </c>
      <c r="B24" s="1" t="n">
        <v>45275</v>
      </c>
      <c r="C24" s="1" t="n">
        <v>46048</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45306.35041666667</v>
      </c>
      <c r="C25" s="1" t="n">
        <v>46048</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46048</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13380-2025</t>
        </is>
      </c>
      <c r="B27" s="1" t="n">
        <v>45735.6765162037</v>
      </c>
      <c r="C27" s="1" t="n">
        <v>46048</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46048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46048</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46048</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40931-2025</t>
        </is>
      </c>
      <c r="B31" s="1" t="n">
        <v>45897.64783564815</v>
      </c>
      <c r="C31" s="1" t="n">
        <v>46048</v>
      </c>
      <c r="D31" t="inlineStr">
        <is>
          <t>VÄSTRA GÖTALANDS LÄN</t>
        </is>
      </c>
      <c r="E31" t="inlineStr">
        <is>
          <t>ALE</t>
        </is>
      </c>
      <c r="G31" t="n">
        <v>4.3</v>
      </c>
      <c r="H31" t="n">
        <v>1</v>
      </c>
      <c r="I31" t="n">
        <v>1</v>
      </c>
      <c r="J31" t="n">
        <v>1</v>
      </c>
      <c r="K31" t="n">
        <v>0</v>
      </c>
      <c r="L31" t="n">
        <v>0</v>
      </c>
      <c r="M31" t="n">
        <v>0</v>
      </c>
      <c r="N31" t="n">
        <v>0</v>
      </c>
      <c r="O31" t="n">
        <v>1</v>
      </c>
      <c r="P31" t="n">
        <v>0</v>
      </c>
      <c r="Q31" t="n">
        <v>2</v>
      </c>
      <c r="R31" s="2" t="inlineStr">
        <is>
          <t>Spillkråka
Blåmossa</t>
        </is>
      </c>
      <c r="S31">
        <f>HYPERLINK("https://klasma.github.io/Logging_1440/artfynd/A 40931-2025 artfynd.xlsx", "A 40931-2025")</f>
        <v/>
      </c>
      <c r="T31">
        <f>HYPERLINK("https://klasma.github.io/Logging_1440/kartor/A 40931-2025 karta.png", "A 40931-2025")</f>
        <v/>
      </c>
      <c r="V31">
        <f>HYPERLINK("https://klasma.github.io/Logging_1440/klagomål/A 40931-2025 FSC-klagomål.docx", "A 40931-2025")</f>
        <v/>
      </c>
      <c r="W31">
        <f>HYPERLINK("https://klasma.github.io/Logging_1440/klagomålsmail/A 40931-2025 FSC-klagomål mail.docx", "A 40931-2025")</f>
        <v/>
      </c>
      <c r="X31">
        <f>HYPERLINK("https://klasma.github.io/Logging_1440/tillsyn/A 40931-2025 tillsynsbegäran.docx", "A 40931-2025")</f>
        <v/>
      </c>
      <c r="Y31">
        <f>HYPERLINK("https://klasma.github.io/Logging_1440/tillsynsmail/A 40931-2025 tillsynsbegäran mail.docx", "A 40931-2025")</f>
        <v/>
      </c>
      <c r="Z31">
        <f>HYPERLINK("https://klasma.github.io/Logging_1440/fåglar/A 40931-2025 prioriterade fågelarter.docx", "A 40931-2025")</f>
        <v/>
      </c>
    </row>
    <row r="32" ht="15" customHeight="1">
      <c r="A32" t="inlineStr">
        <is>
          <t>A 42660-2024</t>
        </is>
      </c>
      <c r="B32" s="1" t="n">
        <v>45566.33841435185</v>
      </c>
      <c r="C32" s="1" t="n">
        <v>46048</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46048</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46048</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46048</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46048</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12084-2025</t>
        </is>
      </c>
      <c r="B37" s="1" t="n">
        <v>45728.95387731482</v>
      </c>
      <c r="C37" s="1" t="n">
        <v>46048</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26493-2024</t>
        </is>
      </c>
      <c r="B38" s="1" t="n">
        <v>45469</v>
      </c>
      <c r="C38" s="1" t="n">
        <v>46048</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12982-2024</t>
        </is>
      </c>
      <c r="B39" s="1" t="n">
        <v>45385.53569444444</v>
      </c>
      <c r="C39" s="1" t="n">
        <v>46048</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62524-2025</t>
        </is>
      </c>
      <c r="B40" s="1" t="n">
        <v>46007.6247337963</v>
      </c>
      <c r="C40" s="1" t="n">
        <v>46048</v>
      </c>
      <c r="D40" t="inlineStr">
        <is>
          <t>VÄSTRA GÖTALANDS LÄN</t>
        </is>
      </c>
      <c r="E40" t="inlineStr">
        <is>
          <t>ALE</t>
        </is>
      </c>
      <c r="G40" t="n">
        <v>8</v>
      </c>
      <c r="H40" t="n">
        <v>1</v>
      </c>
      <c r="I40" t="n">
        <v>0</v>
      </c>
      <c r="J40" t="n">
        <v>0</v>
      </c>
      <c r="K40" t="n">
        <v>0</v>
      </c>
      <c r="L40" t="n">
        <v>0</v>
      </c>
      <c r="M40" t="n">
        <v>0</v>
      </c>
      <c r="N40" t="n">
        <v>0</v>
      </c>
      <c r="O40" t="n">
        <v>0</v>
      </c>
      <c r="P40" t="n">
        <v>0</v>
      </c>
      <c r="Q40" t="n">
        <v>1</v>
      </c>
      <c r="R40" s="2" t="inlineStr">
        <is>
          <t>Revlummer</t>
        </is>
      </c>
      <c r="S40">
        <f>HYPERLINK("https://klasma.github.io/Logging_1440/artfynd/A 62524-2025 artfynd.xlsx", "A 62524-2025")</f>
        <v/>
      </c>
      <c r="T40">
        <f>HYPERLINK("https://klasma.github.io/Logging_1440/kartor/A 62524-2025 karta.png", "A 62524-2025")</f>
        <v/>
      </c>
      <c r="V40">
        <f>HYPERLINK("https://klasma.github.io/Logging_1440/klagomål/A 62524-2025 FSC-klagomål.docx", "A 62524-2025")</f>
        <v/>
      </c>
      <c r="W40">
        <f>HYPERLINK("https://klasma.github.io/Logging_1440/klagomålsmail/A 62524-2025 FSC-klagomål mail.docx", "A 62524-2025")</f>
        <v/>
      </c>
      <c r="X40">
        <f>HYPERLINK("https://klasma.github.io/Logging_1440/tillsyn/A 62524-2025 tillsynsbegäran.docx", "A 62524-2025")</f>
        <v/>
      </c>
      <c r="Y40">
        <f>HYPERLINK("https://klasma.github.io/Logging_1440/tillsynsmail/A 62524-2025 tillsynsbegäran mail.docx", "A 62524-2025")</f>
        <v/>
      </c>
    </row>
    <row r="41" ht="15" customHeight="1">
      <c r="A41" t="inlineStr">
        <is>
          <t>A 58412-2025</t>
        </is>
      </c>
      <c r="B41" s="1" t="n">
        <v>45985.57564814815</v>
      </c>
      <c r="C41" s="1" t="n">
        <v>46048</v>
      </c>
      <c r="D41" t="inlineStr">
        <is>
          <t>VÄSTRA GÖTALANDS LÄN</t>
        </is>
      </c>
      <c r="E41" t="inlineStr">
        <is>
          <t>ALE</t>
        </is>
      </c>
      <c r="G41" t="n">
        <v>3.2</v>
      </c>
      <c r="H41" t="n">
        <v>1</v>
      </c>
      <c r="I41" t="n">
        <v>0</v>
      </c>
      <c r="J41" t="n">
        <v>0</v>
      </c>
      <c r="K41" t="n">
        <v>0</v>
      </c>
      <c r="L41" t="n">
        <v>0</v>
      </c>
      <c r="M41" t="n">
        <v>0</v>
      </c>
      <c r="N41" t="n">
        <v>0</v>
      </c>
      <c r="O41" t="n">
        <v>0</v>
      </c>
      <c r="P41" t="n">
        <v>0</v>
      </c>
      <c r="Q41" t="n">
        <v>1</v>
      </c>
      <c r="R41" s="2" t="inlineStr">
        <is>
          <t>Äkta lopplummer</t>
        </is>
      </c>
      <c r="S41">
        <f>HYPERLINK("https://klasma.github.io/Logging_1440/artfynd/A 58412-2025 artfynd.xlsx", "A 58412-2025")</f>
        <v/>
      </c>
      <c r="T41">
        <f>HYPERLINK("https://klasma.github.io/Logging_1440/kartor/A 58412-2025 karta.png", "A 58412-2025")</f>
        <v/>
      </c>
      <c r="V41">
        <f>HYPERLINK("https://klasma.github.io/Logging_1440/klagomål/A 58412-2025 FSC-klagomål.docx", "A 58412-2025")</f>
        <v/>
      </c>
      <c r="W41">
        <f>HYPERLINK("https://klasma.github.io/Logging_1440/klagomålsmail/A 58412-2025 FSC-klagomål mail.docx", "A 58412-2025")</f>
        <v/>
      </c>
      <c r="X41">
        <f>HYPERLINK("https://klasma.github.io/Logging_1440/tillsyn/A 58412-2025 tillsynsbegäran.docx", "A 58412-2025")</f>
        <v/>
      </c>
      <c r="Y41">
        <f>HYPERLINK("https://klasma.github.io/Logging_1440/tillsynsmail/A 58412-2025 tillsynsbegäran mail.docx", "A 58412-2025")</f>
        <v/>
      </c>
    </row>
    <row r="42" ht="15" customHeight="1">
      <c r="A42" t="inlineStr">
        <is>
          <t>A 21281-2021</t>
        </is>
      </c>
      <c r="B42" s="1" t="n">
        <v>44320.61850694445</v>
      </c>
      <c r="C42" s="1" t="n">
        <v>46048</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46048</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46048</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46048</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46048</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46048</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46048</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46048</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46048</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46048</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31568-2021</t>
        </is>
      </c>
      <c r="B52" s="1" t="n">
        <v>44369</v>
      </c>
      <c r="C52" s="1" t="n">
        <v>46048</v>
      </c>
      <c r="D52" t="inlineStr">
        <is>
          <t>VÄSTRA GÖTALANDS LÄN</t>
        </is>
      </c>
      <c r="E52" t="inlineStr">
        <is>
          <t>ALE</t>
        </is>
      </c>
      <c r="G52" t="n">
        <v>0.5</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46048</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46048</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46048</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46048</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46048</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46048</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46048</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46048</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67160-2021</t>
        </is>
      </c>
      <c r="B61" s="1" t="n">
        <v>44523</v>
      </c>
      <c r="C61" s="1" t="n">
        <v>46048</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46048</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35148-2021</t>
        </is>
      </c>
      <c r="B63" s="1" t="n">
        <v>44384</v>
      </c>
      <c r="C63" s="1" t="n">
        <v>46048</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46048</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50451-2024</t>
        </is>
      </c>
      <c r="B65" s="1" t="n">
        <v>45601.44248842593</v>
      </c>
      <c r="C65" s="1" t="n">
        <v>46048</v>
      </c>
      <c r="D65" t="inlineStr">
        <is>
          <t>VÄSTRA GÖTALANDS LÄN</t>
        </is>
      </c>
      <c r="E65" t="inlineStr">
        <is>
          <t>ALE</t>
        </is>
      </c>
      <c r="G65" t="n">
        <v>2.9</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46048</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46048</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3418-2023</t>
        </is>
      </c>
      <c r="B68" s="1" t="n">
        <v>44949.56182870371</v>
      </c>
      <c r="C68" s="1" t="n">
        <v>46048</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3520-2022</t>
        </is>
      </c>
      <c r="B69" s="1" t="n">
        <v>44585.72818287037</v>
      </c>
      <c r="C69" s="1" t="n">
        <v>46048</v>
      </c>
      <c r="D69" t="inlineStr">
        <is>
          <t>VÄSTRA GÖTALANDS LÄN</t>
        </is>
      </c>
      <c r="E69" t="inlineStr">
        <is>
          <t>ALE</t>
        </is>
      </c>
      <c r="G69" t="n">
        <v>2.3</v>
      </c>
      <c r="H69" t="n">
        <v>0</v>
      </c>
      <c r="I69" t="n">
        <v>0</v>
      </c>
      <c r="J69" t="n">
        <v>0</v>
      </c>
      <c r="K69" t="n">
        <v>0</v>
      </c>
      <c r="L69" t="n">
        <v>0</v>
      </c>
      <c r="M69" t="n">
        <v>0</v>
      </c>
      <c r="N69" t="n">
        <v>0</v>
      </c>
      <c r="O69" t="n">
        <v>0</v>
      </c>
      <c r="P69" t="n">
        <v>0</v>
      </c>
      <c r="Q69" t="n">
        <v>0</v>
      </c>
      <c r="R69" s="2" t="inlineStr"/>
    </row>
    <row r="70" ht="15" customHeight="1">
      <c r="A70" t="inlineStr">
        <is>
          <t>A 65226-2021</t>
        </is>
      </c>
      <c r="B70" s="1" t="n">
        <v>44515</v>
      </c>
      <c r="C70" s="1" t="n">
        <v>46048</v>
      </c>
      <c r="D70" t="inlineStr">
        <is>
          <t>VÄSTRA GÖTALANDS LÄN</t>
        </is>
      </c>
      <c r="E70" t="inlineStr">
        <is>
          <t>ALE</t>
        </is>
      </c>
      <c r="G70" t="n">
        <v>0.7</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46048</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46048</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46048</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17044-2025</t>
        </is>
      </c>
      <c r="B74" s="1" t="n">
        <v>45755.58891203703</v>
      </c>
      <c r="C74" s="1" t="n">
        <v>46048</v>
      </c>
      <c r="D74" t="inlineStr">
        <is>
          <t>VÄSTRA GÖTALANDS LÄN</t>
        </is>
      </c>
      <c r="E74" t="inlineStr">
        <is>
          <t>ALE</t>
        </is>
      </c>
      <c r="G74" t="n">
        <v>1.5</v>
      </c>
      <c r="H74" t="n">
        <v>0</v>
      </c>
      <c r="I74" t="n">
        <v>0</v>
      </c>
      <c r="J74" t="n">
        <v>0</v>
      </c>
      <c r="K74" t="n">
        <v>0</v>
      </c>
      <c r="L74" t="n">
        <v>0</v>
      </c>
      <c r="M74" t="n">
        <v>0</v>
      </c>
      <c r="N74" t="n">
        <v>0</v>
      </c>
      <c r="O74" t="n">
        <v>0</v>
      </c>
      <c r="P74" t="n">
        <v>0</v>
      </c>
      <c r="Q74" t="n">
        <v>0</v>
      </c>
      <c r="R74" s="2" t="inlineStr"/>
    </row>
    <row r="75" ht="15" customHeight="1">
      <c r="A75" t="inlineStr">
        <is>
          <t>A 55488-2022</t>
        </is>
      </c>
      <c r="B75" s="1" t="n">
        <v>44887</v>
      </c>
      <c r="C75" s="1" t="n">
        <v>46048</v>
      </c>
      <c r="D75" t="inlineStr">
        <is>
          <t>VÄSTRA GÖTALANDS LÄN</t>
        </is>
      </c>
      <c r="E75" t="inlineStr">
        <is>
          <t>ALE</t>
        </is>
      </c>
      <c r="G75" t="n">
        <v>2.5</v>
      </c>
      <c r="H75" t="n">
        <v>0</v>
      </c>
      <c r="I75" t="n">
        <v>0</v>
      </c>
      <c r="J75" t="n">
        <v>0</v>
      </c>
      <c r="K75" t="n">
        <v>0</v>
      </c>
      <c r="L75" t="n">
        <v>0</v>
      </c>
      <c r="M75" t="n">
        <v>0</v>
      </c>
      <c r="N75" t="n">
        <v>0</v>
      </c>
      <c r="O75" t="n">
        <v>0</v>
      </c>
      <c r="P75" t="n">
        <v>0</v>
      </c>
      <c r="Q75" t="n">
        <v>0</v>
      </c>
      <c r="R75" s="2" t="inlineStr"/>
    </row>
    <row r="76" ht="15" customHeight="1">
      <c r="A76" t="inlineStr">
        <is>
          <t>A 37461-2024</t>
        </is>
      </c>
      <c r="B76" s="1" t="n">
        <v>45540.72516203704</v>
      </c>
      <c r="C76" s="1" t="n">
        <v>46048</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16601-2025</t>
        </is>
      </c>
      <c r="B77" s="1" t="n">
        <v>45753.53189814815</v>
      </c>
      <c r="C77" s="1" t="n">
        <v>46048</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1960-2024</t>
        </is>
      </c>
      <c r="B78" s="1" t="n">
        <v>45308.50962962963</v>
      </c>
      <c r="C78" s="1" t="n">
        <v>46048</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41607-2022</t>
        </is>
      </c>
      <c r="B79" s="1" t="n">
        <v>44827.46658564815</v>
      </c>
      <c r="C79" s="1" t="n">
        <v>46048</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15499-2022</t>
        </is>
      </c>
      <c r="B80" s="1" t="n">
        <v>44662</v>
      </c>
      <c r="C80" s="1" t="n">
        <v>46048</v>
      </c>
      <c r="D80" t="inlineStr">
        <is>
          <t>VÄSTRA GÖTALANDS LÄN</t>
        </is>
      </c>
      <c r="E80" t="inlineStr">
        <is>
          <t>ALE</t>
        </is>
      </c>
      <c r="G80" t="n">
        <v>4.7</v>
      </c>
      <c r="H80" t="n">
        <v>0</v>
      </c>
      <c r="I80" t="n">
        <v>0</v>
      </c>
      <c r="J80" t="n">
        <v>0</v>
      </c>
      <c r="K80" t="n">
        <v>0</v>
      </c>
      <c r="L80" t="n">
        <v>0</v>
      </c>
      <c r="M80" t="n">
        <v>0</v>
      </c>
      <c r="N80" t="n">
        <v>0</v>
      </c>
      <c r="O80" t="n">
        <v>0</v>
      </c>
      <c r="P80" t="n">
        <v>0</v>
      </c>
      <c r="Q80" t="n">
        <v>0</v>
      </c>
      <c r="R80" s="2" t="inlineStr"/>
    </row>
    <row r="81" ht="15" customHeight="1">
      <c r="A81" t="inlineStr">
        <is>
          <t>A 53476-2023</t>
        </is>
      </c>
      <c r="B81" s="1" t="n">
        <v>45230.33737268519</v>
      </c>
      <c r="C81" s="1" t="n">
        <v>46048</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36403-2024</t>
        </is>
      </c>
      <c r="B82" s="1" t="n">
        <v>45535.69445601852</v>
      </c>
      <c r="C82" s="1" t="n">
        <v>46048</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200-2022</t>
        </is>
      </c>
      <c r="B83" s="1" t="n">
        <v>44564</v>
      </c>
      <c r="C83" s="1" t="n">
        <v>46048</v>
      </c>
      <c r="D83" t="inlineStr">
        <is>
          <t>VÄSTRA GÖTALANDS LÄN</t>
        </is>
      </c>
      <c r="E83" t="inlineStr">
        <is>
          <t>ALE</t>
        </is>
      </c>
      <c r="G83" t="n">
        <v>6.8</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46048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51164-2024</t>
        </is>
      </c>
      <c r="B85" s="1" t="n">
        <v>45603.5830787037</v>
      </c>
      <c r="C85" s="1" t="n">
        <v>46048</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15582-2025</t>
        </is>
      </c>
      <c r="B86" s="1" t="n">
        <v>45747.81394675926</v>
      </c>
      <c r="C86" s="1" t="n">
        <v>46048</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7892-2024</t>
        </is>
      </c>
      <c r="B87" s="1" t="n">
        <v>45350.40921296296</v>
      </c>
      <c r="C87" s="1" t="n">
        <v>46048</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25849-2025</t>
        </is>
      </c>
      <c r="B88" s="1" t="n">
        <v>45804</v>
      </c>
      <c r="C88" s="1" t="n">
        <v>46048</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25848-2025</t>
        </is>
      </c>
      <c r="B89" s="1" t="n">
        <v>45804</v>
      </c>
      <c r="C89" s="1" t="n">
        <v>46048</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35959-2022</t>
        </is>
      </c>
      <c r="B90" s="1" t="n">
        <v>44802.57002314815</v>
      </c>
      <c r="C90" s="1" t="n">
        <v>46048</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25840-2025</t>
        </is>
      </c>
      <c r="B91" s="1" t="n">
        <v>45804</v>
      </c>
      <c r="C91" s="1" t="n">
        <v>46048</v>
      </c>
      <c r="D91" t="inlineStr">
        <is>
          <t>VÄSTRA GÖTALANDS LÄN</t>
        </is>
      </c>
      <c r="E91" t="inlineStr">
        <is>
          <t>ALE</t>
        </is>
      </c>
      <c r="G91" t="n">
        <v>3.8</v>
      </c>
      <c r="H91" t="n">
        <v>0</v>
      </c>
      <c r="I91" t="n">
        <v>0</v>
      </c>
      <c r="J91" t="n">
        <v>0</v>
      </c>
      <c r="K91" t="n">
        <v>0</v>
      </c>
      <c r="L91" t="n">
        <v>0</v>
      </c>
      <c r="M91" t="n">
        <v>0</v>
      </c>
      <c r="N91" t="n">
        <v>0</v>
      </c>
      <c r="O91" t="n">
        <v>0</v>
      </c>
      <c r="P91" t="n">
        <v>0</v>
      </c>
      <c r="Q91" t="n">
        <v>0</v>
      </c>
      <c r="R91" s="2" t="inlineStr"/>
    </row>
    <row r="92" ht="15" customHeight="1">
      <c r="A92" t="inlineStr">
        <is>
          <t>A 56493-2021</t>
        </is>
      </c>
      <c r="B92" s="1" t="n">
        <v>44480.57173611111</v>
      </c>
      <c r="C92" s="1" t="n">
        <v>46048</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6947-2024</t>
        </is>
      </c>
      <c r="B93" s="1" t="n">
        <v>45343</v>
      </c>
      <c r="C93" s="1" t="n">
        <v>46048</v>
      </c>
      <c r="D93" t="inlineStr">
        <is>
          <t>VÄSTRA GÖTALANDS LÄN</t>
        </is>
      </c>
      <c r="E93" t="inlineStr">
        <is>
          <t>ALE</t>
        </is>
      </c>
      <c r="G93" t="n">
        <v>3.7</v>
      </c>
      <c r="H93" t="n">
        <v>0</v>
      </c>
      <c r="I93" t="n">
        <v>0</v>
      </c>
      <c r="J93" t="n">
        <v>0</v>
      </c>
      <c r="K93" t="n">
        <v>0</v>
      </c>
      <c r="L93" t="n">
        <v>0</v>
      </c>
      <c r="M93" t="n">
        <v>0</v>
      </c>
      <c r="N93" t="n">
        <v>0</v>
      </c>
      <c r="O93" t="n">
        <v>0</v>
      </c>
      <c r="P93" t="n">
        <v>0</v>
      </c>
      <c r="Q93" t="n">
        <v>0</v>
      </c>
      <c r="R93" s="2" t="inlineStr"/>
    </row>
    <row r="94" ht="15" customHeight="1">
      <c r="A94" t="inlineStr">
        <is>
          <t>A 4444-2024</t>
        </is>
      </c>
      <c r="B94" s="1" t="n">
        <v>45327</v>
      </c>
      <c r="C94" s="1" t="n">
        <v>46048</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24642-2022</t>
        </is>
      </c>
      <c r="B95" s="1" t="n">
        <v>44727.59578703704</v>
      </c>
      <c r="C95" s="1" t="n">
        <v>46048</v>
      </c>
      <c r="D95" t="inlineStr">
        <is>
          <t>VÄSTRA GÖTALANDS LÄN</t>
        </is>
      </c>
      <c r="E95" t="inlineStr">
        <is>
          <t>ALE</t>
        </is>
      </c>
      <c r="G95" t="n">
        <v>10</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46048</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14493-2024</t>
        </is>
      </c>
      <c r="B97" s="1" t="n">
        <v>45394.58491898148</v>
      </c>
      <c r="C97" s="1" t="n">
        <v>46048</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32762-2023</t>
        </is>
      </c>
      <c r="B98" s="1" t="n">
        <v>45123.46649305556</v>
      </c>
      <c r="C98" s="1" t="n">
        <v>46048</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1500-2024</t>
        </is>
      </c>
      <c r="B99" s="1" t="n">
        <v>45306</v>
      </c>
      <c r="C99" s="1" t="n">
        <v>46048</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18637-2023</t>
        </is>
      </c>
      <c r="B100" s="1" t="n">
        <v>45043</v>
      </c>
      <c r="C100" s="1" t="n">
        <v>46048</v>
      </c>
      <c r="D100" t="inlineStr">
        <is>
          <t>VÄSTRA GÖTALANDS LÄN</t>
        </is>
      </c>
      <c r="E100" t="inlineStr">
        <is>
          <t>ALE</t>
        </is>
      </c>
      <c r="G100" t="n">
        <v>3.6</v>
      </c>
      <c r="H100" t="n">
        <v>0</v>
      </c>
      <c r="I100" t="n">
        <v>0</v>
      </c>
      <c r="J100" t="n">
        <v>0</v>
      </c>
      <c r="K100" t="n">
        <v>0</v>
      </c>
      <c r="L100" t="n">
        <v>0</v>
      </c>
      <c r="M100" t="n">
        <v>0</v>
      </c>
      <c r="N100" t="n">
        <v>0</v>
      </c>
      <c r="O100" t="n">
        <v>0</v>
      </c>
      <c r="P100" t="n">
        <v>0</v>
      </c>
      <c r="Q100" t="n">
        <v>0</v>
      </c>
      <c r="R100" s="2" t="inlineStr"/>
    </row>
    <row r="101" ht="15" customHeight="1">
      <c r="A101" t="inlineStr">
        <is>
          <t>A 59933-2023</t>
        </is>
      </c>
      <c r="B101" s="1" t="n">
        <v>45257</v>
      </c>
      <c r="C101" s="1" t="n">
        <v>46048</v>
      </c>
      <c r="D101" t="inlineStr">
        <is>
          <t>VÄSTRA GÖTALANDS LÄN</t>
        </is>
      </c>
      <c r="E101" t="inlineStr">
        <is>
          <t>ALE</t>
        </is>
      </c>
      <c r="G101" t="n">
        <v>2.7</v>
      </c>
      <c r="H101" t="n">
        <v>0</v>
      </c>
      <c r="I101" t="n">
        <v>0</v>
      </c>
      <c r="J101" t="n">
        <v>0</v>
      </c>
      <c r="K101" t="n">
        <v>0</v>
      </c>
      <c r="L101" t="n">
        <v>0</v>
      </c>
      <c r="M101" t="n">
        <v>0</v>
      </c>
      <c r="N101" t="n">
        <v>0</v>
      </c>
      <c r="O101" t="n">
        <v>0</v>
      </c>
      <c r="P101" t="n">
        <v>0</v>
      </c>
      <c r="Q101" t="n">
        <v>0</v>
      </c>
      <c r="R101" s="2" t="inlineStr"/>
    </row>
    <row r="102" ht="15" customHeight="1">
      <c r="A102" t="inlineStr">
        <is>
          <t>A 26083-2023</t>
        </is>
      </c>
      <c r="B102" s="1" t="n">
        <v>45091</v>
      </c>
      <c r="C102" s="1" t="n">
        <v>46048</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8659-2025</t>
        </is>
      </c>
      <c r="B103" s="1" t="n">
        <v>45712</v>
      </c>
      <c r="C103" s="1" t="n">
        <v>46048</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5344-2024</t>
        </is>
      </c>
      <c r="B104" s="1" t="n">
        <v>45331</v>
      </c>
      <c r="C104" s="1" t="n">
        <v>46048</v>
      </c>
      <c r="D104" t="inlineStr">
        <is>
          <t>VÄSTRA GÖTALANDS LÄN</t>
        </is>
      </c>
      <c r="E104" t="inlineStr">
        <is>
          <t>ALE</t>
        </is>
      </c>
      <c r="G104" t="n">
        <v>2.5</v>
      </c>
      <c r="H104" t="n">
        <v>0</v>
      </c>
      <c r="I104" t="n">
        <v>0</v>
      </c>
      <c r="J104" t="n">
        <v>0</v>
      </c>
      <c r="K104" t="n">
        <v>0</v>
      </c>
      <c r="L104" t="n">
        <v>0</v>
      </c>
      <c r="M104" t="n">
        <v>0</v>
      </c>
      <c r="N104" t="n">
        <v>0</v>
      </c>
      <c r="O104" t="n">
        <v>0</v>
      </c>
      <c r="P104" t="n">
        <v>0</v>
      </c>
      <c r="Q104" t="n">
        <v>0</v>
      </c>
      <c r="R104" s="2" t="inlineStr"/>
    </row>
    <row r="105" ht="15" customHeight="1">
      <c r="A105" t="inlineStr">
        <is>
          <t>A 51564-2023</t>
        </is>
      </c>
      <c r="B105" s="1" t="n">
        <v>45222</v>
      </c>
      <c r="C105" s="1" t="n">
        <v>46048</v>
      </c>
      <c r="D105" t="inlineStr">
        <is>
          <t>VÄSTRA GÖTALANDS LÄN</t>
        </is>
      </c>
      <c r="E105" t="inlineStr">
        <is>
          <t>ALE</t>
        </is>
      </c>
      <c r="G105" t="n">
        <v>1.5</v>
      </c>
      <c r="H105" t="n">
        <v>0</v>
      </c>
      <c r="I105" t="n">
        <v>0</v>
      </c>
      <c r="J105" t="n">
        <v>0</v>
      </c>
      <c r="K105" t="n">
        <v>0</v>
      </c>
      <c r="L105" t="n">
        <v>0</v>
      </c>
      <c r="M105" t="n">
        <v>0</v>
      </c>
      <c r="N105" t="n">
        <v>0</v>
      </c>
      <c r="O105" t="n">
        <v>0</v>
      </c>
      <c r="P105" t="n">
        <v>0</v>
      </c>
      <c r="Q105" t="n">
        <v>0</v>
      </c>
      <c r="R105" s="2" t="inlineStr"/>
    </row>
    <row r="106" ht="15" customHeight="1">
      <c r="A106" t="inlineStr">
        <is>
          <t>A 1687-2024</t>
        </is>
      </c>
      <c r="B106" s="1" t="n">
        <v>45306</v>
      </c>
      <c r="C106" s="1" t="n">
        <v>46048</v>
      </c>
      <c r="D106" t="inlineStr">
        <is>
          <t>VÄSTRA GÖTALANDS LÄN</t>
        </is>
      </c>
      <c r="E106" t="inlineStr">
        <is>
          <t>ALE</t>
        </is>
      </c>
      <c r="G106" t="n">
        <v>3.4</v>
      </c>
      <c r="H106" t="n">
        <v>0</v>
      </c>
      <c r="I106" t="n">
        <v>0</v>
      </c>
      <c r="J106" t="n">
        <v>0</v>
      </c>
      <c r="K106" t="n">
        <v>0</v>
      </c>
      <c r="L106" t="n">
        <v>0</v>
      </c>
      <c r="M106" t="n">
        <v>0</v>
      </c>
      <c r="N106" t="n">
        <v>0</v>
      </c>
      <c r="O106" t="n">
        <v>0</v>
      </c>
      <c r="P106" t="n">
        <v>0</v>
      </c>
      <c r="Q106" t="n">
        <v>0</v>
      </c>
      <c r="R106" s="2" t="inlineStr"/>
    </row>
    <row r="107" ht="15" customHeight="1">
      <c r="A107" t="inlineStr">
        <is>
          <t>A 29373-2025</t>
        </is>
      </c>
      <c r="B107" s="1" t="n">
        <v>45824.579375</v>
      </c>
      <c r="C107" s="1" t="n">
        <v>46048</v>
      </c>
      <c r="D107" t="inlineStr">
        <is>
          <t>VÄSTRA GÖTALANDS LÄN</t>
        </is>
      </c>
      <c r="E107" t="inlineStr">
        <is>
          <t>ALE</t>
        </is>
      </c>
      <c r="G107" t="n">
        <v>4.6</v>
      </c>
      <c r="H107" t="n">
        <v>0</v>
      </c>
      <c r="I107" t="n">
        <v>0</v>
      </c>
      <c r="J107" t="n">
        <v>0</v>
      </c>
      <c r="K107" t="n">
        <v>0</v>
      </c>
      <c r="L107" t="n">
        <v>0</v>
      </c>
      <c r="M107" t="n">
        <v>0</v>
      </c>
      <c r="N107" t="n">
        <v>0</v>
      </c>
      <c r="O107" t="n">
        <v>0</v>
      </c>
      <c r="P107" t="n">
        <v>0</v>
      </c>
      <c r="Q107" t="n">
        <v>0</v>
      </c>
      <c r="R107" s="2" t="inlineStr"/>
    </row>
    <row r="108" ht="15" customHeight="1">
      <c r="A108" t="inlineStr">
        <is>
          <t>A 13382-2025</t>
        </is>
      </c>
      <c r="B108" s="1" t="n">
        <v>45735.67928240741</v>
      </c>
      <c r="C108" s="1" t="n">
        <v>46048</v>
      </c>
      <c r="D108" t="inlineStr">
        <is>
          <t>VÄSTRA GÖTALANDS LÄN</t>
        </is>
      </c>
      <c r="E108" t="inlineStr">
        <is>
          <t>ALE</t>
        </is>
      </c>
      <c r="G108" t="n">
        <v>0.9</v>
      </c>
      <c r="H108" t="n">
        <v>0</v>
      </c>
      <c r="I108" t="n">
        <v>0</v>
      </c>
      <c r="J108" t="n">
        <v>0</v>
      </c>
      <c r="K108" t="n">
        <v>0</v>
      </c>
      <c r="L108" t="n">
        <v>0</v>
      </c>
      <c r="M108" t="n">
        <v>0</v>
      </c>
      <c r="N108" t="n">
        <v>0</v>
      </c>
      <c r="O108" t="n">
        <v>0</v>
      </c>
      <c r="P108" t="n">
        <v>0</v>
      </c>
      <c r="Q108" t="n">
        <v>0</v>
      </c>
      <c r="R108" s="2" t="inlineStr"/>
    </row>
    <row r="109" ht="15" customHeight="1">
      <c r="A109" t="inlineStr">
        <is>
          <t>A 16344-2023</t>
        </is>
      </c>
      <c r="B109" s="1" t="n">
        <v>45028</v>
      </c>
      <c r="C109" s="1" t="n">
        <v>46048</v>
      </c>
      <c r="D109" t="inlineStr">
        <is>
          <t>VÄSTRA GÖTALANDS LÄN</t>
        </is>
      </c>
      <c r="E109" t="inlineStr">
        <is>
          <t>ALE</t>
        </is>
      </c>
      <c r="G109" t="n">
        <v>6.6</v>
      </c>
      <c r="H109" t="n">
        <v>0</v>
      </c>
      <c r="I109" t="n">
        <v>0</v>
      </c>
      <c r="J109" t="n">
        <v>0</v>
      </c>
      <c r="K109" t="n">
        <v>0</v>
      </c>
      <c r="L109" t="n">
        <v>0</v>
      </c>
      <c r="M109" t="n">
        <v>0</v>
      </c>
      <c r="N109" t="n">
        <v>0</v>
      </c>
      <c r="O109" t="n">
        <v>0</v>
      </c>
      <c r="P109" t="n">
        <v>0</v>
      </c>
      <c r="Q109" t="n">
        <v>0</v>
      </c>
      <c r="R109" s="2" t="inlineStr"/>
    </row>
    <row r="110" ht="15" customHeight="1">
      <c r="A110" t="inlineStr">
        <is>
          <t>A 13903-2025</t>
        </is>
      </c>
      <c r="B110" s="1" t="n">
        <v>45737.63481481482</v>
      </c>
      <c r="C110" s="1" t="n">
        <v>46048</v>
      </c>
      <c r="D110" t="inlineStr">
        <is>
          <t>VÄSTRA GÖTALANDS LÄN</t>
        </is>
      </c>
      <c r="E110" t="inlineStr">
        <is>
          <t>ALE</t>
        </is>
      </c>
      <c r="G110" t="n">
        <v>0.5</v>
      </c>
      <c r="H110" t="n">
        <v>0</v>
      </c>
      <c r="I110" t="n">
        <v>0</v>
      </c>
      <c r="J110" t="n">
        <v>0</v>
      </c>
      <c r="K110" t="n">
        <v>0</v>
      </c>
      <c r="L110" t="n">
        <v>0</v>
      </c>
      <c r="M110" t="n">
        <v>0</v>
      </c>
      <c r="N110" t="n">
        <v>0</v>
      </c>
      <c r="O110" t="n">
        <v>0</v>
      </c>
      <c r="P110" t="n">
        <v>0</v>
      </c>
      <c r="Q110" t="n">
        <v>0</v>
      </c>
      <c r="R110" s="2" t="inlineStr"/>
    </row>
    <row r="111" ht="15" customHeight="1">
      <c r="A111" t="inlineStr">
        <is>
          <t>A 4363-2024</t>
        </is>
      </c>
      <c r="B111" s="1" t="n">
        <v>45325</v>
      </c>
      <c r="C111" s="1" t="n">
        <v>46048</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31409-2025</t>
        </is>
      </c>
      <c r="B112" s="1" t="n">
        <v>45833</v>
      </c>
      <c r="C112" s="1" t="n">
        <v>46048</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31488-2025</t>
        </is>
      </c>
      <c r="B113" s="1" t="n">
        <v>45833</v>
      </c>
      <c r="C113" s="1" t="n">
        <v>46048</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31533-2025</t>
        </is>
      </c>
      <c r="B114" s="1" t="n">
        <v>45833</v>
      </c>
      <c r="C114" s="1" t="n">
        <v>46048</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45988-2021</t>
        </is>
      </c>
      <c r="B115" s="1" t="n">
        <v>44441</v>
      </c>
      <c r="C115" s="1" t="n">
        <v>46048</v>
      </c>
      <c r="D115" t="inlineStr">
        <is>
          <t>VÄSTRA GÖTALANDS LÄN</t>
        </is>
      </c>
      <c r="E115" t="inlineStr">
        <is>
          <t>ALE</t>
        </is>
      </c>
      <c r="G115" t="n">
        <v>1.2</v>
      </c>
      <c r="H115" t="n">
        <v>0</v>
      </c>
      <c r="I115" t="n">
        <v>0</v>
      </c>
      <c r="J115" t="n">
        <v>0</v>
      </c>
      <c r="K115" t="n">
        <v>0</v>
      </c>
      <c r="L115" t="n">
        <v>0</v>
      </c>
      <c r="M115" t="n">
        <v>0</v>
      </c>
      <c r="N115" t="n">
        <v>0</v>
      </c>
      <c r="O115" t="n">
        <v>0</v>
      </c>
      <c r="P115" t="n">
        <v>0</v>
      </c>
      <c r="Q115" t="n">
        <v>0</v>
      </c>
      <c r="R115" s="2" t="inlineStr"/>
    </row>
    <row r="116" ht="15" customHeight="1">
      <c r="A116" t="inlineStr">
        <is>
          <t>A 26157-2023</t>
        </is>
      </c>
      <c r="B116" s="1" t="n">
        <v>45091.50479166667</v>
      </c>
      <c r="C116" s="1" t="n">
        <v>46048</v>
      </c>
      <c r="D116" t="inlineStr">
        <is>
          <t>VÄSTRA GÖTALANDS LÄN</t>
        </is>
      </c>
      <c r="E116" t="inlineStr">
        <is>
          <t>ALE</t>
        </is>
      </c>
      <c r="G116" t="n">
        <v>2.6</v>
      </c>
      <c r="H116" t="n">
        <v>0</v>
      </c>
      <c r="I116" t="n">
        <v>0</v>
      </c>
      <c r="J116" t="n">
        <v>0</v>
      </c>
      <c r="K116" t="n">
        <v>0</v>
      </c>
      <c r="L116" t="n">
        <v>0</v>
      </c>
      <c r="M116" t="n">
        <v>0</v>
      </c>
      <c r="N116" t="n">
        <v>0</v>
      </c>
      <c r="O116" t="n">
        <v>0</v>
      </c>
      <c r="P116" t="n">
        <v>0</v>
      </c>
      <c r="Q116" t="n">
        <v>0</v>
      </c>
      <c r="R116" s="2" t="inlineStr"/>
    </row>
    <row r="117" ht="15" customHeight="1">
      <c r="A117" t="inlineStr">
        <is>
          <t>A 20067-2023</t>
        </is>
      </c>
      <c r="B117" s="1" t="n">
        <v>45054</v>
      </c>
      <c r="C117" s="1" t="n">
        <v>46048</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47087-2023</t>
        </is>
      </c>
      <c r="B118" s="1" t="n">
        <v>45196</v>
      </c>
      <c r="C118" s="1" t="n">
        <v>46048</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27314-2021</t>
        </is>
      </c>
      <c r="B119" s="1" t="n">
        <v>44351.36537037037</v>
      </c>
      <c r="C119" s="1" t="n">
        <v>46048</v>
      </c>
      <c r="D119" t="inlineStr">
        <is>
          <t>VÄSTRA GÖTALANDS LÄN</t>
        </is>
      </c>
      <c r="E119" t="inlineStr">
        <is>
          <t>ALE</t>
        </is>
      </c>
      <c r="G119" t="n">
        <v>11.3</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44858.47591435185</v>
      </c>
      <c r="C120" s="1" t="n">
        <v>46048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5875-2023</t>
        </is>
      </c>
      <c r="B121" s="1" t="n">
        <v>44963</v>
      </c>
      <c r="C121" s="1" t="n">
        <v>46048</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41309-2024</t>
        </is>
      </c>
      <c r="B122" s="1" t="n">
        <v>45559</v>
      </c>
      <c r="C122" s="1" t="n">
        <v>46048</v>
      </c>
      <c r="D122" t="inlineStr">
        <is>
          <t>VÄSTRA GÖTALANDS LÄN</t>
        </is>
      </c>
      <c r="E122" t="inlineStr">
        <is>
          <t>ALE</t>
        </is>
      </c>
      <c r="G122" t="n">
        <v>8.4</v>
      </c>
      <c r="H122" t="n">
        <v>0</v>
      </c>
      <c r="I122" t="n">
        <v>0</v>
      </c>
      <c r="J122" t="n">
        <v>0</v>
      </c>
      <c r="K122" t="n">
        <v>0</v>
      </c>
      <c r="L122" t="n">
        <v>0</v>
      </c>
      <c r="M122" t="n">
        <v>0</v>
      </c>
      <c r="N122" t="n">
        <v>0</v>
      </c>
      <c r="O122" t="n">
        <v>0</v>
      </c>
      <c r="P122" t="n">
        <v>0</v>
      </c>
      <c r="Q122" t="n">
        <v>0</v>
      </c>
      <c r="R122" s="2" t="inlineStr"/>
    </row>
    <row r="123" ht="15" customHeight="1">
      <c r="A123" t="inlineStr">
        <is>
          <t>A 64199-2021</t>
        </is>
      </c>
      <c r="B123" s="1" t="n">
        <v>44510</v>
      </c>
      <c r="C123" s="1" t="n">
        <v>46048</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7807-2023</t>
        </is>
      </c>
      <c r="B124" s="1" t="n">
        <v>44973</v>
      </c>
      <c r="C124" s="1" t="n">
        <v>46048</v>
      </c>
      <c r="D124" t="inlineStr">
        <is>
          <t>VÄSTRA GÖTALANDS LÄN</t>
        </is>
      </c>
      <c r="E124" t="inlineStr">
        <is>
          <t>ALE</t>
        </is>
      </c>
      <c r="G124" t="n">
        <v>10.5</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46048</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14458-2024</t>
        </is>
      </c>
      <c r="B126" s="1" t="n">
        <v>45394</v>
      </c>
      <c r="C126" s="1" t="n">
        <v>46048</v>
      </c>
      <c r="D126" t="inlineStr">
        <is>
          <t>VÄSTRA GÖTALANDS LÄN</t>
        </is>
      </c>
      <c r="E126" t="inlineStr">
        <is>
          <t>ALE</t>
        </is>
      </c>
      <c r="G126" t="n">
        <v>0.5</v>
      </c>
      <c r="H126" t="n">
        <v>0</v>
      </c>
      <c r="I126" t="n">
        <v>0</v>
      </c>
      <c r="J126" t="n">
        <v>0</v>
      </c>
      <c r="K126" t="n">
        <v>0</v>
      </c>
      <c r="L126" t="n">
        <v>0</v>
      </c>
      <c r="M126" t="n">
        <v>0</v>
      </c>
      <c r="N126" t="n">
        <v>0</v>
      </c>
      <c r="O126" t="n">
        <v>0</v>
      </c>
      <c r="P126" t="n">
        <v>0</v>
      </c>
      <c r="Q126" t="n">
        <v>0</v>
      </c>
      <c r="R126" s="2" t="inlineStr"/>
    </row>
    <row r="127" ht="15" customHeight="1">
      <c r="A127" t="inlineStr">
        <is>
          <t>A 49955-2021</t>
        </is>
      </c>
      <c r="B127" s="1" t="n">
        <v>44456</v>
      </c>
      <c r="C127" s="1" t="n">
        <v>46048</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42446-2023</t>
        </is>
      </c>
      <c r="B128" s="1" t="n">
        <v>45180</v>
      </c>
      <c r="C128" s="1" t="n">
        <v>46048</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33237-2024</t>
        </is>
      </c>
      <c r="B129" s="1" t="n">
        <v>45518.59173611111</v>
      </c>
      <c r="C129" s="1" t="n">
        <v>46048</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12055-2022</t>
        </is>
      </c>
      <c r="B130" s="1" t="n">
        <v>44636</v>
      </c>
      <c r="C130" s="1" t="n">
        <v>46048</v>
      </c>
      <c r="D130" t="inlineStr">
        <is>
          <t>VÄSTRA GÖTALANDS LÄN</t>
        </is>
      </c>
      <c r="E130" t="inlineStr">
        <is>
          <t>ALE</t>
        </is>
      </c>
      <c r="G130" t="n">
        <v>0.2</v>
      </c>
      <c r="H130" t="n">
        <v>0</v>
      </c>
      <c r="I130" t="n">
        <v>0</v>
      </c>
      <c r="J130" t="n">
        <v>0</v>
      </c>
      <c r="K130" t="n">
        <v>0</v>
      </c>
      <c r="L130" t="n">
        <v>0</v>
      </c>
      <c r="M130" t="n">
        <v>0</v>
      </c>
      <c r="N130" t="n">
        <v>0</v>
      </c>
      <c r="O130" t="n">
        <v>0</v>
      </c>
      <c r="P130" t="n">
        <v>0</v>
      </c>
      <c r="Q130" t="n">
        <v>0</v>
      </c>
      <c r="R130" s="2" t="inlineStr"/>
    </row>
    <row r="131" ht="15" customHeight="1">
      <c r="A131" t="inlineStr">
        <is>
          <t>A 40074-2025</t>
        </is>
      </c>
      <c r="B131" s="1" t="n">
        <v>45894.44685185186</v>
      </c>
      <c r="C131" s="1" t="n">
        <v>46048</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46048</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3407-2023</t>
        </is>
      </c>
      <c r="B133" s="1" t="n">
        <v>44949.54909722223</v>
      </c>
      <c r="C133" s="1" t="n">
        <v>46048</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15241-2025</t>
        </is>
      </c>
      <c r="B134" s="1" t="n">
        <v>45744.61255787037</v>
      </c>
      <c r="C134" s="1" t="n">
        <v>46048</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49680-2024</t>
        </is>
      </c>
      <c r="B135" s="1" t="n">
        <v>45596.66880787037</v>
      </c>
      <c r="C135" s="1" t="n">
        <v>46048</v>
      </c>
      <c r="D135" t="inlineStr">
        <is>
          <t>VÄSTRA GÖTALANDS LÄN</t>
        </is>
      </c>
      <c r="E135" t="inlineStr">
        <is>
          <t>ALE</t>
        </is>
      </c>
      <c r="G135" t="n">
        <v>3.7</v>
      </c>
      <c r="H135" t="n">
        <v>0</v>
      </c>
      <c r="I135" t="n">
        <v>0</v>
      </c>
      <c r="J135" t="n">
        <v>0</v>
      </c>
      <c r="K135" t="n">
        <v>0</v>
      </c>
      <c r="L135" t="n">
        <v>0</v>
      </c>
      <c r="M135" t="n">
        <v>0</v>
      </c>
      <c r="N135" t="n">
        <v>0</v>
      </c>
      <c r="O135" t="n">
        <v>0</v>
      </c>
      <c r="P135" t="n">
        <v>0</v>
      </c>
      <c r="Q135" t="n">
        <v>0</v>
      </c>
      <c r="R135" s="2" t="inlineStr"/>
    </row>
    <row r="136" ht="15" customHeight="1">
      <c r="A136" t="inlineStr">
        <is>
          <t>A 34153-2024</t>
        </is>
      </c>
      <c r="B136" s="1" t="n">
        <v>45524.38400462963</v>
      </c>
      <c r="C136" s="1" t="n">
        <v>46048</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14731-2022</t>
        </is>
      </c>
      <c r="B137" s="1" t="n">
        <v>44656</v>
      </c>
      <c r="C137" s="1" t="n">
        <v>46048</v>
      </c>
      <c r="D137" t="inlineStr">
        <is>
          <t>VÄSTRA GÖTALANDS LÄN</t>
        </is>
      </c>
      <c r="E137" t="inlineStr">
        <is>
          <t>ALE</t>
        </is>
      </c>
      <c r="G137" t="n">
        <v>1.8</v>
      </c>
      <c r="H137" t="n">
        <v>0</v>
      </c>
      <c r="I137" t="n">
        <v>0</v>
      </c>
      <c r="J137" t="n">
        <v>0</v>
      </c>
      <c r="K137" t="n">
        <v>0</v>
      </c>
      <c r="L137" t="n">
        <v>0</v>
      </c>
      <c r="M137" t="n">
        <v>0</v>
      </c>
      <c r="N137" t="n">
        <v>0</v>
      </c>
      <c r="O137" t="n">
        <v>0</v>
      </c>
      <c r="P137" t="n">
        <v>0</v>
      </c>
      <c r="Q137" t="n">
        <v>0</v>
      </c>
      <c r="R137" s="2" t="inlineStr"/>
    </row>
    <row r="138" ht="15" customHeight="1">
      <c r="A138" t="inlineStr">
        <is>
          <t>A 13426-2025</t>
        </is>
      </c>
      <c r="B138" s="1" t="n">
        <v>45736.32780092592</v>
      </c>
      <c r="C138" s="1" t="n">
        <v>46048</v>
      </c>
      <c r="D138" t="inlineStr">
        <is>
          <t>VÄSTRA GÖTALANDS LÄN</t>
        </is>
      </c>
      <c r="E138" t="inlineStr">
        <is>
          <t>ALE</t>
        </is>
      </c>
      <c r="G138" t="n">
        <v>1.5</v>
      </c>
      <c r="H138" t="n">
        <v>0</v>
      </c>
      <c r="I138" t="n">
        <v>0</v>
      </c>
      <c r="J138" t="n">
        <v>0</v>
      </c>
      <c r="K138" t="n">
        <v>0</v>
      </c>
      <c r="L138" t="n">
        <v>0</v>
      </c>
      <c r="M138" t="n">
        <v>0</v>
      </c>
      <c r="N138" t="n">
        <v>0</v>
      </c>
      <c r="O138" t="n">
        <v>0</v>
      </c>
      <c r="P138" t="n">
        <v>0</v>
      </c>
      <c r="Q138" t="n">
        <v>0</v>
      </c>
      <c r="R138" s="2" t="inlineStr"/>
    </row>
    <row r="139" ht="15" customHeight="1">
      <c r="A139" t="inlineStr">
        <is>
          <t>A 41598-2022</t>
        </is>
      </c>
      <c r="B139" s="1" t="n">
        <v>44827.4609837963</v>
      </c>
      <c r="C139" s="1" t="n">
        <v>46048</v>
      </c>
      <c r="D139" t="inlineStr">
        <is>
          <t>VÄSTRA GÖTALANDS LÄN</t>
        </is>
      </c>
      <c r="E139" t="inlineStr">
        <is>
          <t>ALE</t>
        </is>
      </c>
      <c r="G139" t="n">
        <v>2</v>
      </c>
      <c r="H139" t="n">
        <v>0</v>
      </c>
      <c r="I139" t="n">
        <v>0</v>
      </c>
      <c r="J139" t="n">
        <v>0</v>
      </c>
      <c r="K139" t="n">
        <v>0</v>
      </c>
      <c r="L139" t="n">
        <v>0</v>
      </c>
      <c r="M139" t="n">
        <v>0</v>
      </c>
      <c r="N139" t="n">
        <v>0</v>
      </c>
      <c r="O139" t="n">
        <v>0</v>
      </c>
      <c r="P139" t="n">
        <v>0</v>
      </c>
      <c r="Q139" t="n">
        <v>0</v>
      </c>
      <c r="R139" s="2" t="inlineStr"/>
    </row>
    <row r="140" ht="15" customHeight="1">
      <c r="A140" t="inlineStr">
        <is>
          <t>A 4642-2024</t>
        </is>
      </c>
      <c r="B140" s="1" t="n">
        <v>45328.43502314815</v>
      </c>
      <c r="C140" s="1" t="n">
        <v>46048</v>
      </c>
      <c r="D140" t="inlineStr">
        <is>
          <t>VÄSTRA GÖTALANDS LÄN</t>
        </is>
      </c>
      <c r="E140" t="inlineStr">
        <is>
          <t>ALE</t>
        </is>
      </c>
      <c r="G140" t="n">
        <v>7.1</v>
      </c>
      <c r="H140" t="n">
        <v>0</v>
      </c>
      <c r="I140" t="n">
        <v>0</v>
      </c>
      <c r="J140" t="n">
        <v>0</v>
      </c>
      <c r="K140" t="n">
        <v>0</v>
      </c>
      <c r="L140" t="n">
        <v>0</v>
      </c>
      <c r="M140" t="n">
        <v>0</v>
      </c>
      <c r="N140" t="n">
        <v>0</v>
      </c>
      <c r="O140" t="n">
        <v>0</v>
      </c>
      <c r="P140" t="n">
        <v>0</v>
      </c>
      <c r="Q140" t="n">
        <v>0</v>
      </c>
      <c r="R140" s="2" t="inlineStr"/>
    </row>
    <row r="141" ht="15" customHeight="1">
      <c r="A141" t="inlineStr">
        <is>
          <t>A 46226-2025</t>
        </is>
      </c>
      <c r="B141" s="1" t="n">
        <v>45924</v>
      </c>
      <c r="C141" s="1" t="n">
        <v>46048</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46227-2025</t>
        </is>
      </c>
      <c r="B142" s="1" t="n">
        <v>45924.90386574074</v>
      </c>
      <c r="C142" s="1" t="n">
        <v>46048</v>
      </c>
      <c r="D142" t="inlineStr">
        <is>
          <t>VÄSTRA GÖTALANDS LÄN</t>
        </is>
      </c>
      <c r="E142" t="inlineStr">
        <is>
          <t>ALE</t>
        </is>
      </c>
      <c r="G142" t="n">
        <v>0.3</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46048</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47592-2025</t>
        </is>
      </c>
      <c r="B144" s="1" t="n">
        <v>45931.44649305556</v>
      </c>
      <c r="C144" s="1" t="n">
        <v>46048</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3457-2022</t>
        </is>
      </c>
      <c r="B145" s="1" t="n">
        <v>44585</v>
      </c>
      <c r="C145" s="1" t="n">
        <v>46048</v>
      </c>
      <c r="D145" t="inlineStr">
        <is>
          <t>VÄSTRA GÖTALANDS LÄN</t>
        </is>
      </c>
      <c r="E145" t="inlineStr">
        <is>
          <t>ALE</t>
        </is>
      </c>
      <c r="G145" t="n">
        <v>5.1</v>
      </c>
      <c r="H145" t="n">
        <v>0</v>
      </c>
      <c r="I145" t="n">
        <v>0</v>
      </c>
      <c r="J145" t="n">
        <v>0</v>
      </c>
      <c r="K145" t="n">
        <v>0</v>
      </c>
      <c r="L145" t="n">
        <v>0</v>
      </c>
      <c r="M145" t="n">
        <v>0</v>
      </c>
      <c r="N145" t="n">
        <v>0</v>
      </c>
      <c r="O145" t="n">
        <v>0</v>
      </c>
      <c r="P145" t="n">
        <v>0</v>
      </c>
      <c r="Q145" t="n">
        <v>0</v>
      </c>
      <c r="R145" s="2" t="inlineStr"/>
    </row>
    <row r="146" ht="15" customHeight="1">
      <c r="A146" t="inlineStr">
        <is>
          <t>A 47330-2025</t>
        </is>
      </c>
      <c r="B146" s="1" t="n">
        <v>45930.56170138889</v>
      </c>
      <c r="C146" s="1" t="n">
        <v>46048</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47593-2025</t>
        </is>
      </c>
      <c r="B147" s="1" t="n">
        <v>45931.4480787037</v>
      </c>
      <c r="C147" s="1" t="n">
        <v>46048</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47728-2025</t>
        </is>
      </c>
      <c r="B148" s="1" t="n">
        <v>45931.63186342592</v>
      </c>
      <c r="C148" s="1" t="n">
        <v>46048</v>
      </c>
      <c r="D148" t="inlineStr">
        <is>
          <t>VÄSTRA GÖTALANDS LÄN</t>
        </is>
      </c>
      <c r="E148" t="inlineStr">
        <is>
          <t>ALE</t>
        </is>
      </c>
      <c r="G148" t="n">
        <v>1.1</v>
      </c>
      <c r="H148" t="n">
        <v>0</v>
      </c>
      <c r="I148" t="n">
        <v>0</v>
      </c>
      <c r="J148" t="n">
        <v>0</v>
      </c>
      <c r="K148" t="n">
        <v>0</v>
      </c>
      <c r="L148" t="n">
        <v>0</v>
      </c>
      <c r="M148" t="n">
        <v>0</v>
      </c>
      <c r="N148" t="n">
        <v>0</v>
      </c>
      <c r="O148" t="n">
        <v>0</v>
      </c>
      <c r="P148" t="n">
        <v>0</v>
      </c>
      <c r="Q148" t="n">
        <v>0</v>
      </c>
      <c r="R148" s="2" t="inlineStr"/>
    </row>
    <row r="149" ht="15" customHeight="1">
      <c r="A149" t="inlineStr">
        <is>
          <t>A 1566-2022</t>
        </is>
      </c>
      <c r="B149" s="1" t="n">
        <v>44573</v>
      </c>
      <c r="C149" s="1" t="n">
        <v>46048</v>
      </c>
      <c r="D149" t="inlineStr">
        <is>
          <t>VÄSTRA GÖTALANDS LÄN</t>
        </is>
      </c>
      <c r="E149" t="inlineStr">
        <is>
          <t>ALE</t>
        </is>
      </c>
      <c r="G149" t="n">
        <v>3</v>
      </c>
      <c r="H149" t="n">
        <v>0</v>
      </c>
      <c r="I149" t="n">
        <v>0</v>
      </c>
      <c r="J149" t="n">
        <v>0</v>
      </c>
      <c r="K149" t="n">
        <v>0</v>
      </c>
      <c r="L149" t="n">
        <v>0</v>
      </c>
      <c r="M149" t="n">
        <v>0</v>
      </c>
      <c r="N149" t="n">
        <v>0</v>
      </c>
      <c r="O149" t="n">
        <v>0</v>
      </c>
      <c r="P149" t="n">
        <v>0</v>
      </c>
      <c r="Q149" t="n">
        <v>0</v>
      </c>
      <c r="R149" s="2" t="inlineStr"/>
    </row>
    <row r="150" ht="15" customHeight="1">
      <c r="A150" t="inlineStr">
        <is>
          <t>A 12445-2022</t>
        </is>
      </c>
      <c r="B150" s="1" t="n">
        <v>44638</v>
      </c>
      <c r="C150" s="1" t="n">
        <v>46048</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57473-2022</t>
        </is>
      </c>
      <c r="B151" s="1" t="n">
        <v>44896</v>
      </c>
      <c r="C151" s="1" t="n">
        <v>46048</v>
      </c>
      <c r="D151" t="inlineStr">
        <is>
          <t>VÄSTRA GÖTALANDS LÄN</t>
        </is>
      </c>
      <c r="E151" t="inlineStr">
        <is>
          <t>ALE</t>
        </is>
      </c>
      <c r="G151" t="n">
        <v>0.7</v>
      </c>
      <c r="H151" t="n">
        <v>0</v>
      </c>
      <c r="I151" t="n">
        <v>0</v>
      </c>
      <c r="J151" t="n">
        <v>0</v>
      </c>
      <c r="K151" t="n">
        <v>0</v>
      </c>
      <c r="L151" t="n">
        <v>0</v>
      </c>
      <c r="M151" t="n">
        <v>0</v>
      </c>
      <c r="N151" t="n">
        <v>0</v>
      </c>
      <c r="O151" t="n">
        <v>0</v>
      </c>
      <c r="P151" t="n">
        <v>0</v>
      </c>
      <c r="Q151" t="n">
        <v>0</v>
      </c>
      <c r="R151" s="2" t="inlineStr"/>
    </row>
    <row r="152" ht="15" customHeight="1">
      <c r="A152" t="inlineStr">
        <is>
          <t>A 48213-2025</t>
        </is>
      </c>
      <c r="B152" s="1" t="n">
        <v>45933</v>
      </c>
      <c r="C152" s="1" t="n">
        <v>46048</v>
      </c>
      <c r="D152" t="inlineStr">
        <is>
          <t>VÄSTRA GÖTALANDS LÄN</t>
        </is>
      </c>
      <c r="E152" t="inlineStr">
        <is>
          <t>ALE</t>
        </is>
      </c>
      <c r="G152" t="n">
        <v>3.3</v>
      </c>
      <c r="H152" t="n">
        <v>0</v>
      </c>
      <c r="I152" t="n">
        <v>0</v>
      </c>
      <c r="J152" t="n">
        <v>0</v>
      </c>
      <c r="K152" t="n">
        <v>0</v>
      </c>
      <c r="L152" t="n">
        <v>0</v>
      </c>
      <c r="M152" t="n">
        <v>0</v>
      </c>
      <c r="N152" t="n">
        <v>0</v>
      </c>
      <c r="O152" t="n">
        <v>0</v>
      </c>
      <c r="P152" t="n">
        <v>0</v>
      </c>
      <c r="Q152" t="n">
        <v>0</v>
      </c>
      <c r="R152" s="2" t="inlineStr"/>
    </row>
    <row r="153" ht="15" customHeight="1">
      <c r="A153" t="inlineStr">
        <is>
          <t>A 48218-2025</t>
        </is>
      </c>
      <c r="B153" s="1" t="n">
        <v>45933</v>
      </c>
      <c r="C153" s="1" t="n">
        <v>46048</v>
      </c>
      <c r="D153" t="inlineStr">
        <is>
          <t>VÄSTRA GÖTALANDS LÄN</t>
        </is>
      </c>
      <c r="E153" t="inlineStr">
        <is>
          <t>ALE</t>
        </is>
      </c>
      <c r="G153" t="n">
        <v>1.4</v>
      </c>
      <c r="H153" t="n">
        <v>0</v>
      </c>
      <c r="I153" t="n">
        <v>0</v>
      </c>
      <c r="J153" t="n">
        <v>0</v>
      </c>
      <c r="K153" t="n">
        <v>0</v>
      </c>
      <c r="L153" t="n">
        <v>0</v>
      </c>
      <c r="M153" t="n">
        <v>0</v>
      </c>
      <c r="N153" t="n">
        <v>0</v>
      </c>
      <c r="O153" t="n">
        <v>0</v>
      </c>
      <c r="P153" t="n">
        <v>0</v>
      </c>
      <c r="Q153" t="n">
        <v>0</v>
      </c>
      <c r="R153" s="2" t="inlineStr"/>
    </row>
    <row r="154" ht="15" customHeight="1">
      <c r="A154" t="inlineStr">
        <is>
          <t>A 8956-2025</t>
        </is>
      </c>
      <c r="B154" s="1" t="n">
        <v>45713.46825231481</v>
      </c>
      <c r="C154" s="1" t="n">
        <v>46048</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50189-2025</t>
        </is>
      </c>
      <c r="B155" s="1" t="n">
        <v>45943.63476851852</v>
      </c>
      <c r="C155" s="1" t="n">
        <v>46048</v>
      </c>
      <c r="D155" t="inlineStr">
        <is>
          <t>VÄSTRA GÖTALANDS LÄN</t>
        </is>
      </c>
      <c r="E155" t="inlineStr">
        <is>
          <t>ALE</t>
        </is>
      </c>
      <c r="G155" t="n">
        <v>3</v>
      </c>
      <c r="H155" t="n">
        <v>0</v>
      </c>
      <c r="I155" t="n">
        <v>0</v>
      </c>
      <c r="J155" t="n">
        <v>0</v>
      </c>
      <c r="K155" t="n">
        <v>0</v>
      </c>
      <c r="L155" t="n">
        <v>0</v>
      </c>
      <c r="M155" t="n">
        <v>0</v>
      </c>
      <c r="N155" t="n">
        <v>0</v>
      </c>
      <c r="O155" t="n">
        <v>0</v>
      </c>
      <c r="P155" t="n">
        <v>0</v>
      </c>
      <c r="Q155" t="n">
        <v>0</v>
      </c>
      <c r="R155" s="2" t="inlineStr"/>
    </row>
    <row r="156" ht="15" customHeight="1">
      <c r="A156" t="inlineStr">
        <is>
          <t>A 50973-2025</t>
        </is>
      </c>
      <c r="B156" s="1" t="n">
        <v>45947.31263888889</v>
      </c>
      <c r="C156" s="1" t="n">
        <v>46048</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51976-2025</t>
        </is>
      </c>
      <c r="B157" s="1" t="n">
        <v>45952.56412037037</v>
      </c>
      <c r="C157" s="1" t="n">
        <v>46048</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52423-2025</t>
        </is>
      </c>
      <c r="B158" s="1" t="n">
        <v>45954.37650462963</v>
      </c>
      <c r="C158" s="1" t="n">
        <v>46048</v>
      </c>
      <c r="D158" t="inlineStr">
        <is>
          <t>VÄSTRA GÖTALANDS LÄN</t>
        </is>
      </c>
      <c r="E158" t="inlineStr">
        <is>
          <t>ALE</t>
        </is>
      </c>
      <c r="G158" t="n">
        <v>4.1</v>
      </c>
      <c r="H158" t="n">
        <v>0</v>
      </c>
      <c r="I158" t="n">
        <v>0</v>
      </c>
      <c r="J158" t="n">
        <v>0</v>
      </c>
      <c r="K158" t="n">
        <v>0</v>
      </c>
      <c r="L158" t="n">
        <v>0</v>
      </c>
      <c r="M158" t="n">
        <v>0</v>
      </c>
      <c r="N158" t="n">
        <v>0</v>
      </c>
      <c r="O158" t="n">
        <v>0</v>
      </c>
      <c r="P158" t="n">
        <v>0</v>
      </c>
      <c r="Q158" t="n">
        <v>0</v>
      </c>
      <c r="R158" s="2" t="inlineStr"/>
    </row>
    <row r="159" ht="15" customHeight="1">
      <c r="A159" t="inlineStr">
        <is>
          <t>A 52391-2025</t>
        </is>
      </c>
      <c r="B159" s="1" t="n">
        <v>45954.34305555555</v>
      </c>
      <c r="C159" s="1" t="n">
        <v>46048</v>
      </c>
      <c r="D159" t="inlineStr">
        <is>
          <t>VÄSTRA GÖTALANDS LÄN</t>
        </is>
      </c>
      <c r="E159" t="inlineStr">
        <is>
          <t>ALE</t>
        </is>
      </c>
      <c r="G159" t="n">
        <v>10.6</v>
      </c>
      <c r="H159" t="n">
        <v>0</v>
      </c>
      <c r="I159" t="n">
        <v>0</v>
      </c>
      <c r="J159" t="n">
        <v>0</v>
      </c>
      <c r="K159" t="n">
        <v>0</v>
      </c>
      <c r="L159" t="n">
        <v>0</v>
      </c>
      <c r="M159" t="n">
        <v>0</v>
      </c>
      <c r="N159" t="n">
        <v>0</v>
      </c>
      <c r="O159" t="n">
        <v>0</v>
      </c>
      <c r="P159" t="n">
        <v>0</v>
      </c>
      <c r="Q159" t="n">
        <v>0</v>
      </c>
      <c r="R159" s="2" t="inlineStr"/>
    </row>
    <row r="160" ht="15" customHeight="1">
      <c r="A160" t="inlineStr">
        <is>
          <t>A 62828-2025</t>
        </is>
      </c>
      <c r="B160" s="1" t="n">
        <v>46008.66553240741</v>
      </c>
      <c r="C160" s="1" t="n">
        <v>46048</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56905-2025</t>
        </is>
      </c>
      <c r="B161" s="1" t="n">
        <v>45978.57502314815</v>
      </c>
      <c r="C161" s="1" t="n">
        <v>46048</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58414-2025</t>
        </is>
      </c>
      <c r="B162" s="1" t="n">
        <v>45985.57778935185</v>
      </c>
      <c r="C162" s="1" t="n">
        <v>46048</v>
      </c>
      <c r="D162" t="inlineStr">
        <is>
          <t>VÄSTRA GÖTALANDS LÄN</t>
        </is>
      </c>
      <c r="E162" t="inlineStr">
        <is>
          <t>ALE</t>
        </is>
      </c>
      <c r="G162" t="n">
        <v>4.3</v>
      </c>
      <c r="H162" t="n">
        <v>0</v>
      </c>
      <c r="I162" t="n">
        <v>0</v>
      </c>
      <c r="J162" t="n">
        <v>0</v>
      </c>
      <c r="K162" t="n">
        <v>0</v>
      </c>
      <c r="L162" t="n">
        <v>0</v>
      </c>
      <c r="M162" t="n">
        <v>0</v>
      </c>
      <c r="N162" t="n">
        <v>0</v>
      </c>
      <c r="O162" t="n">
        <v>0</v>
      </c>
      <c r="P162" t="n">
        <v>0</v>
      </c>
      <c r="Q162" t="n">
        <v>0</v>
      </c>
      <c r="R162" s="2" t="inlineStr"/>
    </row>
    <row r="163" ht="15" customHeight="1">
      <c r="A163" t="inlineStr">
        <is>
          <t>A 31407-2025</t>
        </is>
      </c>
      <c r="B163" s="1" t="n">
        <v>45833</v>
      </c>
      <c r="C163" s="1" t="n">
        <v>46048</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59409-2025</t>
        </is>
      </c>
      <c r="B164" s="1" t="n">
        <v>45989.49545138889</v>
      </c>
      <c r="C164" s="1" t="n">
        <v>46048</v>
      </c>
      <c r="D164" t="inlineStr">
        <is>
          <t>VÄSTRA GÖTALANDS LÄN</t>
        </is>
      </c>
      <c r="E164" t="inlineStr">
        <is>
          <t>ALE</t>
        </is>
      </c>
      <c r="G164" t="n">
        <v>0.3</v>
      </c>
      <c r="H164" t="n">
        <v>0</v>
      </c>
      <c r="I164" t="n">
        <v>0</v>
      </c>
      <c r="J164" t="n">
        <v>0</v>
      </c>
      <c r="K164" t="n">
        <v>0</v>
      </c>
      <c r="L164" t="n">
        <v>0</v>
      </c>
      <c r="M164" t="n">
        <v>0</v>
      </c>
      <c r="N164" t="n">
        <v>0</v>
      </c>
      <c r="O164" t="n">
        <v>0</v>
      </c>
      <c r="P164" t="n">
        <v>0</v>
      </c>
      <c r="Q164" t="n">
        <v>0</v>
      </c>
      <c r="R164" s="2" t="inlineStr"/>
    </row>
    <row r="165" ht="15" customHeight="1">
      <c r="A165" t="inlineStr">
        <is>
          <t>A 1291-2026</t>
        </is>
      </c>
      <c r="B165" s="1" t="n">
        <v>46031.50569444444</v>
      </c>
      <c r="C165" s="1" t="n">
        <v>46048</v>
      </c>
      <c r="D165" t="inlineStr">
        <is>
          <t>VÄSTRA GÖTALANDS LÄN</t>
        </is>
      </c>
      <c r="E165" t="inlineStr">
        <is>
          <t>ALE</t>
        </is>
      </c>
      <c r="G165" t="n">
        <v>0.9</v>
      </c>
      <c r="H165" t="n">
        <v>0</v>
      </c>
      <c r="I165" t="n">
        <v>0</v>
      </c>
      <c r="J165" t="n">
        <v>0</v>
      </c>
      <c r="K165" t="n">
        <v>0</v>
      </c>
      <c r="L165" t="n">
        <v>0</v>
      </c>
      <c r="M165" t="n">
        <v>0</v>
      </c>
      <c r="N165" t="n">
        <v>0</v>
      </c>
      <c r="O165" t="n">
        <v>0</v>
      </c>
      <c r="P165" t="n">
        <v>0</v>
      </c>
      <c r="Q165" t="n">
        <v>0</v>
      </c>
      <c r="R165" s="2" t="inlineStr"/>
    </row>
    <row r="166" ht="15" customHeight="1">
      <c r="A166" t="inlineStr">
        <is>
          <t>A 2414-2026</t>
        </is>
      </c>
      <c r="B166" s="1" t="n">
        <v>46036.74319444445</v>
      </c>
      <c r="C166" s="1" t="n">
        <v>46048</v>
      </c>
      <c r="D166" t="inlineStr">
        <is>
          <t>VÄSTRA GÖTALANDS LÄN</t>
        </is>
      </c>
      <c r="E166" t="inlineStr">
        <is>
          <t>ALE</t>
        </is>
      </c>
      <c r="G166" t="n">
        <v>3.3</v>
      </c>
      <c r="H166" t="n">
        <v>0</v>
      </c>
      <c r="I166" t="n">
        <v>0</v>
      </c>
      <c r="J166" t="n">
        <v>0</v>
      </c>
      <c r="K166" t="n">
        <v>0</v>
      </c>
      <c r="L166" t="n">
        <v>0</v>
      </c>
      <c r="M166" t="n">
        <v>0</v>
      </c>
      <c r="N166" t="n">
        <v>0</v>
      </c>
      <c r="O166" t="n">
        <v>0</v>
      </c>
      <c r="P166" t="n">
        <v>0</v>
      </c>
      <c r="Q166" t="n">
        <v>0</v>
      </c>
      <c r="R166" s="2" t="inlineStr"/>
    </row>
    <row r="167" ht="15" customHeight="1">
      <c r="A167" t="inlineStr">
        <is>
          <t>A 60287-2025</t>
        </is>
      </c>
      <c r="B167" s="1" t="n">
        <v>45994.64711805555</v>
      </c>
      <c r="C167" s="1" t="n">
        <v>46048</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3261-2026</t>
        </is>
      </c>
      <c r="B168" s="1" t="n">
        <v>46041.5952662037</v>
      </c>
      <c r="C168" s="1" t="n">
        <v>46048</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61771-2025</t>
        </is>
      </c>
      <c r="B169" s="1" t="n">
        <v>46002.6478587963</v>
      </c>
      <c r="C169" s="1" t="n">
        <v>46048</v>
      </c>
      <c r="D169" t="inlineStr">
        <is>
          <t>VÄSTRA GÖTALANDS LÄN</t>
        </is>
      </c>
      <c r="E169" t="inlineStr">
        <is>
          <t>ALE</t>
        </is>
      </c>
      <c r="G169" t="n">
        <v>3.9</v>
      </c>
      <c r="H169" t="n">
        <v>0</v>
      </c>
      <c r="I169" t="n">
        <v>0</v>
      </c>
      <c r="J169" t="n">
        <v>0</v>
      </c>
      <c r="K169" t="n">
        <v>0</v>
      </c>
      <c r="L169" t="n">
        <v>0</v>
      </c>
      <c r="M169" t="n">
        <v>0</v>
      </c>
      <c r="N169" t="n">
        <v>0</v>
      </c>
      <c r="O169" t="n">
        <v>0</v>
      </c>
      <c r="P169" t="n">
        <v>0</v>
      </c>
      <c r="Q169" t="n">
        <v>0</v>
      </c>
      <c r="R169" s="2" t="inlineStr"/>
    </row>
    <row r="170" ht="15" customHeight="1">
      <c r="A170" t="inlineStr">
        <is>
          <t>A 61744-2025</t>
        </is>
      </c>
      <c r="B170" s="1" t="n">
        <v>46002.60298611111</v>
      </c>
      <c r="C170" s="1" t="n">
        <v>46048</v>
      </c>
      <c r="D170" t="inlineStr">
        <is>
          <t>VÄSTRA GÖTALANDS LÄN</t>
        </is>
      </c>
      <c r="E170" t="inlineStr">
        <is>
          <t>ALE</t>
        </is>
      </c>
      <c r="G170" t="n">
        <v>3.1</v>
      </c>
      <c r="H170" t="n">
        <v>0</v>
      </c>
      <c r="I170" t="n">
        <v>0</v>
      </c>
      <c r="J170" t="n">
        <v>0</v>
      </c>
      <c r="K170" t="n">
        <v>0</v>
      </c>
      <c r="L170" t="n">
        <v>0</v>
      </c>
      <c r="M170" t="n">
        <v>0</v>
      </c>
      <c r="N170" t="n">
        <v>0</v>
      </c>
      <c r="O170" t="n">
        <v>0</v>
      </c>
      <c r="P170" t="n">
        <v>0</v>
      </c>
      <c r="Q170" t="n">
        <v>0</v>
      </c>
      <c r="R170" s="2" t="inlineStr"/>
    </row>
    <row r="171">
      <c r="A171" t="inlineStr">
        <is>
          <t>A 61819-2025</t>
        </is>
      </c>
      <c r="B171" s="1" t="n">
        <v>46003.3241087963</v>
      </c>
      <c r="C171" s="1" t="n">
        <v>46048</v>
      </c>
      <c r="D171" t="inlineStr">
        <is>
          <t>VÄSTRA GÖTALANDS LÄN</t>
        </is>
      </c>
      <c r="E171" t="inlineStr">
        <is>
          <t>ALE</t>
        </is>
      </c>
      <c r="G171" t="n">
        <v>5.1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2026-01-26T11:05:23Z</dcterms:created>
  <dcterms:modified xmlns:dcterms="http://purl.org/dc/terms/" xmlns:xsi="http://www.w3.org/2001/XMLSchema-instance" xsi:type="dcterms:W3CDTF">2026-01-26T11:05:23Z</dcterms:modified>
</cp:coreProperties>
</file>