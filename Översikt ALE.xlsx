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46229</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46229</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46229</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46229</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46229</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46229</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46229</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46229</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46229</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46229</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46229</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46229</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46229</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63575-2023</t>
        </is>
      </c>
      <c r="B15" t="inlineStr">
        <is>
          <t>avverkningsanmälan</t>
        </is>
      </c>
      <c r="C15" t="inlineStr">
        <is>
          <t>Föryngringsavverkning</t>
        </is>
      </c>
      <c r="D15" s="1" t="n">
        <v>45275</v>
      </c>
      <c r="E15" s="1" t="n">
        <v>46229</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46229</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46229</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46229</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11516-2026</t>
        </is>
      </c>
      <c r="B19" t="inlineStr">
        <is>
          <t>avverkningsanmälan</t>
        </is>
      </c>
      <c r="C19" t="inlineStr">
        <is>
          <t>Föryngringsavverkning</t>
        </is>
      </c>
      <c r="D19" s="1" t="n">
        <v>46083</v>
      </c>
      <c r="E19" s="1" t="n">
        <v>46229</v>
      </c>
      <c r="F19" t="inlineStr">
        <is>
          <t>VÄSTRA GÖTALANDS LÄN</t>
        </is>
      </c>
      <c r="G19" t="inlineStr">
        <is>
          <t>ALE</t>
        </is>
      </c>
      <c r="I19" t="n">
        <v>1.2</v>
      </c>
      <c r="J19" t="n">
        <v>3</v>
      </c>
      <c r="K19" t="n">
        <v>0</v>
      </c>
      <c r="L19" t="n">
        <v>0</v>
      </c>
      <c r="M19" t="n">
        <v>0</v>
      </c>
      <c r="N19" t="n">
        <v>0</v>
      </c>
      <c r="O19" t="n">
        <v>0</v>
      </c>
      <c r="P19" t="n">
        <v>0</v>
      </c>
      <c r="Q19" t="n">
        <v>0</v>
      </c>
      <c r="R19" t="n">
        <v>0</v>
      </c>
      <c r="S19" t="n">
        <v>4</v>
      </c>
      <c r="T19" t="n">
        <v>6</v>
      </c>
      <c r="U19" t="n">
        <v>6</v>
      </c>
      <c r="V19" s="2" t="inlineStr">
        <is>
          <t>Spillkråka
Tofsmes
Vildkaprifol
Revlummer</t>
        </is>
      </c>
      <c r="W19">
        <f>HYPERLINK("https://klasma.github.io/Logging_1440/artfynd/A 11516-2026 artfynd.xlsx", "A 11516-2026")</f>
        <v/>
      </c>
      <c r="X19">
        <f>HYPERLINK("https://klasma.github.io/Logging_1440/kartor/A 11516-2026 karta.png", "A 11516-2026")</f>
        <v/>
      </c>
      <c r="Y19">
        <f>HYPERLINK("https://klasma.github.io/Logging_1440/kartor_geotiff/A 11516-2026 georefererad karta.tif", "A 11516-2026")</f>
        <v/>
      </c>
      <c r="AA19">
        <f>HYPERLINK("https://klasma.github.io/Logging_1440/klagomål/A 11516-2026 FSC-klagomål.docx", "A 11516-2026")</f>
        <v/>
      </c>
      <c r="AB19">
        <f>HYPERLINK("https://klasma.github.io/Logging_1440/klagomålsmail/A 11516-2026 FSC-klagomål mail.docx", "A 11516-2026")</f>
        <v/>
      </c>
      <c r="AC19">
        <f>HYPERLINK("https://klasma.github.io/Logging_1440/tillsyn/A 11516-2026 tillsynsbegäran.docx", "A 11516-2026")</f>
        <v/>
      </c>
      <c r="AD19">
        <f>HYPERLINK("https://klasma.github.io/Logging_1440/tillsynsmail/A 11516-2026 tillsynsbegäran mail.docx", "A 11516-2026")</f>
        <v/>
      </c>
      <c r="AE19">
        <f>HYPERLINK("https://klasma.github.io/Logging_1440/fåglar/A 11516-2026 prioriterade fågelarter.docx", "A 11516-2026")</f>
        <v/>
      </c>
    </row>
    <row r="20" ht="15" customHeight="1">
      <c r="A20" t="inlineStr">
        <is>
          <t>A 47330-2025</t>
        </is>
      </c>
      <c r="B20" t="inlineStr">
        <is>
          <t>avverkningsanmälan</t>
        </is>
      </c>
      <c r="C20" t="inlineStr">
        <is>
          <t>Föryngringsavverkning</t>
        </is>
      </c>
      <c r="D20" s="1" t="n">
        <v>45930</v>
      </c>
      <c r="E20" s="1" t="n">
        <v>46229</v>
      </c>
      <c r="F20" t="inlineStr">
        <is>
          <t>VÄSTRA GÖTALANDS LÄN</t>
        </is>
      </c>
      <c r="G20" t="inlineStr">
        <is>
          <t>ALE</t>
        </is>
      </c>
      <c r="I20" t="n">
        <v>3.7</v>
      </c>
      <c r="J20" t="n">
        <v>3</v>
      </c>
      <c r="K20" t="n">
        <v>0</v>
      </c>
      <c r="L20" t="n">
        <v>2</v>
      </c>
      <c r="M20" t="n">
        <v>0</v>
      </c>
      <c r="N20" t="n">
        <v>0</v>
      </c>
      <c r="O20" t="n">
        <v>0</v>
      </c>
      <c r="P20" t="n">
        <v>0</v>
      </c>
      <c r="Q20" t="n">
        <v>2</v>
      </c>
      <c r="R20" t="n">
        <v>0</v>
      </c>
      <c r="S20" t="n">
        <v>4</v>
      </c>
      <c r="T20" t="n">
        <v>7</v>
      </c>
      <c r="U20" t="n">
        <v>7</v>
      </c>
      <c r="V20" s="2" t="inlineStr">
        <is>
          <t>Grönsångare
Älg
Spillkråka
Revlummer</t>
        </is>
      </c>
      <c r="W20">
        <f>HYPERLINK("https://klasma.github.io/Logging_1440/artfynd/A 47330-2025 artfynd.xlsx", "A 47330-2025")</f>
        <v/>
      </c>
      <c r="X20">
        <f>HYPERLINK("https://klasma.github.io/Logging_1440/kartor/A 47330-2025 karta.png", "A 47330-2025")</f>
        <v/>
      </c>
      <c r="Y20">
        <f>HYPERLINK("https://klasma.github.io/Logging_1440/kartor_geotiff/A 47330-2025 georefererad karta.tif", "A 47330-2025")</f>
        <v/>
      </c>
      <c r="AA20">
        <f>HYPERLINK("https://klasma.github.io/Logging_1440/klagomål/A 47330-2025 FSC-klagomål.docx", "A 47330-2025")</f>
        <v/>
      </c>
      <c r="AB20">
        <f>HYPERLINK("https://klasma.github.io/Logging_1440/klagomålsmail/A 47330-2025 FSC-klagomål mail.docx", "A 47330-2025")</f>
        <v/>
      </c>
      <c r="AC20">
        <f>HYPERLINK("https://klasma.github.io/Logging_1440/tillsyn/A 47330-2025 tillsynsbegäran.docx", "A 47330-2025")</f>
        <v/>
      </c>
      <c r="AD20">
        <f>HYPERLINK("https://klasma.github.io/Logging_1440/tillsynsmail/A 47330-2025 tillsynsbegäran mail.docx", "A 47330-2025")</f>
        <v/>
      </c>
      <c r="AE20">
        <f>HYPERLINK("https://klasma.github.io/Logging_1440/fåglar/A 47330-2025 prioriterade fågelarter.docx", "A 47330-2025")</f>
        <v/>
      </c>
    </row>
    <row r="21" ht="15" customHeight="1">
      <c r="A21" t="inlineStr">
        <is>
          <t>A 58954-2022</t>
        </is>
      </c>
      <c r="B21" t="inlineStr">
        <is>
          <t>avverkningsanmälan</t>
        </is>
      </c>
      <c r="C21" t="inlineStr">
        <is>
          <t>Föryngringsavverkning</t>
        </is>
      </c>
      <c r="D21" s="1" t="n">
        <v>44903</v>
      </c>
      <c r="E21" s="1" t="n">
        <v>46229</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S 2406-2023</t>
        </is>
      </c>
      <c r="B22" t="inlineStr">
        <is>
          <t>samrådsanmälan</t>
        </is>
      </c>
      <c r="C22" t="inlineStr">
        <is>
          <t>Annan skogsbruksåtgärd</t>
        </is>
      </c>
      <c r="D22" s="1" t="n">
        <v>45123</v>
      </c>
      <c r="E22" s="1" t="n">
        <v>46229</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46229</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46229</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45986-2021</t>
        </is>
      </c>
      <c r="B25" t="inlineStr">
        <is>
          <t>avverkningsanmälan</t>
        </is>
      </c>
      <c r="C25" t="inlineStr">
        <is>
          <t>Föryngringsavverkning</t>
        </is>
      </c>
      <c r="D25" s="1" t="n">
        <v>44441</v>
      </c>
      <c r="E25" s="1" t="n">
        <v>46229</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63569-2023</t>
        </is>
      </c>
      <c r="B26" t="inlineStr">
        <is>
          <t>avverkningsanmälan</t>
        </is>
      </c>
      <c r="C26" t="inlineStr">
        <is>
          <t>Föryngringsavverkning</t>
        </is>
      </c>
      <c r="D26" s="1" t="n">
        <v>45275</v>
      </c>
      <c r="E26" s="1" t="n">
        <v>46229</v>
      </c>
      <c r="F26" t="inlineStr">
        <is>
          <t>VÄSTRA GÖTALANDS LÄN</t>
        </is>
      </c>
      <c r="G26" t="inlineStr">
        <is>
          <t>ALE</t>
        </is>
      </c>
      <c r="I26" t="n">
        <v>2.4</v>
      </c>
      <c r="J26" t="n">
        <v>2</v>
      </c>
      <c r="K26" t="n">
        <v>0</v>
      </c>
      <c r="L26" t="n">
        <v>1</v>
      </c>
      <c r="M26" t="n">
        <v>0</v>
      </c>
      <c r="N26" t="n">
        <v>0</v>
      </c>
      <c r="O26" t="n">
        <v>0</v>
      </c>
      <c r="P26" t="n">
        <v>0</v>
      </c>
      <c r="Q26" t="n">
        <v>1</v>
      </c>
      <c r="R26" t="n">
        <v>0</v>
      </c>
      <c r="S26" t="n">
        <v>2</v>
      </c>
      <c r="T26" t="n">
        <v>4</v>
      </c>
      <c r="U26" t="n">
        <v>4</v>
      </c>
      <c r="V26" s="2" t="inlineStr">
        <is>
          <t>Talltita
Spillkråka</t>
        </is>
      </c>
      <c r="W26">
        <f>HYPERLINK("https://klasma.github.io/Logging_1440/artfynd/A 63569-2023 artfynd.xlsx", "A 63569-2023")</f>
        <v/>
      </c>
      <c r="X26">
        <f>HYPERLINK("https://klasma.github.io/Logging_1440/kartor/A 63569-2023 karta.png", "A 63569-2023")</f>
        <v/>
      </c>
      <c r="Y26">
        <f>HYPERLINK("https://klasma.github.io/Logging_1440/kartor_geotiff/A 63569-2023 georefererad karta.tif", "A 63569-2023")</f>
        <v/>
      </c>
      <c r="AA26">
        <f>HYPERLINK("https://klasma.github.io/Logging_1440/klagomål/A 63569-2023 FSC-klagomål.docx", "A 63569-2023")</f>
        <v/>
      </c>
      <c r="AB26">
        <f>HYPERLINK("https://klasma.github.io/Logging_1440/klagomålsmail/A 63569-2023 FSC-klagomål mail.docx", "A 63569-2023")</f>
        <v/>
      </c>
      <c r="AC26">
        <f>HYPERLINK("https://klasma.github.io/Logging_1440/tillsyn/A 63569-2023 tillsynsbegäran.docx", "A 63569-2023")</f>
        <v/>
      </c>
      <c r="AD26">
        <f>HYPERLINK("https://klasma.github.io/Logging_1440/tillsynsmail/A 63569-2023 tillsynsbegäran mail.docx", "A 63569-2023")</f>
        <v/>
      </c>
      <c r="AE26">
        <f>HYPERLINK("https://klasma.github.io/Logging_1440/fåglar/A 63569-2023 prioriterade fågelarter.docx", "A 63569-2023")</f>
        <v/>
      </c>
    </row>
    <row r="27" ht="15" customHeight="1">
      <c r="A27" t="inlineStr">
        <is>
          <t>A 3413-2023</t>
        </is>
      </c>
      <c r="B27" t="inlineStr">
        <is>
          <t>avverkningsanmälan</t>
        </is>
      </c>
      <c r="C27" t="inlineStr">
        <is>
          <t>Föryngringsavverkning</t>
        </is>
      </c>
      <c r="D27" s="1" t="n">
        <v>44949</v>
      </c>
      <c r="E27" s="1" t="n">
        <v>46229</v>
      </c>
      <c r="F27" t="inlineStr">
        <is>
          <t>VÄSTRA GÖTALANDS LÄN</t>
        </is>
      </c>
      <c r="G27" t="inlineStr">
        <is>
          <t>ALE</t>
        </is>
      </c>
      <c r="I27" t="n">
        <v>2.3</v>
      </c>
      <c r="J27" t="n">
        <v>2</v>
      </c>
      <c r="K27" t="n">
        <v>0</v>
      </c>
      <c r="L27" t="n">
        <v>0</v>
      </c>
      <c r="M27" t="n">
        <v>0</v>
      </c>
      <c r="N27" t="n">
        <v>0</v>
      </c>
      <c r="O27" t="n">
        <v>0</v>
      </c>
      <c r="P27" t="n">
        <v>0</v>
      </c>
      <c r="Q27" t="n">
        <v>0</v>
      </c>
      <c r="R27" t="n">
        <v>0</v>
      </c>
      <c r="S27" t="n">
        <v>2</v>
      </c>
      <c r="T27" t="n">
        <v>3</v>
      </c>
      <c r="U27" t="n">
        <v>3</v>
      </c>
      <c r="V27" s="2" t="inlineStr">
        <is>
          <t>Vanlig padda
Revlummer</t>
        </is>
      </c>
      <c r="W27">
        <f>HYPERLINK("https://klasma.github.io/Logging_1440/artfynd/A 3413-2023 artfynd.xlsx", "A 3413-2023")</f>
        <v/>
      </c>
      <c r="X27">
        <f>HYPERLINK("https://klasma.github.io/Logging_1440/kartor/A 3413-2023 karta.png", "A 3413-2023")</f>
        <v/>
      </c>
      <c r="Y27">
        <f>HYPERLINK("https://klasma.github.io/Logging_1440/kartor_geotiff/A 3413-2023 georefererad karta.tif", "A 3413-2023")</f>
        <v/>
      </c>
      <c r="AA27">
        <f>HYPERLINK("https://klasma.github.io/Logging_1440/klagomål/A 3413-2023 FSC-klagomål.docx", "A 3413-2023")</f>
        <v/>
      </c>
      <c r="AB27">
        <f>HYPERLINK("https://klasma.github.io/Logging_1440/klagomålsmail/A 3413-2023 FSC-klagomål mail.docx", "A 3413-2023")</f>
        <v/>
      </c>
      <c r="AC27">
        <f>HYPERLINK("https://klasma.github.io/Logging_1440/tillsyn/A 3413-2023 tillsynsbegäran.docx", "A 3413-2023")</f>
        <v/>
      </c>
      <c r="AD27">
        <f>HYPERLINK("https://klasma.github.io/Logging_1440/tillsynsmail/A 3413-2023 tillsynsbegäran mail.docx", "A 3413-2023")</f>
        <v/>
      </c>
    </row>
    <row r="28" ht="15" customHeight="1">
      <c r="A28" t="inlineStr">
        <is>
          <t>A 13306-2026</t>
        </is>
      </c>
      <c r="B28" t="inlineStr">
        <is>
          <t>avverkningsanmälan</t>
        </is>
      </c>
      <c r="C28" t="inlineStr">
        <is>
          <t>Föryngringsavverkning</t>
        </is>
      </c>
      <c r="D28" s="1" t="n">
        <v>46094</v>
      </c>
      <c r="E28" s="1" t="n">
        <v>46229</v>
      </c>
      <c r="F28" t="inlineStr">
        <is>
          <t>VÄSTRA GÖTALANDS LÄN</t>
        </is>
      </c>
      <c r="G28" t="inlineStr">
        <is>
          <t>ALE</t>
        </is>
      </c>
      <c r="I28" t="n">
        <v>9.699999999999999</v>
      </c>
      <c r="J28" t="n">
        <v>2</v>
      </c>
      <c r="K28" t="n">
        <v>0</v>
      </c>
      <c r="L28" t="n">
        <v>0</v>
      </c>
      <c r="M28" t="n">
        <v>0</v>
      </c>
      <c r="N28" t="n">
        <v>0</v>
      </c>
      <c r="O28" t="n">
        <v>0</v>
      </c>
      <c r="P28" t="n">
        <v>0</v>
      </c>
      <c r="Q28" t="n">
        <v>0</v>
      </c>
      <c r="R28" t="n">
        <v>0</v>
      </c>
      <c r="S28" t="n">
        <v>2</v>
      </c>
      <c r="T28" t="n">
        <v>2</v>
      </c>
      <c r="U28" t="n">
        <v>0</v>
      </c>
      <c r="V28" s="2" t="inlineStr">
        <is>
          <t>Större vattensalamander
Åkergroda</t>
        </is>
      </c>
      <c r="W28">
        <f>HYPERLINK("https://klasma.github.io/Logging_1440/artfynd/A 13306-2026 artfynd.xlsx", "A 13306-2026")</f>
        <v/>
      </c>
      <c r="X28">
        <f>HYPERLINK("https://klasma.github.io/Logging_1440/kartor/A 13306-2026 karta.png", "A 13306-2026")</f>
        <v/>
      </c>
      <c r="Y28">
        <f>HYPERLINK("https://klasma.github.io/Logging_1440/kartor_geotiff/A 13306-2026 georefererad karta.tif", "A 13306-2026")</f>
        <v/>
      </c>
      <c r="AA28">
        <f>HYPERLINK("https://klasma.github.io/Logging_1440/klagomål/A 13306-2026 FSC-klagomål.docx", "A 13306-2026")</f>
        <v/>
      </c>
      <c r="AB28">
        <f>HYPERLINK("https://klasma.github.io/Logging_1440/klagomålsmail/A 13306-2026 FSC-klagomål mail.docx", "A 13306-2026")</f>
        <v/>
      </c>
      <c r="AC28">
        <f>HYPERLINK("https://klasma.github.io/Logging_1440/tillsyn/A 13306-2026 tillsynsbegäran.docx", "A 13306-2026")</f>
        <v/>
      </c>
      <c r="AD28">
        <f>HYPERLINK("https://klasma.github.io/Logging_1440/tillsynsmail/A 13306-2026 tillsynsbegäran mail.docx", "A 13306-2026")</f>
        <v/>
      </c>
    </row>
    <row r="29" ht="15" customHeight="1">
      <c r="A29" t="inlineStr">
        <is>
          <t>A 12982-2024</t>
        </is>
      </c>
      <c r="B29" t="inlineStr">
        <is>
          <t>avverkningsanmälan</t>
        </is>
      </c>
      <c r="C29" t="inlineStr">
        <is>
          <t>Föryngringsavverkning</t>
        </is>
      </c>
      <c r="D29" s="1" t="n">
        <v>45385</v>
      </c>
      <c r="E29" s="1" t="n">
        <v>46229</v>
      </c>
      <c r="F29" t="inlineStr">
        <is>
          <t>VÄSTRA GÖTALANDS LÄN</t>
        </is>
      </c>
      <c r="G29" t="inlineStr">
        <is>
          <t>ALE</t>
        </is>
      </c>
      <c r="I29" t="n">
        <v>3.3</v>
      </c>
      <c r="J29" t="n">
        <v>2</v>
      </c>
      <c r="K29" t="n">
        <v>0</v>
      </c>
      <c r="L29" t="n">
        <v>0</v>
      </c>
      <c r="M29" t="n">
        <v>0</v>
      </c>
      <c r="N29" t="n">
        <v>0</v>
      </c>
      <c r="O29" t="n">
        <v>0</v>
      </c>
      <c r="P29" t="n">
        <v>0</v>
      </c>
      <c r="Q29" t="n">
        <v>0</v>
      </c>
      <c r="R29" t="n">
        <v>0</v>
      </c>
      <c r="S29" t="n">
        <v>2</v>
      </c>
      <c r="T29" t="n">
        <v>2</v>
      </c>
      <c r="U29" t="n">
        <v>1</v>
      </c>
      <c r="V29" s="2" t="inlineStr">
        <is>
          <t>Orre
Revlummer</t>
        </is>
      </c>
      <c r="W29">
        <f>HYPERLINK("https://klasma.github.io/Logging_1440/artfynd/A 12982-2024 artfynd.xlsx", "A 12982-2024")</f>
        <v/>
      </c>
      <c r="X29">
        <f>HYPERLINK("https://klasma.github.io/Logging_1440/kartor/A 12982-2024 karta.png", "A 12982-2024")</f>
        <v/>
      </c>
      <c r="Y29">
        <f>HYPERLINK("https://klasma.github.io/Logging_1440/kartor_geotiff/A 12982-2024 georefererad karta.tif", "A 12982-2024")</f>
        <v/>
      </c>
      <c r="AA29">
        <f>HYPERLINK("https://klasma.github.io/Logging_1440/klagomål/A 12982-2024 FSC-klagomål.docx", "A 12982-2024")</f>
        <v/>
      </c>
      <c r="AB29">
        <f>HYPERLINK("https://klasma.github.io/Logging_1440/klagomålsmail/A 12982-2024 FSC-klagomål mail.docx", "A 12982-2024")</f>
        <v/>
      </c>
      <c r="AC29">
        <f>HYPERLINK("https://klasma.github.io/Logging_1440/tillsyn/A 12982-2024 tillsynsbegäran.docx", "A 12982-2024")</f>
        <v/>
      </c>
      <c r="AD29">
        <f>HYPERLINK("https://klasma.github.io/Logging_1440/tillsynsmail/A 12982-2024 tillsynsbegäran mail.docx", "A 12982-2024")</f>
        <v/>
      </c>
      <c r="AE29">
        <f>HYPERLINK("https://klasma.github.io/Logging_1440/fåglar/A 12982-2024 prioriterade fågelarter.docx", "A 12982-2024")</f>
        <v/>
      </c>
    </row>
    <row r="30" ht="15" customHeight="1">
      <c r="A30" t="inlineStr">
        <is>
          <t>A 1503-2024</t>
        </is>
      </c>
      <c r="B30" t="inlineStr">
        <is>
          <t>avverkningsanmälan</t>
        </is>
      </c>
      <c r="C30" t="inlineStr">
        <is>
          <t>Föryngringsavverkning</t>
        </is>
      </c>
      <c r="D30" s="1" t="n">
        <v>45306</v>
      </c>
      <c r="E30" s="1" t="n">
        <v>46229</v>
      </c>
      <c r="F30" t="inlineStr">
        <is>
          <t>VÄSTRA GÖTALANDS LÄN</t>
        </is>
      </c>
      <c r="G30" t="inlineStr">
        <is>
          <t>ALE</t>
        </is>
      </c>
      <c r="I30" t="n">
        <v>6.6</v>
      </c>
      <c r="J30" t="n">
        <v>2</v>
      </c>
      <c r="K30" t="n">
        <v>0</v>
      </c>
      <c r="L30" t="n">
        <v>0</v>
      </c>
      <c r="M30" t="n">
        <v>0</v>
      </c>
      <c r="N30" t="n">
        <v>0</v>
      </c>
      <c r="O30" t="n">
        <v>0</v>
      </c>
      <c r="P30" t="n">
        <v>0</v>
      </c>
      <c r="Q30" t="n">
        <v>0</v>
      </c>
      <c r="R30" t="n">
        <v>0</v>
      </c>
      <c r="S30" t="n">
        <v>2</v>
      </c>
      <c r="T30" t="n">
        <v>4</v>
      </c>
      <c r="U30" t="n">
        <v>4</v>
      </c>
      <c r="V30" s="2" t="inlineStr">
        <is>
          <t>Spillkråka
Revlummer</t>
        </is>
      </c>
      <c r="W30">
        <f>HYPERLINK("https://klasma.github.io/Logging_1440/artfynd/A 1503-2024 artfynd.xlsx", "A 1503-2024")</f>
        <v/>
      </c>
      <c r="X30">
        <f>HYPERLINK("https://klasma.github.io/Logging_1440/kartor/A 1503-2024 karta.png", "A 1503-2024")</f>
        <v/>
      </c>
      <c r="Y30">
        <f>HYPERLINK("https://klasma.github.io/Logging_1440/kartor_geotiff/A 1503-2024 georefererad karta.tif", "A 1503-2024")</f>
        <v/>
      </c>
      <c r="AA30">
        <f>HYPERLINK("https://klasma.github.io/Logging_1440/klagomål/A 1503-2024 FSC-klagomål.docx", "A 1503-2024")</f>
        <v/>
      </c>
      <c r="AB30">
        <f>HYPERLINK("https://klasma.github.io/Logging_1440/klagomålsmail/A 1503-2024 FSC-klagomål mail.docx", "A 1503-2024")</f>
        <v/>
      </c>
      <c r="AC30">
        <f>HYPERLINK("https://klasma.github.io/Logging_1440/tillsyn/A 1503-2024 tillsynsbegäran.docx", "A 1503-2024")</f>
        <v/>
      </c>
      <c r="AD30">
        <f>HYPERLINK("https://klasma.github.io/Logging_1440/tillsynsmail/A 1503-2024 tillsynsbegäran mail.docx", "A 1503-2024")</f>
        <v/>
      </c>
      <c r="AE30">
        <f>HYPERLINK("https://klasma.github.io/Logging_1440/fåglar/A 1503-2024 prioriterade fågelarter.docx", "A 1503-2024")</f>
        <v/>
      </c>
    </row>
    <row r="31" ht="15" customHeight="1">
      <c r="A31" t="inlineStr">
        <is>
          <t>A 2270-2025</t>
        </is>
      </c>
      <c r="B31" t="inlineStr">
        <is>
          <t>avverkningsanmälan</t>
        </is>
      </c>
      <c r="C31" t="inlineStr">
        <is>
          <t>Föryngringsavverkning</t>
        </is>
      </c>
      <c r="D31" s="1" t="n">
        <v>45673</v>
      </c>
      <c r="E31" s="1" t="n">
        <v>46229</v>
      </c>
      <c r="F31" t="inlineStr">
        <is>
          <t>VÄSTRA GÖTALANDS LÄN</t>
        </is>
      </c>
      <c r="G31" t="inlineStr">
        <is>
          <t>ALE</t>
        </is>
      </c>
      <c r="I31" t="n">
        <v>4.1</v>
      </c>
      <c r="J31" t="n">
        <v>2</v>
      </c>
      <c r="K31" t="n">
        <v>0</v>
      </c>
      <c r="L31" t="n">
        <v>0</v>
      </c>
      <c r="M31" t="n">
        <v>0</v>
      </c>
      <c r="N31" t="n">
        <v>0</v>
      </c>
      <c r="O31" t="n">
        <v>0</v>
      </c>
      <c r="P31" t="n">
        <v>0</v>
      </c>
      <c r="Q31" t="n">
        <v>0</v>
      </c>
      <c r="R31" t="n">
        <v>0</v>
      </c>
      <c r="S31" t="n">
        <v>2</v>
      </c>
      <c r="T31" t="n">
        <v>2</v>
      </c>
      <c r="U31" t="n">
        <v>2</v>
      </c>
      <c r="V31" s="2" t="inlineStr">
        <is>
          <t>Spillkråka
Revlummer</t>
        </is>
      </c>
      <c r="W31">
        <f>HYPERLINK("https://klasma.github.io/Logging_1440/artfynd/A 2270-2025 artfynd.xlsx", "A 2270-2025")</f>
        <v/>
      </c>
      <c r="X31">
        <f>HYPERLINK("https://klasma.github.io/Logging_1440/kartor/A 2270-2025 karta.png", "A 2270-2025")</f>
        <v/>
      </c>
      <c r="Y31">
        <f>HYPERLINK("https://klasma.github.io/Logging_1440/kartor_geotiff/A 2270-2025 georefererad karta.tif", "A 2270-2025")</f>
        <v/>
      </c>
      <c r="AA31">
        <f>HYPERLINK("https://klasma.github.io/Logging_1440/klagomål/A 2270-2025 FSC-klagomål.docx", "A 2270-2025")</f>
        <v/>
      </c>
      <c r="AB31">
        <f>HYPERLINK("https://klasma.github.io/Logging_1440/klagomålsmail/A 2270-2025 FSC-klagomål mail.docx", "A 2270-2025")</f>
        <v/>
      </c>
      <c r="AC31">
        <f>HYPERLINK("https://klasma.github.io/Logging_1440/tillsyn/A 2270-2025 tillsynsbegäran.docx", "A 2270-2025")</f>
        <v/>
      </c>
      <c r="AD31">
        <f>HYPERLINK("https://klasma.github.io/Logging_1440/tillsynsmail/A 2270-2025 tillsynsbegäran mail.docx", "A 2270-2025")</f>
        <v/>
      </c>
      <c r="AE31">
        <f>HYPERLINK("https://klasma.github.io/Logging_1440/fåglar/A 2270-2025 prioriterade fågelarter.docx", "A 2270-2025")</f>
        <v/>
      </c>
    </row>
    <row r="32" ht="15" customHeight="1">
      <c r="A32" t="inlineStr">
        <is>
          <t>A 13380-2025</t>
        </is>
      </c>
      <c r="B32" t="inlineStr">
        <is>
          <t>avverkningsanmälan</t>
        </is>
      </c>
      <c r="C32" t="inlineStr">
        <is>
          <t>Föryngringsavverkning</t>
        </is>
      </c>
      <c r="D32" s="1" t="n">
        <v>45735</v>
      </c>
      <c r="E32" s="1" t="n">
        <v>46229</v>
      </c>
      <c r="F32" t="inlineStr">
        <is>
          <t>VÄSTRA GÖTALANDS LÄN</t>
        </is>
      </c>
      <c r="G32" t="inlineStr">
        <is>
          <t>ALE</t>
        </is>
      </c>
      <c r="I32" t="n">
        <v>1.8</v>
      </c>
      <c r="J32" t="n">
        <v>2</v>
      </c>
      <c r="K32" t="n">
        <v>0</v>
      </c>
      <c r="L32" t="n">
        <v>1</v>
      </c>
      <c r="M32" t="n">
        <v>0</v>
      </c>
      <c r="N32" t="n">
        <v>0</v>
      </c>
      <c r="O32" t="n">
        <v>0</v>
      </c>
      <c r="P32" t="n">
        <v>0</v>
      </c>
      <c r="Q32" t="n">
        <v>1</v>
      </c>
      <c r="R32" t="n">
        <v>0</v>
      </c>
      <c r="S32" t="n">
        <v>2</v>
      </c>
      <c r="T32" t="n">
        <v>5</v>
      </c>
      <c r="U32" t="n">
        <v>5</v>
      </c>
      <c r="V32" s="2" t="inlineStr">
        <is>
          <t>Entita
Spillkråka</t>
        </is>
      </c>
      <c r="W32">
        <f>HYPERLINK("https://klasma.github.io/Logging_1440/artfynd/A 13380-2025 artfynd.xlsx", "A 13380-2025")</f>
        <v/>
      </c>
      <c r="X32">
        <f>HYPERLINK("https://klasma.github.io/Logging_1440/kartor/A 13380-2025 karta.png", "A 13380-2025")</f>
        <v/>
      </c>
      <c r="Y32">
        <f>HYPERLINK("https://klasma.github.io/Logging_1440/kartor_geotiff/A 13380-2025 georefererad karta.tif", "A 13380-2025")</f>
        <v/>
      </c>
      <c r="AA32">
        <f>HYPERLINK("https://klasma.github.io/Logging_1440/klagomål/A 13380-2025 FSC-klagomål.docx", "A 13380-2025")</f>
        <v/>
      </c>
      <c r="AB32">
        <f>HYPERLINK("https://klasma.github.io/Logging_1440/klagomålsmail/A 13380-2025 FSC-klagomål mail.docx", "A 13380-2025")</f>
        <v/>
      </c>
      <c r="AC32">
        <f>HYPERLINK("https://klasma.github.io/Logging_1440/tillsyn/A 13380-2025 tillsynsbegäran.docx", "A 13380-2025")</f>
        <v/>
      </c>
      <c r="AD32">
        <f>HYPERLINK("https://klasma.github.io/Logging_1440/tillsynsmail/A 13380-2025 tillsynsbegäran mail.docx", "A 13380-2025")</f>
        <v/>
      </c>
      <c r="AE32">
        <f>HYPERLINK("https://klasma.github.io/Logging_1440/fåglar/A 13380-2025 prioriterade fågelarter.docx", "A 13380-2025")</f>
        <v/>
      </c>
    </row>
    <row r="33" ht="15" customHeight="1">
      <c r="A33" t="inlineStr">
        <is>
          <t>A 16534-2025</t>
        </is>
      </c>
      <c r="B33" t="inlineStr">
        <is>
          <t>avverkningsanmälan</t>
        </is>
      </c>
      <c r="C33" t="inlineStr">
        <is>
          <t>Föryngringsavverkning</t>
        </is>
      </c>
      <c r="D33" s="1" t="n">
        <v>45751</v>
      </c>
      <c r="E33" s="1" t="n">
        <v>46229</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0</v>
      </c>
      <c r="V33" s="2" t="inlineStr">
        <is>
          <t>Entita
Västlig hakmossa</t>
        </is>
      </c>
      <c r="W33">
        <f>HYPERLINK("https://klasma.github.io/Logging_1440/artfynd/A 16534-2025 artfynd.xlsx", "A 16534-2025")</f>
        <v/>
      </c>
      <c r="X33">
        <f>HYPERLINK("https://klasma.github.io/Logging_1440/kartor/A 16534-2025 karta.png", "A 16534-2025")</f>
        <v/>
      </c>
      <c r="Y33">
        <f>HYPERLINK("https://klasma.github.io/Logging_1440/kartor_geotiff/A 16534-2025 georefererad karta.tif", "A 16534-2025")</f>
        <v/>
      </c>
      <c r="AA33">
        <f>HYPERLINK("https://klasma.github.io/Logging_1440/klagomål/A 16534-2025 FSC-klagomål.docx", "A 16534-2025")</f>
        <v/>
      </c>
      <c r="AB33">
        <f>HYPERLINK("https://klasma.github.io/Logging_1440/klagomålsmail/A 16534-2025 FSC-klagomål mail.docx", "A 16534-2025")</f>
        <v/>
      </c>
      <c r="AC33">
        <f>HYPERLINK("https://klasma.github.io/Logging_1440/tillsyn/A 16534-2025 tillsynsbegäran.docx", "A 16534-2025")</f>
        <v/>
      </c>
      <c r="AD33">
        <f>HYPERLINK("https://klasma.github.io/Logging_1440/tillsynsmail/A 16534-2025 tillsynsbegäran mail.docx", "A 16534-2025")</f>
        <v/>
      </c>
      <c r="AE33">
        <f>HYPERLINK("https://klasma.github.io/Logging_1440/fåglar/A 16534-2025 prioriterade fågelarter.docx", "A 16534-2025")</f>
        <v/>
      </c>
    </row>
    <row r="34" ht="15" customHeight="1">
      <c r="A34" t="inlineStr">
        <is>
          <t>A 20586-2023</t>
        </is>
      </c>
      <c r="B34" t="inlineStr">
        <is>
          <t>avverkningsanmälan</t>
        </is>
      </c>
      <c r="C34" t="inlineStr">
        <is>
          <t>Föryngringsavverkning</t>
        </is>
      </c>
      <c r="D34" s="1" t="n">
        <v>45057</v>
      </c>
      <c r="E34" s="1" t="n">
        <v>46229</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3</v>
      </c>
      <c r="V34" s="2" t="inlineStr">
        <is>
          <t>Entita
Västlig hakmossa</t>
        </is>
      </c>
      <c r="W34">
        <f>HYPERLINK("https://klasma.github.io/Logging_1440/artfynd/A 20586-2023 artfynd.xlsx", "A 20586-2023")</f>
        <v/>
      </c>
      <c r="X34">
        <f>HYPERLINK("https://klasma.github.io/Logging_1440/kartor/A 20586-2023 karta.png", "A 20586-2023")</f>
        <v/>
      </c>
      <c r="Y34">
        <f>HYPERLINK("https://klasma.github.io/Logging_1440/kartor_geotiff/A 20586-2023 georefererad karta.tif", "A 20586-2023")</f>
        <v/>
      </c>
      <c r="AA34">
        <f>HYPERLINK("https://klasma.github.io/Logging_1440/klagomål/A 20586-2023 FSC-klagomål.docx", "A 20586-2023")</f>
        <v/>
      </c>
      <c r="AB34">
        <f>HYPERLINK("https://klasma.github.io/Logging_1440/klagomålsmail/A 20586-2023 FSC-klagomål mail.docx", "A 20586-2023")</f>
        <v/>
      </c>
      <c r="AC34">
        <f>HYPERLINK("https://klasma.github.io/Logging_1440/tillsyn/A 20586-2023 tillsynsbegäran.docx", "A 20586-2023")</f>
        <v/>
      </c>
      <c r="AD34">
        <f>HYPERLINK("https://klasma.github.io/Logging_1440/tillsynsmail/A 20586-2023 tillsynsbegäran mail.docx", "A 20586-2023")</f>
        <v/>
      </c>
      <c r="AE34">
        <f>HYPERLINK("https://klasma.github.io/Logging_1440/fåglar/A 20586-2023 prioriterade fågelarter.docx", "A 20586-2023")</f>
        <v/>
      </c>
    </row>
    <row r="35" ht="15" customHeight="1">
      <c r="A35" t="inlineStr">
        <is>
          <t>A 380-2025</t>
        </is>
      </c>
      <c r="B35" t="inlineStr">
        <is>
          <t>avverkningsanmälan</t>
        </is>
      </c>
      <c r="C35" t="inlineStr">
        <is>
          <t>Föryngringsavverkning</t>
        </is>
      </c>
      <c r="D35" s="1" t="n">
        <v>45662</v>
      </c>
      <c r="E35" s="1" t="n">
        <v>46229</v>
      </c>
      <c r="F35" t="inlineStr">
        <is>
          <t>VÄSTRA GÖTALANDS LÄN</t>
        </is>
      </c>
      <c r="G35" t="inlineStr">
        <is>
          <t>ALE</t>
        </is>
      </c>
      <c r="I35" t="n">
        <v>8.6</v>
      </c>
      <c r="J35" t="n">
        <v>1</v>
      </c>
      <c r="K35" t="n">
        <v>1</v>
      </c>
      <c r="L35" t="n">
        <v>0</v>
      </c>
      <c r="M35" t="n">
        <v>0</v>
      </c>
      <c r="N35" t="n">
        <v>0</v>
      </c>
      <c r="O35" t="n">
        <v>0</v>
      </c>
      <c r="P35" t="n">
        <v>0</v>
      </c>
      <c r="Q35" t="n">
        <v>0</v>
      </c>
      <c r="R35" t="n">
        <v>0</v>
      </c>
      <c r="S35" t="n">
        <v>2</v>
      </c>
      <c r="T35" t="n">
        <v>2</v>
      </c>
      <c r="U35" t="n">
        <v>2</v>
      </c>
      <c r="V35" s="2" t="inlineStr">
        <is>
          <t>Blåmossa
Spillkråka</t>
        </is>
      </c>
      <c r="W35">
        <f>HYPERLINK("https://klasma.github.io/Logging_1440/artfynd/A 380-2025 artfynd.xlsx", "A 380-2025")</f>
        <v/>
      </c>
      <c r="X35">
        <f>HYPERLINK("https://klasma.github.io/Logging_1440/kartor/A 380-2025 karta.png", "A 380-2025")</f>
        <v/>
      </c>
      <c r="Y35">
        <f>HYPERLINK("https://klasma.github.io/Logging_1440/kartor_geotiff/A 380-2025 georefererad karta.tif", "A 380-2025")</f>
        <v/>
      </c>
      <c r="AA35">
        <f>HYPERLINK("https://klasma.github.io/Logging_1440/klagomål/A 380-2025 FSC-klagomål.docx", "A 380-2025")</f>
        <v/>
      </c>
      <c r="AB35">
        <f>HYPERLINK("https://klasma.github.io/Logging_1440/klagomålsmail/A 380-2025 FSC-klagomål mail.docx", "A 380-2025")</f>
        <v/>
      </c>
      <c r="AC35">
        <f>HYPERLINK("https://klasma.github.io/Logging_1440/tillsyn/A 380-2025 tillsynsbegäran.docx", "A 380-2025")</f>
        <v/>
      </c>
      <c r="AD35">
        <f>HYPERLINK("https://klasma.github.io/Logging_1440/tillsynsmail/A 380-2025 tillsynsbegäran mail.docx", "A 380-2025")</f>
        <v/>
      </c>
      <c r="AE35">
        <f>HYPERLINK("https://klasma.github.io/Logging_1440/fåglar/A 380-2025 prioriterade fågelarter.docx", "A 380-2025")</f>
        <v/>
      </c>
    </row>
    <row r="36" ht="15" customHeight="1">
      <c r="A36" t="inlineStr">
        <is>
          <t>S 4485-2024</t>
        </is>
      </c>
      <c r="B36" t="inlineStr">
        <is>
          <t>samrådsanmälan</t>
        </is>
      </c>
      <c r="C36" t="inlineStr">
        <is>
          <t>Annan skogsbruksåtgärd</t>
        </is>
      </c>
      <c r="D36" s="1" t="n">
        <v>45595</v>
      </c>
      <c r="E36" s="1" t="n">
        <v>46229</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46229</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52423-2025</t>
        </is>
      </c>
      <c r="B38" t="inlineStr">
        <is>
          <t>avverkningsanmälan</t>
        </is>
      </c>
      <c r="C38" t="inlineStr">
        <is>
          <t>Föryngringsavverkning</t>
        </is>
      </c>
      <c r="D38" s="1" t="n">
        <v>45954</v>
      </c>
      <c r="E38" s="1" t="n">
        <v>46229</v>
      </c>
      <c r="F38" t="inlineStr">
        <is>
          <t>VÄSTRA GÖTALANDS LÄN</t>
        </is>
      </c>
      <c r="G38" t="inlineStr">
        <is>
          <t>ALE</t>
        </is>
      </c>
      <c r="I38" t="n">
        <v>4.1</v>
      </c>
      <c r="J38" t="n">
        <v>1</v>
      </c>
      <c r="K38" t="n">
        <v>0</v>
      </c>
      <c r="L38" t="n">
        <v>0</v>
      </c>
      <c r="M38" t="n">
        <v>0</v>
      </c>
      <c r="N38" t="n">
        <v>0</v>
      </c>
      <c r="O38" t="n">
        <v>0</v>
      </c>
      <c r="P38" t="n">
        <v>0</v>
      </c>
      <c r="Q38" t="n">
        <v>0</v>
      </c>
      <c r="R38" t="n">
        <v>0</v>
      </c>
      <c r="S38" t="n">
        <v>1</v>
      </c>
      <c r="T38" t="n">
        <v>1</v>
      </c>
      <c r="U38" t="n">
        <v>0</v>
      </c>
      <c r="V38" s="2" t="inlineStr">
        <is>
          <t>Trana</t>
        </is>
      </c>
      <c r="W38">
        <f>HYPERLINK("https://klasma.github.io/Logging_1440/artfynd/A 52423-2025 artfynd.xlsx", "A 52423-2025")</f>
        <v/>
      </c>
      <c r="X38">
        <f>HYPERLINK("https://klasma.github.io/Logging_1440/kartor/A 52423-2025 karta.png", "A 52423-2025")</f>
        <v/>
      </c>
      <c r="Y38">
        <f>HYPERLINK("https://klasma.github.io/Logging_1440/kartor_geotiff/A 52423-2025 georefererad karta.tif", "A 52423-2025")</f>
        <v/>
      </c>
      <c r="AA38">
        <f>HYPERLINK("https://klasma.github.io/Logging_1440/klagomål/A 52423-2025 FSC-klagomål.docx", "A 52423-2025")</f>
        <v/>
      </c>
      <c r="AB38">
        <f>HYPERLINK("https://klasma.github.io/Logging_1440/klagomålsmail/A 52423-2025 FSC-klagomål mail.docx", "A 52423-2025")</f>
        <v/>
      </c>
      <c r="AC38">
        <f>HYPERLINK("https://klasma.github.io/Logging_1440/tillsyn/A 52423-2025 tillsynsbegäran.docx", "A 52423-2025")</f>
        <v/>
      </c>
      <c r="AD38">
        <f>HYPERLINK("https://klasma.github.io/Logging_1440/tillsynsmail/A 52423-2025 tillsynsbegäran mail.docx", "A 52423-2025")</f>
        <v/>
      </c>
      <c r="AE38">
        <f>HYPERLINK("https://klasma.github.io/Logging_1440/fåglar/A 52423-2025 prioriterade fågelarter.docx", "A 52423-2025")</f>
        <v/>
      </c>
    </row>
    <row r="39" ht="15" customHeight="1">
      <c r="A39" t="inlineStr">
        <is>
          <t>A 200-2022</t>
        </is>
      </c>
      <c r="B39" t="inlineStr">
        <is>
          <t>avverkningsanmälan</t>
        </is>
      </c>
      <c r="C39" t="inlineStr">
        <is>
          <t>Föryngringsavverkning</t>
        </is>
      </c>
      <c r="D39" s="1" t="n">
        <v>44564</v>
      </c>
      <c r="E39" s="1" t="n">
        <v>46229</v>
      </c>
      <c r="F39" t="inlineStr">
        <is>
          <t>VÄSTRA GÖTALANDS LÄN</t>
        </is>
      </c>
      <c r="G39" t="inlineStr">
        <is>
          <t>ALE</t>
        </is>
      </c>
      <c r="I39" t="n">
        <v>6.8</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200-2022 artfynd.xlsx", "A 200-2022")</f>
        <v/>
      </c>
      <c r="X39">
        <f>HYPERLINK("https://klasma.github.io/Logging_1440/kartor/A 200-2022 karta.png", "A 200-2022")</f>
        <v/>
      </c>
      <c r="Y39">
        <f>HYPERLINK("https://klasma.github.io/Logging_1440/kartor_geotiff/A 200-2022 georefererad karta.tif", "A 200-2022")</f>
        <v/>
      </c>
      <c r="AA39">
        <f>HYPERLINK("https://klasma.github.io/Logging_1440/klagomål/A 200-2022 FSC-klagomål.docx", "A 200-2022")</f>
        <v/>
      </c>
      <c r="AB39">
        <f>HYPERLINK("https://klasma.github.io/Logging_1440/klagomålsmail/A 200-2022 FSC-klagomål mail.docx", "A 200-2022")</f>
        <v/>
      </c>
      <c r="AC39">
        <f>HYPERLINK("https://klasma.github.io/Logging_1440/tillsyn/A 200-2022 tillsynsbegäran.docx", "A 200-2022")</f>
        <v/>
      </c>
      <c r="AD39">
        <f>HYPERLINK("https://klasma.github.io/Logging_1440/tillsynsmail/A 200-2022 tillsynsbegäran mail.docx", "A 200-2022")</f>
        <v/>
      </c>
      <c r="AE39">
        <f>HYPERLINK("https://klasma.github.io/Logging_1440/fåglar/A 200-2022 prioriterade fågelarter.docx", "A 200-2022")</f>
        <v/>
      </c>
    </row>
    <row r="40" ht="15" customHeight="1">
      <c r="A40" t="inlineStr">
        <is>
          <t>A 62524-2025</t>
        </is>
      </c>
      <c r="B40" t="inlineStr">
        <is>
          <t>avverkningsanmälan</t>
        </is>
      </c>
      <c r="C40" t="inlineStr">
        <is>
          <t>Föryngringsavverkning</t>
        </is>
      </c>
      <c r="D40" s="1" t="n">
        <v>46007</v>
      </c>
      <c r="E40" s="1" t="n">
        <v>46229</v>
      </c>
      <c r="F40" t="inlineStr">
        <is>
          <t>VÄSTRA GÖTALANDS LÄN</t>
        </is>
      </c>
      <c r="G40" t="inlineStr">
        <is>
          <t>ALE</t>
        </is>
      </c>
      <c r="I40" t="n">
        <v>8</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HYPERLINK("https://klasma.github.io/Logging_1440/artfynd/A 62524-2025 artfynd.xlsx", "A 62524-2025")</f>
        <v/>
      </c>
      <c r="X40">
        <f>HYPERLINK("https://klasma.github.io/Logging_1440/kartor/A 62524-2025 karta.png", "A 62524-2025")</f>
        <v/>
      </c>
      <c r="Y40">
        <f>HYPERLINK("https://klasma.github.io/Logging_1440/kartor_geotiff/A 62524-2025 georefererad karta.tif", "A 62524-2025")</f>
        <v/>
      </c>
      <c r="AA40">
        <f>HYPERLINK("https://klasma.github.io/Logging_1440/klagomål/A 62524-2025 FSC-klagomål.docx", "A 62524-2025")</f>
        <v/>
      </c>
      <c r="AB40">
        <f>HYPERLINK("https://klasma.github.io/Logging_1440/klagomålsmail/A 62524-2025 FSC-klagomål mail.docx", "A 62524-2025")</f>
        <v/>
      </c>
      <c r="AC40">
        <f>HYPERLINK("https://klasma.github.io/Logging_1440/tillsyn/A 62524-2025 tillsynsbegäran.docx", "A 62524-2025")</f>
        <v/>
      </c>
      <c r="AD40">
        <f>HYPERLINK("https://klasma.github.io/Logging_1440/tillsynsmail/A 62524-2025 tillsynsbegäran mail.docx", "A 62524-2025")</f>
        <v/>
      </c>
    </row>
    <row r="41" ht="15" customHeight="1">
      <c r="A41" t="inlineStr">
        <is>
          <t>A 4363-2024</t>
        </is>
      </c>
      <c r="B41" t="inlineStr">
        <is>
          <t>avverkningsanmälan</t>
        </is>
      </c>
      <c r="C41" t="inlineStr">
        <is>
          <t>Avverkning för annat ändamål</t>
        </is>
      </c>
      <c r="D41" s="1" t="n">
        <v>45325</v>
      </c>
      <c r="E41" s="1" t="n">
        <v>46229</v>
      </c>
      <c r="F41" t="inlineStr">
        <is>
          <t>VÄSTRA GÖTALANDS LÄN</t>
        </is>
      </c>
      <c r="G41" t="inlineStr">
        <is>
          <t>ALE</t>
        </is>
      </c>
      <c r="I41" t="n">
        <v>0.6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4363-2024 artfynd.xlsx", "A 4363-2024")</f>
        <v/>
      </c>
      <c r="X41">
        <f>HYPERLINK("https://klasma.github.io/Logging_1440/kartor/A 4363-2024 karta.png", "A 4363-2024")</f>
        <v/>
      </c>
      <c r="Y41">
        <f>HYPERLINK("https://klasma.github.io/Logging_1440/kartor_geotiff/A 4363-2024 georefererad karta.tif", "A 4363-2024")</f>
        <v/>
      </c>
      <c r="AA41">
        <f>HYPERLINK("https://klasma.github.io/Logging_1440/klagomål/A 4363-2024 FSC-klagomål.docx", "A 4363-2024")</f>
        <v/>
      </c>
      <c r="AB41">
        <f>HYPERLINK("https://klasma.github.io/Logging_1440/klagomålsmail/A 4363-2024 FSC-klagomål mail.docx", "A 4363-2024")</f>
        <v/>
      </c>
      <c r="AC41">
        <f>HYPERLINK("https://klasma.github.io/Logging_1440/tillsyn/A 4363-2024 tillsynsbegäran.docx", "A 4363-2024")</f>
        <v/>
      </c>
      <c r="AD41">
        <f>HYPERLINK("https://klasma.github.io/Logging_1440/tillsynsmail/A 4363-2024 tillsynsbegäran mail.docx", "A 4363-2024")</f>
        <v/>
      </c>
      <c r="AE41">
        <f>HYPERLINK("https://klasma.github.io/Logging_1440/fåglar/A 4363-2024 prioriterade fågelarter.docx", "A 4363-2024")</f>
        <v/>
      </c>
    </row>
    <row r="42" ht="15" customHeight="1">
      <c r="A42" t="inlineStr">
        <is>
          <t>A 8659-2025</t>
        </is>
      </c>
      <c r="B42" t="inlineStr">
        <is>
          <t>avverkningsanmälan</t>
        </is>
      </c>
      <c r="C42" t="inlineStr">
        <is>
          <t>Föryngringsavverkning</t>
        </is>
      </c>
      <c r="D42" s="1" t="n">
        <v>45712</v>
      </c>
      <c r="E42" s="1" t="n">
        <v>46229</v>
      </c>
      <c r="F42" t="inlineStr">
        <is>
          <t>VÄSTRA GÖTALANDS LÄN</t>
        </is>
      </c>
      <c r="G42" t="inlineStr">
        <is>
          <t>ALE</t>
        </is>
      </c>
      <c r="I42" t="n">
        <v>5.7</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HYPERLINK("https://klasma.github.io/Logging_1440/artfynd/A 8659-2025 artfynd.xlsx", "A 8659-2025")</f>
        <v/>
      </c>
      <c r="X42">
        <f>HYPERLINK("https://klasma.github.io/Logging_1440/kartor/A 8659-2025 karta.png", "A 8659-2025")</f>
        <v/>
      </c>
      <c r="Y42">
        <f>HYPERLINK("https://klasma.github.io/Logging_1440/kartor_geotiff/A 8659-2025 georefererad karta.tif", "A 8659-2025")</f>
        <v/>
      </c>
      <c r="AA42">
        <f>HYPERLINK("https://klasma.github.io/Logging_1440/klagomål/A 8659-2025 FSC-klagomål.docx", "A 8659-2025")</f>
        <v/>
      </c>
      <c r="AB42">
        <f>HYPERLINK("https://klasma.github.io/Logging_1440/klagomålsmail/A 8659-2025 FSC-klagomål mail.docx", "A 8659-2025")</f>
        <v/>
      </c>
      <c r="AC42">
        <f>HYPERLINK("https://klasma.github.io/Logging_1440/tillsyn/A 8659-2025 tillsynsbegäran.docx", "A 8659-2025")</f>
        <v/>
      </c>
      <c r="AD42">
        <f>HYPERLINK("https://klasma.github.io/Logging_1440/tillsynsmail/A 8659-2025 tillsynsbegäran mail.docx", "A 8659-2025")</f>
        <v/>
      </c>
    </row>
    <row r="43" ht="15" customHeight="1">
      <c r="A43" t="inlineStr">
        <is>
          <t>A 26493-2024</t>
        </is>
      </c>
      <c r="B43" t="inlineStr">
        <is>
          <t>avverkningsanmälan</t>
        </is>
      </c>
      <c r="C43" t="inlineStr">
        <is>
          <t>Avverkning för annat ändamål</t>
        </is>
      </c>
      <c r="D43" s="1" t="n">
        <v>45469</v>
      </c>
      <c r="E43" s="1" t="n">
        <v>46229</v>
      </c>
      <c r="F43" t="inlineStr">
        <is>
          <t>VÄSTRA GÖTALANDS LÄN</t>
        </is>
      </c>
      <c r="G43" t="inlineStr">
        <is>
          <t>ALE</t>
        </is>
      </c>
      <c r="I43" t="n">
        <v>1.6</v>
      </c>
      <c r="J43" t="n">
        <v>1</v>
      </c>
      <c r="K43" t="n">
        <v>0</v>
      </c>
      <c r="L43" t="n">
        <v>0</v>
      </c>
      <c r="M43" t="n">
        <v>0</v>
      </c>
      <c r="N43" t="n">
        <v>0</v>
      </c>
      <c r="O43" t="n">
        <v>0</v>
      </c>
      <c r="P43" t="n">
        <v>0</v>
      </c>
      <c r="Q43" t="n">
        <v>0</v>
      </c>
      <c r="R43" t="n">
        <v>0</v>
      </c>
      <c r="S43" t="n">
        <v>1</v>
      </c>
      <c r="T43" t="n">
        <v>6</v>
      </c>
      <c r="U43" t="n">
        <v>0</v>
      </c>
      <c r="V43" s="2" t="inlineStr">
        <is>
          <t>Grönvit nattviol</t>
        </is>
      </c>
      <c r="W43">
        <f>HYPERLINK("https://klasma.github.io/Logging_1440/artfynd/A 26493-2024 artfynd.xlsx", "A 26493-2024")</f>
        <v/>
      </c>
      <c r="X43">
        <f>HYPERLINK("https://klasma.github.io/Logging_1440/kartor/A 26493-2024 karta.png", "A 26493-2024")</f>
        <v/>
      </c>
      <c r="Y43">
        <f>HYPERLINK("https://klasma.github.io/Logging_1440/kartor_geotiff/A 26493-2024 georefererad karta.tif", "A 26493-2024")</f>
        <v/>
      </c>
      <c r="AA43">
        <f>HYPERLINK("https://klasma.github.io/Logging_1440/klagomål/A 26493-2024 FSC-klagomål.docx", "A 26493-2024")</f>
        <v/>
      </c>
      <c r="AB43">
        <f>HYPERLINK("https://klasma.github.io/Logging_1440/klagomålsmail/A 26493-2024 FSC-klagomål mail.docx", "A 26493-2024")</f>
        <v/>
      </c>
      <c r="AC43">
        <f>HYPERLINK("https://klasma.github.io/Logging_1440/tillsyn/A 26493-2024 tillsynsbegäran.docx", "A 26493-2024")</f>
        <v/>
      </c>
      <c r="AD43">
        <f>HYPERLINK("https://klasma.github.io/Logging_1440/tillsynsmail/A 26493-2024 tillsynsbegäran mail.docx", "A 26493-2024")</f>
        <v/>
      </c>
    </row>
    <row r="44" ht="15" customHeight="1">
      <c r="A44" t="inlineStr">
        <is>
          <t>A 9783-2026</t>
        </is>
      </c>
      <c r="B44" t="inlineStr">
        <is>
          <t>avverkningsanmälan</t>
        </is>
      </c>
      <c r="C44" t="inlineStr">
        <is>
          <t>Föryngringsavverkning</t>
        </is>
      </c>
      <c r="D44" s="1" t="n">
        <v>46072</v>
      </c>
      <c r="E44" s="1" t="n">
        <v>46229</v>
      </c>
      <c r="F44" t="inlineStr">
        <is>
          <t>VÄSTRA GÖTALANDS LÄN</t>
        </is>
      </c>
      <c r="G44" t="inlineStr">
        <is>
          <t>ALE</t>
        </is>
      </c>
      <c r="I44" t="n">
        <v>4.9</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HYPERLINK("https://klasma.github.io/Logging_1440/artfynd/A 9783-2026 artfynd.xlsx", "A 9783-2026")</f>
        <v/>
      </c>
      <c r="X44">
        <f>HYPERLINK("https://klasma.github.io/Logging_1440/kartor/A 9783-2026 karta.png", "A 9783-2026")</f>
        <v/>
      </c>
      <c r="Y44">
        <f>HYPERLINK("https://klasma.github.io/Logging_1440/kartor_geotiff/A 9783-2026 georefererad karta.tif", "A 9783-2026")</f>
        <v/>
      </c>
      <c r="AA44">
        <f>HYPERLINK("https://klasma.github.io/Logging_1440/klagomål/A 9783-2026 FSC-klagomål.docx", "A 9783-2026")</f>
        <v/>
      </c>
      <c r="AB44">
        <f>HYPERLINK("https://klasma.github.io/Logging_1440/klagomålsmail/A 9783-2026 FSC-klagomål mail.docx", "A 9783-2026")</f>
        <v/>
      </c>
      <c r="AC44">
        <f>HYPERLINK("https://klasma.github.io/Logging_1440/tillsyn/A 9783-2026 tillsynsbegäran.docx", "A 9783-2026")</f>
        <v/>
      </c>
      <c r="AD44">
        <f>HYPERLINK("https://klasma.github.io/Logging_1440/tillsynsmail/A 9783-2026 tillsynsbegäran mail.docx", "A 9783-2026")</f>
        <v/>
      </c>
    </row>
    <row r="45" ht="15" customHeight="1">
      <c r="A45" t="inlineStr">
        <is>
          <t>A 14493-2024</t>
        </is>
      </c>
      <c r="B45" t="inlineStr">
        <is>
          <t>avverkningsanmälan</t>
        </is>
      </c>
      <c r="C45" t="inlineStr">
        <is>
          <t>Föryngringsavverkning</t>
        </is>
      </c>
      <c r="D45" s="1" t="n">
        <v>45394</v>
      </c>
      <c r="E45" s="1" t="n">
        <v>46229</v>
      </c>
      <c r="F45" t="inlineStr">
        <is>
          <t>VÄSTRA GÖTALANDS LÄN</t>
        </is>
      </c>
      <c r="G45" t="inlineStr">
        <is>
          <t>ALE</t>
        </is>
      </c>
      <c r="I45" t="n">
        <v>2.3</v>
      </c>
      <c r="J45" t="n">
        <v>1</v>
      </c>
      <c r="K45" t="n">
        <v>0</v>
      </c>
      <c r="L45" t="n">
        <v>0</v>
      </c>
      <c r="M45" t="n">
        <v>0</v>
      </c>
      <c r="N45" t="n">
        <v>0</v>
      </c>
      <c r="O45" t="n">
        <v>0</v>
      </c>
      <c r="P45" t="n">
        <v>0</v>
      </c>
      <c r="Q45" t="n">
        <v>0</v>
      </c>
      <c r="R45" t="n">
        <v>0</v>
      </c>
      <c r="S45" t="n">
        <v>1</v>
      </c>
      <c r="T45" t="n">
        <v>1</v>
      </c>
      <c r="U45" t="n">
        <v>0</v>
      </c>
      <c r="V45" s="2" t="inlineStr">
        <is>
          <t>Orre</t>
        </is>
      </c>
      <c r="W45">
        <f>HYPERLINK("https://klasma.github.io/Logging_1440/artfynd/A 14493-2024 artfynd.xlsx", "A 14493-2024")</f>
        <v/>
      </c>
      <c r="X45">
        <f>HYPERLINK("https://klasma.github.io/Logging_1440/kartor/A 14493-2024 karta.png", "A 14493-2024")</f>
        <v/>
      </c>
      <c r="Y45">
        <f>HYPERLINK("https://klasma.github.io/Logging_1440/kartor_geotiff/A 14493-2024 georefererad karta.tif", "A 14493-2024")</f>
        <v/>
      </c>
      <c r="AA45">
        <f>HYPERLINK("https://klasma.github.io/Logging_1440/klagomål/A 14493-2024 FSC-klagomål.docx", "A 14493-2024")</f>
        <v/>
      </c>
      <c r="AB45">
        <f>HYPERLINK("https://klasma.github.io/Logging_1440/klagomålsmail/A 14493-2024 FSC-klagomål mail.docx", "A 14493-2024")</f>
        <v/>
      </c>
      <c r="AC45">
        <f>HYPERLINK("https://klasma.github.io/Logging_1440/tillsyn/A 14493-2024 tillsynsbegäran.docx", "A 14493-2024")</f>
        <v/>
      </c>
      <c r="AD45">
        <f>HYPERLINK("https://klasma.github.io/Logging_1440/tillsynsmail/A 14493-2024 tillsynsbegäran mail.docx", "A 14493-2024")</f>
        <v/>
      </c>
      <c r="AE45">
        <f>HYPERLINK("https://klasma.github.io/Logging_1440/fåglar/A 14493-2024 prioriterade fågelarter.docx", "A 14493-2024")</f>
        <v/>
      </c>
    </row>
    <row r="46" ht="15" customHeight="1">
      <c r="A46" t="inlineStr">
        <is>
          <t>A 33237-2024</t>
        </is>
      </c>
      <c r="B46" t="inlineStr">
        <is>
          <t>avverkningsanmälan</t>
        </is>
      </c>
      <c r="C46" t="inlineStr">
        <is>
          <t>Föryngringsavverkning</t>
        </is>
      </c>
      <c r="D46" s="1" t="n">
        <v>45518</v>
      </c>
      <c r="E46" s="1" t="n">
        <v>46229</v>
      </c>
      <c r="F46" t="inlineStr">
        <is>
          <t>VÄSTRA GÖTALANDS LÄN</t>
        </is>
      </c>
      <c r="G46" t="inlineStr">
        <is>
          <t>ALE</t>
        </is>
      </c>
      <c r="I46" t="n">
        <v>0.6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HYPERLINK("https://klasma.github.io/Logging_1440/artfynd/A 33237-2024 artfynd.xlsx", "A 33237-2024")</f>
        <v/>
      </c>
      <c r="X46">
        <f>HYPERLINK("https://klasma.github.io/Logging_1440/kartor/A 33237-2024 karta.png", "A 33237-2024")</f>
        <v/>
      </c>
      <c r="Y46">
        <f>HYPERLINK("https://klasma.github.io/Logging_1440/kartor_geotiff/A 33237-2024 georefererad karta.tif", "A 33237-2024")</f>
        <v/>
      </c>
      <c r="AA46">
        <f>HYPERLINK("https://klasma.github.io/Logging_1440/klagomål/A 33237-2024 FSC-klagomål.docx", "A 33237-2024")</f>
        <v/>
      </c>
      <c r="AB46">
        <f>HYPERLINK("https://klasma.github.io/Logging_1440/klagomålsmail/A 33237-2024 FSC-klagomål mail.docx", "A 33237-2024")</f>
        <v/>
      </c>
      <c r="AC46">
        <f>HYPERLINK("https://klasma.github.io/Logging_1440/tillsyn/A 33237-2024 tillsynsbegäran.docx", "A 33237-2024")</f>
        <v/>
      </c>
      <c r="AD46">
        <f>HYPERLINK("https://klasma.github.io/Logging_1440/tillsynsmail/A 33237-2024 tillsynsbegäran mail.docx", "A 33237-2024")</f>
        <v/>
      </c>
    </row>
    <row r="47" ht="15" customHeight="1">
      <c r="A47" t="inlineStr">
        <is>
          <t>A 41598-2022</t>
        </is>
      </c>
      <c r="B47" t="inlineStr">
        <is>
          <t>avverkningsanmälan</t>
        </is>
      </c>
      <c r="C47" t="inlineStr">
        <is>
          <t>Föryngringsavverkning</t>
        </is>
      </c>
      <c r="D47" s="1" t="n">
        <v>44827</v>
      </c>
      <c r="E47" s="1" t="n">
        <v>46229</v>
      </c>
      <c r="F47" t="inlineStr">
        <is>
          <t>VÄSTRA GÖTALANDS LÄN</t>
        </is>
      </c>
      <c r="G47" t="inlineStr">
        <is>
          <t>ALE</t>
        </is>
      </c>
      <c r="I47" t="n">
        <v>2</v>
      </c>
      <c r="J47" t="n">
        <v>1</v>
      </c>
      <c r="K47" t="n">
        <v>0</v>
      </c>
      <c r="L47" t="n">
        <v>0</v>
      </c>
      <c r="M47" t="n">
        <v>0</v>
      </c>
      <c r="N47" t="n">
        <v>0</v>
      </c>
      <c r="O47" t="n">
        <v>0</v>
      </c>
      <c r="P47" t="n">
        <v>0</v>
      </c>
      <c r="Q47" t="n">
        <v>0</v>
      </c>
      <c r="R47" t="n">
        <v>0</v>
      </c>
      <c r="S47" t="n">
        <v>1</v>
      </c>
      <c r="T47" t="n">
        <v>1</v>
      </c>
      <c r="U47" t="n">
        <v>1</v>
      </c>
      <c r="V47" s="2" t="inlineStr">
        <is>
          <t>Grönvit nattviol</t>
        </is>
      </c>
      <c r="W47">
        <f>HYPERLINK("https://klasma.github.io/Logging_1440/artfynd/A 41598-2022 artfynd.xlsx", "A 41598-2022")</f>
        <v/>
      </c>
      <c r="X47">
        <f>HYPERLINK("https://klasma.github.io/Logging_1440/kartor/A 41598-2022 karta.png", "A 41598-2022")</f>
        <v/>
      </c>
      <c r="Y47">
        <f>HYPERLINK("https://klasma.github.io/Logging_1440/kartor_geotiff/A 41598-2022 georefererad karta.tif", "A 41598-2022")</f>
        <v/>
      </c>
      <c r="AA47">
        <f>HYPERLINK("https://klasma.github.io/Logging_1440/klagomål/A 41598-2022 FSC-klagomål.docx", "A 41598-2022")</f>
        <v/>
      </c>
      <c r="AB47">
        <f>HYPERLINK("https://klasma.github.io/Logging_1440/klagomålsmail/A 41598-2022 FSC-klagomål mail.docx", "A 41598-2022")</f>
        <v/>
      </c>
      <c r="AC47">
        <f>HYPERLINK("https://klasma.github.io/Logging_1440/tillsyn/A 41598-2022 tillsynsbegäran.docx", "A 41598-2022")</f>
        <v/>
      </c>
      <c r="AD47">
        <f>HYPERLINK("https://klasma.github.io/Logging_1440/tillsynsmail/A 41598-2022 tillsynsbegäran mail.docx", "A 41598-2022")</f>
        <v/>
      </c>
    </row>
    <row r="48" ht="15" customHeight="1">
      <c r="A48" t="inlineStr">
        <is>
          <t>A 26677-2025</t>
        </is>
      </c>
      <c r="B48" t="inlineStr">
        <is>
          <t>avverkningsanmälan</t>
        </is>
      </c>
      <c r="C48" t="inlineStr">
        <is>
          <t>Föryngringsavverkning</t>
        </is>
      </c>
      <c r="D48" s="1" t="n">
        <v>45810</v>
      </c>
      <c r="E48" s="1" t="n">
        <v>46229</v>
      </c>
      <c r="F48" t="inlineStr">
        <is>
          <t>VÄSTRA GÖTALANDS LÄN</t>
        </is>
      </c>
      <c r="G48" t="inlineStr">
        <is>
          <t>ALE</t>
        </is>
      </c>
      <c r="I48" t="n">
        <v>1.2</v>
      </c>
      <c r="J48" t="n">
        <v>0</v>
      </c>
      <c r="K48" t="n">
        <v>1</v>
      </c>
      <c r="L48" t="n">
        <v>0</v>
      </c>
      <c r="M48" t="n">
        <v>0</v>
      </c>
      <c r="N48" t="n">
        <v>0</v>
      </c>
      <c r="O48" t="n">
        <v>0</v>
      </c>
      <c r="P48" t="n">
        <v>0</v>
      </c>
      <c r="Q48" t="n">
        <v>0</v>
      </c>
      <c r="R48" t="n">
        <v>0</v>
      </c>
      <c r="S48" t="n">
        <v>1</v>
      </c>
      <c r="T48" t="n">
        <v>1</v>
      </c>
      <c r="U48" t="n">
        <v>1</v>
      </c>
      <c r="V48" s="2" t="inlineStr">
        <is>
          <t>Västlig hakmossa</t>
        </is>
      </c>
      <c r="W48">
        <f>HYPERLINK("https://klasma.github.io/Logging_1440/artfynd/A 26677-2025 artfynd.xlsx", "A 26677-2025")</f>
        <v/>
      </c>
      <c r="X48">
        <f>HYPERLINK("https://klasma.github.io/Logging_1440/kartor/A 26677-2025 karta.png", "A 26677-2025")</f>
        <v/>
      </c>
      <c r="Y48">
        <f>HYPERLINK("https://klasma.github.io/Logging_1440/kartor_geotiff/A 26677-2025 georefererad karta.tif", "A 26677-2025")</f>
        <v/>
      </c>
      <c r="AA48">
        <f>HYPERLINK("https://klasma.github.io/Logging_1440/klagomål/A 26677-2025 FSC-klagomål.docx", "A 26677-2025")</f>
        <v/>
      </c>
      <c r="AB48">
        <f>HYPERLINK("https://klasma.github.io/Logging_1440/klagomålsmail/A 26677-2025 FSC-klagomål mail.docx", "A 26677-2025")</f>
        <v/>
      </c>
      <c r="AC48">
        <f>HYPERLINK("https://klasma.github.io/Logging_1440/tillsyn/A 26677-2025 tillsynsbegäran.docx", "A 26677-2025")</f>
        <v/>
      </c>
      <c r="AD48">
        <f>HYPERLINK("https://klasma.github.io/Logging_1440/tillsynsmail/A 26677-2025 tillsynsbegäran mail.docx", "A 26677-2025")</f>
        <v/>
      </c>
    </row>
    <row r="49" ht="15" customHeight="1">
      <c r="A49" t="inlineStr">
        <is>
          <t>A 5344-2024</t>
        </is>
      </c>
      <c r="B49" t="inlineStr">
        <is>
          <t>avverkningsanmälan</t>
        </is>
      </c>
      <c r="C49" t="inlineStr">
        <is>
          <t>Föryngringsavverkning</t>
        </is>
      </c>
      <c r="D49" s="1" t="n">
        <v>45331</v>
      </c>
      <c r="E49" s="1" t="n">
        <v>46229</v>
      </c>
      <c r="F49" t="inlineStr">
        <is>
          <t>VÄSTRA GÖTALANDS LÄN</t>
        </is>
      </c>
      <c r="G49" t="inlineStr">
        <is>
          <t>ALE</t>
        </is>
      </c>
      <c r="I49" t="n">
        <v>2.5</v>
      </c>
      <c r="J49" t="n">
        <v>0</v>
      </c>
      <c r="K49" t="n">
        <v>1</v>
      </c>
      <c r="L49" t="n">
        <v>0</v>
      </c>
      <c r="M49" t="n">
        <v>0</v>
      </c>
      <c r="N49" t="n">
        <v>0</v>
      </c>
      <c r="O49" t="n">
        <v>0</v>
      </c>
      <c r="P49" t="n">
        <v>0</v>
      </c>
      <c r="Q49" t="n">
        <v>0</v>
      </c>
      <c r="R49" t="n">
        <v>0</v>
      </c>
      <c r="S49" t="n">
        <v>1</v>
      </c>
      <c r="T49" t="n">
        <v>1</v>
      </c>
      <c r="U49" t="n">
        <v>0</v>
      </c>
      <c r="V49" s="2" t="inlineStr">
        <is>
          <t>Blåmossa</t>
        </is>
      </c>
      <c r="W49">
        <f>HYPERLINK("https://klasma.github.io/Logging_1440/artfynd/A 5344-2024 artfynd.xlsx", "A 5344-2024")</f>
        <v/>
      </c>
      <c r="X49">
        <f>HYPERLINK("https://klasma.github.io/Logging_1440/kartor/A 5344-2024 karta.png", "A 5344-2024")</f>
        <v/>
      </c>
      <c r="Y49">
        <f>HYPERLINK("https://klasma.github.io/Logging_1440/kartor_geotiff/A 5344-2024 georefererad karta.tif", "A 5344-2024")</f>
        <v/>
      </c>
      <c r="AA49">
        <f>HYPERLINK("https://klasma.github.io/Logging_1440/klagomål/A 5344-2024 FSC-klagomål.docx", "A 5344-2024")</f>
        <v/>
      </c>
      <c r="AB49">
        <f>HYPERLINK("https://klasma.github.io/Logging_1440/klagomålsmail/A 5344-2024 FSC-klagomål mail.docx", "A 5344-2024")</f>
        <v/>
      </c>
      <c r="AC49">
        <f>HYPERLINK("https://klasma.github.io/Logging_1440/tillsyn/A 5344-2024 tillsynsbegäran.docx", "A 5344-2024")</f>
        <v/>
      </c>
      <c r="AD49">
        <f>HYPERLINK("https://klasma.github.io/Logging_1440/tillsynsmail/A 5344-2024 tillsynsbegäran mail.docx", "A 5344-2024")</f>
        <v/>
      </c>
    </row>
    <row r="50" ht="15" customHeight="1">
      <c r="A50" t="inlineStr">
        <is>
          <t>A 13902-2025</t>
        </is>
      </c>
      <c r="B50" t="inlineStr">
        <is>
          <t>avverkningsanmälan</t>
        </is>
      </c>
      <c r="C50" t="inlineStr">
        <is>
          <t>Föryngringsavverkning</t>
        </is>
      </c>
      <c r="D50" s="1" t="n">
        <v>45737</v>
      </c>
      <c r="E50" s="1" t="n">
        <v>46229</v>
      </c>
      <c r="F50" t="inlineStr">
        <is>
          <t>VÄSTRA GÖTALANDS LÄN</t>
        </is>
      </c>
      <c r="G50" t="inlineStr">
        <is>
          <t>ALE</t>
        </is>
      </c>
      <c r="I50" t="n">
        <v>1.4</v>
      </c>
      <c r="J50" t="n">
        <v>1</v>
      </c>
      <c r="K50" t="n">
        <v>0</v>
      </c>
      <c r="L50" t="n">
        <v>0</v>
      </c>
      <c r="M50" t="n">
        <v>0</v>
      </c>
      <c r="N50" t="n">
        <v>0</v>
      </c>
      <c r="O50" t="n">
        <v>0</v>
      </c>
      <c r="P50" t="n">
        <v>0</v>
      </c>
      <c r="Q50" t="n">
        <v>0</v>
      </c>
      <c r="R50" t="n">
        <v>0</v>
      </c>
      <c r="S50" t="n">
        <v>1</v>
      </c>
      <c r="T50" t="n">
        <v>1</v>
      </c>
      <c r="U50" t="n">
        <v>0</v>
      </c>
      <c r="V50" s="2" t="inlineStr">
        <is>
          <t>Svartvit flugsnappare</t>
        </is>
      </c>
      <c r="W50">
        <f>HYPERLINK("https://klasma.github.io/Logging_1440/artfynd/A 13902-2025 artfynd.xlsx", "A 13902-2025")</f>
        <v/>
      </c>
      <c r="X50">
        <f>HYPERLINK("https://klasma.github.io/Logging_1440/kartor/A 13902-2025 karta.png", "A 13902-2025")</f>
        <v/>
      </c>
      <c r="Y50">
        <f>HYPERLINK("https://klasma.github.io/Logging_1440/kartor_geotiff/A 13902-2025 georefererad karta.tif", "A 13902-2025")</f>
        <v/>
      </c>
      <c r="AA50">
        <f>HYPERLINK("https://klasma.github.io/Logging_1440/klagomål/A 13902-2025 FSC-klagomål.docx", "A 13902-2025")</f>
        <v/>
      </c>
      <c r="AB50">
        <f>HYPERLINK("https://klasma.github.io/Logging_1440/klagomålsmail/A 13902-2025 FSC-klagomål mail.docx", "A 13902-2025")</f>
        <v/>
      </c>
      <c r="AC50">
        <f>HYPERLINK("https://klasma.github.io/Logging_1440/tillsyn/A 13902-2025 tillsynsbegäran.docx", "A 13902-2025")</f>
        <v/>
      </c>
      <c r="AD50">
        <f>HYPERLINK("https://klasma.github.io/Logging_1440/tillsynsmail/A 13902-2025 tillsynsbegäran mail.docx", "A 13902-2025")</f>
        <v/>
      </c>
    </row>
    <row r="51" ht="15" customHeight="1">
      <c r="A51" t="inlineStr">
        <is>
          <t>S 1062-2023</t>
        </is>
      </c>
      <c r="B51" t="inlineStr">
        <is>
          <t>samrådsanmälan</t>
        </is>
      </c>
      <c r="C51" t="inlineStr">
        <is>
          <t>Annan skogsbruksåtgärd</t>
        </is>
      </c>
      <c r="D51" s="1" t="n">
        <v>45011</v>
      </c>
      <c r="E51" s="1" t="n">
        <v>46229</v>
      </c>
      <c r="F51" t="inlineStr">
        <is>
          <t>VÄSTRA GÖTALANDS LÄN</t>
        </is>
      </c>
      <c r="G51" t="inlineStr">
        <is>
          <t>ALE</t>
        </is>
      </c>
      <c r="I51" t="n">
        <v>2.2</v>
      </c>
      <c r="J51" t="n">
        <v>0</v>
      </c>
      <c r="K51" t="n">
        <v>1</v>
      </c>
      <c r="L51" t="n">
        <v>0</v>
      </c>
      <c r="M51" t="n">
        <v>0</v>
      </c>
      <c r="N51" t="n">
        <v>0</v>
      </c>
      <c r="O51" t="n">
        <v>0</v>
      </c>
      <c r="P51" t="n">
        <v>0</v>
      </c>
      <c r="Q51" t="n">
        <v>0</v>
      </c>
      <c r="R51" t="n">
        <v>0</v>
      </c>
      <c r="S51" t="n">
        <v>1</v>
      </c>
      <c r="T51" t="n">
        <v>5</v>
      </c>
      <c r="U51" t="n">
        <v>0</v>
      </c>
      <c r="V51" s="2" t="inlineStr">
        <is>
          <t>Guldlockmossa</t>
        </is>
      </c>
      <c r="W51">
        <f>HYPERLINK("https://klasma.github.io/Logging_1440/artfynd/S 1062-2023 artfynd.xlsx", "S 1062-2023")</f>
        <v/>
      </c>
      <c r="X51">
        <f>HYPERLINK("https://klasma.github.io/Logging_1440/kartor/S 1062-2023 karta.png", "S 1062-2023")</f>
        <v/>
      </c>
      <c r="Y51">
        <f>HYPERLINK("https://klasma.github.io/Logging_1440/kartor_geotiff/S 1062-2023 georefererad karta.tif", "S 1062-2023")</f>
        <v/>
      </c>
      <c r="AA51">
        <f>HYPERLINK("https://klasma.github.io/Logging_1440/klagomål/S 1062-2023 FSC-klagomål.docx", "S 1062-2023")</f>
        <v/>
      </c>
      <c r="AB51">
        <f>HYPERLINK("https://klasma.github.io/Logging_1440/klagomålsmail/S 1062-2023 FSC-klagomål mail.docx", "S 1062-2023")</f>
        <v/>
      </c>
      <c r="AC51">
        <f>HYPERLINK("https://klasma.github.io/Logging_1440/tillsyn/S 1062-2023 tillsynsbegäran.docx", "S 1062-2023")</f>
        <v/>
      </c>
      <c r="AD51">
        <f>HYPERLINK("https://klasma.github.io/Logging_1440/tillsynsmail/S 1062-2023 tillsynsbegäran mail.docx", "S 1062-2023")</f>
        <v/>
      </c>
    </row>
    <row r="52" ht="15" customHeight="1">
      <c r="A52" t="inlineStr">
        <is>
          <t>A 62855-2021</t>
        </is>
      </c>
      <c r="B52" t="inlineStr">
        <is>
          <t>avverkningsanmälan</t>
        </is>
      </c>
      <c r="C52" t="inlineStr">
        <is>
          <t>Föryngringsavverkning</t>
        </is>
      </c>
      <c r="D52" s="1" t="n">
        <v>44504</v>
      </c>
      <c r="E52" s="1" t="n">
        <v>46229</v>
      </c>
      <c r="F52" t="inlineStr">
        <is>
          <t>VÄSTRA GÖTALANDS LÄN</t>
        </is>
      </c>
      <c r="G52" t="inlineStr">
        <is>
          <t>ALE</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67165-2021</t>
        </is>
      </c>
      <c r="B53" t="inlineStr">
        <is>
          <t>avverkningsanmälan</t>
        </is>
      </c>
      <c r="C53" t="inlineStr">
        <is>
          <t>Föryngringsavverkning</t>
        </is>
      </c>
      <c r="D53" s="1" t="n">
        <v>44523</v>
      </c>
      <c r="E53" s="1" t="n">
        <v>46229</v>
      </c>
      <c r="F53" t="inlineStr">
        <is>
          <t>VÄSTRA GÖTALANDS LÄN</t>
        </is>
      </c>
      <c r="G53" t="inlineStr">
        <is>
          <t>ALE</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49955-2021</t>
        </is>
      </c>
      <c r="B54" t="inlineStr">
        <is>
          <t>avverkningsanmälan</t>
        </is>
      </c>
      <c r="C54" t="inlineStr">
        <is>
          <t>Föryngringsavverkning</t>
        </is>
      </c>
      <c r="D54" s="1" t="n">
        <v>44456</v>
      </c>
      <c r="E54" s="1" t="n">
        <v>46229</v>
      </c>
      <c r="F54" t="inlineStr">
        <is>
          <t>VÄSTRA GÖTALANDS LÄN</t>
        </is>
      </c>
      <c r="G54" t="inlineStr">
        <is>
          <t>ALE</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46229</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46229</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46229</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46229</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46391-2021</t>
        </is>
      </c>
      <c r="B59" t="inlineStr">
        <is>
          <t>avverkningsanmälan</t>
        </is>
      </c>
      <c r="C59" t="inlineStr">
        <is>
          <t>Avverkning för annat ändamål</t>
        </is>
      </c>
      <c r="D59" s="1" t="n">
        <v>44443</v>
      </c>
      <c r="E59" s="1" t="n">
        <v>46229</v>
      </c>
      <c r="F59" t="inlineStr">
        <is>
          <t>VÄSTRA GÖTALANDS LÄN</t>
        </is>
      </c>
      <c r="G59" t="inlineStr">
        <is>
          <t>ALE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53144-2021</t>
        </is>
      </c>
      <c r="B60" t="inlineStr">
        <is>
          <t>avverkningsanmälan</t>
        </is>
      </c>
      <c r="C60" t="inlineStr">
        <is>
          <t>Föryngringsavverkning</t>
        </is>
      </c>
      <c r="D60" s="1" t="n">
        <v>44468</v>
      </c>
      <c r="E60" s="1" t="n">
        <v>46229</v>
      </c>
      <c r="F60" t="inlineStr">
        <is>
          <t>VÄSTRA GÖTALANDS LÄN</t>
        </is>
      </c>
      <c r="G60" t="inlineStr">
        <is>
          <t>ALE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20285-2022</t>
        </is>
      </c>
      <c r="B61" t="inlineStr">
        <is>
          <t>avverkningsanmälan</t>
        </is>
      </c>
      <c r="C61" t="inlineStr">
        <is>
          <t>Föryngringsavverkning</t>
        </is>
      </c>
      <c r="D61" s="1" t="n">
        <v>44698</v>
      </c>
      <c r="E61" s="1" t="n">
        <v>46229</v>
      </c>
      <c r="F61" t="inlineStr">
        <is>
          <t>VÄSTRA GÖTALANDS LÄN</t>
        </is>
      </c>
      <c r="G61" t="inlineStr">
        <is>
          <t>ALE</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44429-2023</t>
        </is>
      </c>
      <c r="B62" t="inlineStr">
        <is>
          <t>avverkningsanmälan</t>
        </is>
      </c>
      <c r="C62" t="inlineStr">
        <is>
          <t>Föryngringsavverkning</t>
        </is>
      </c>
      <c r="D62" s="1" t="n">
        <v>45189</v>
      </c>
      <c r="E62" s="1" t="n">
        <v>46229</v>
      </c>
      <c r="F62" t="inlineStr">
        <is>
          <t>VÄSTRA GÖTALANDS LÄN</t>
        </is>
      </c>
      <c r="G62" t="inlineStr">
        <is>
          <t>ALE</t>
        </is>
      </c>
      <c r="I62" t="n">
        <v>0.1</v>
      </c>
      <c r="J62" t="n">
        <v>0</v>
      </c>
      <c r="K62" t="n">
        <v>0</v>
      </c>
      <c r="L62" t="n">
        <v>0</v>
      </c>
      <c r="M62" t="n">
        <v>0</v>
      </c>
      <c r="N62" t="n">
        <v>0</v>
      </c>
      <c r="O62" t="n">
        <v>0</v>
      </c>
      <c r="P62" t="n">
        <v>0</v>
      </c>
      <c r="Q62" t="n">
        <v>0</v>
      </c>
      <c r="R62" t="n">
        <v>0</v>
      </c>
      <c r="S62" t="n">
        <v>0</v>
      </c>
      <c r="T62" t="n">
        <v>0</v>
      </c>
      <c r="U62" t="n">
        <v>0</v>
      </c>
      <c r="V62" s="2" t="inlineStr"/>
    </row>
    <row r="63" ht="15" customHeight="1">
      <c r="A63" t="inlineStr">
        <is>
          <t>A 6916-2023</t>
        </is>
      </c>
      <c r="B63" t="inlineStr">
        <is>
          <t>avverkningsanmälan</t>
        </is>
      </c>
      <c r="C63" t="inlineStr">
        <is>
          <t>Föryngringsavverkning</t>
        </is>
      </c>
      <c r="D63" s="1" t="n">
        <v>44967</v>
      </c>
      <c r="E63" s="1" t="n">
        <v>46229</v>
      </c>
      <c r="F63" t="inlineStr">
        <is>
          <t>VÄSTRA GÖTALANDS LÄN</t>
        </is>
      </c>
      <c r="G63" t="inlineStr">
        <is>
          <t>ALE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1822-2024</t>
        </is>
      </c>
      <c r="B64" t="inlineStr">
        <is>
          <t>avverkningsanmälan</t>
        </is>
      </c>
      <c r="C64" t="inlineStr">
        <is>
          <t>Föryngringsavverkning</t>
        </is>
      </c>
      <c r="D64" s="1" t="n">
        <v>45307</v>
      </c>
      <c r="E64" s="1" t="n">
        <v>46229</v>
      </c>
      <c r="F64" t="inlineStr">
        <is>
          <t>VÄSTRA GÖTALANDS LÄN</t>
        </is>
      </c>
      <c r="G64" t="inlineStr">
        <is>
          <t>ALE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34104-2024</t>
        </is>
      </c>
      <c r="B65" t="inlineStr">
        <is>
          <t>avverkningsanmälan</t>
        </is>
      </c>
      <c r="C65" t="inlineStr">
        <is>
          <t>Föryngringsavverkning</t>
        </is>
      </c>
      <c r="D65" s="1" t="n">
        <v>45523</v>
      </c>
      <c r="E65" s="1" t="n">
        <v>46229</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15499-2022</t>
        </is>
      </c>
      <c r="B66" t="inlineStr">
        <is>
          <t>avverkningsanmälan</t>
        </is>
      </c>
      <c r="C66" t="inlineStr">
        <is>
          <t>Föryngringsavverkning</t>
        </is>
      </c>
      <c r="D66" s="1" t="n">
        <v>44662</v>
      </c>
      <c r="E66" s="1" t="n">
        <v>46229</v>
      </c>
      <c r="F66" t="inlineStr">
        <is>
          <t>VÄSTRA GÖTALANDS LÄN</t>
        </is>
      </c>
      <c r="G66" t="inlineStr">
        <is>
          <t>ALE</t>
        </is>
      </c>
      <c r="I66" t="n">
        <v>4.7</v>
      </c>
      <c r="J66" t="n">
        <v>0</v>
      </c>
      <c r="K66" t="n">
        <v>0</v>
      </c>
      <c r="L66" t="n">
        <v>0</v>
      </c>
      <c r="M66" t="n">
        <v>0</v>
      </c>
      <c r="N66" t="n">
        <v>0</v>
      </c>
      <c r="O66" t="n">
        <v>0</v>
      </c>
      <c r="P66" t="n">
        <v>0</v>
      </c>
      <c r="Q66" t="n">
        <v>0</v>
      </c>
      <c r="R66" t="n">
        <v>0</v>
      </c>
      <c r="S66" t="n">
        <v>0</v>
      </c>
      <c r="T66" t="n">
        <v>0</v>
      </c>
      <c r="U66" t="n">
        <v>0</v>
      </c>
      <c r="V66" s="2" t="inlineStr"/>
    </row>
    <row r="67" ht="15" customHeight="1">
      <c r="A67" t="inlineStr">
        <is>
          <t>A 1960-2024</t>
        </is>
      </c>
      <c r="B67" t="inlineStr">
        <is>
          <t>avverkningsanmälan</t>
        </is>
      </c>
      <c r="C67" t="inlineStr">
        <is>
          <t>Föryngringsavverkning</t>
        </is>
      </c>
      <c r="D67" s="1" t="n">
        <v>45308</v>
      </c>
      <c r="E67" s="1" t="n">
        <v>46229</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53476-2023</t>
        </is>
      </c>
      <c r="B68" t="inlineStr">
        <is>
          <t>avverkningsanmälan</t>
        </is>
      </c>
      <c r="C68" t="inlineStr">
        <is>
          <t>Föryngringsavverkning</t>
        </is>
      </c>
      <c r="D68" s="1" t="n">
        <v>45230</v>
      </c>
      <c r="E68" s="1" t="n">
        <v>46229</v>
      </c>
      <c r="F68" t="inlineStr">
        <is>
          <t>VÄSTRA GÖTALANDS LÄN</t>
        </is>
      </c>
      <c r="G68" t="inlineStr">
        <is>
          <t>ALE</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3418-2023</t>
        </is>
      </c>
      <c r="B69" t="inlineStr">
        <is>
          <t>avverkningsanmälan</t>
        </is>
      </c>
      <c r="C69" t="inlineStr">
        <is>
          <t>Föryngringsavverkning</t>
        </is>
      </c>
      <c r="D69" s="1" t="n">
        <v>44949</v>
      </c>
      <c r="E69" s="1" t="n">
        <v>46229</v>
      </c>
      <c r="F69" t="inlineStr">
        <is>
          <t>VÄSTRA GÖTALANDS LÄN</t>
        </is>
      </c>
      <c r="G69" t="inlineStr">
        <is>
          <t>ALE</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51164-2024</t>
        </is>
      </c>
      <c r="B70" t="inlineStr">
        <is>
          <t>avverkningsanmälan</t>
        </is>
      </c>
      <c r="C70" t="inlineStr">
        <is>
          <t>Föryngringsavverkning</t>
        </is>
      </c>
      <c r="D70" s="1" t="n">
        <v>45603</v>
      </c>
      <c r="E70" s="1" t="n">
        <v>46229</v>
      </c>
      <c r="F70" t="inlineStr">
        <is>
          <t>VÄSTRA GÖTALANDS LÄN</t>
        </is>
      </c>
      <c r="G70" t="inlineStr">
        <is>
          <t>ALE</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55405-2021</t>
        </is>
      </c>
      <c r="B71" t="inlineStr">
        <is>
          <t>avverkningsanmälan</t>
        </is>
      </c>
      <c r="C71" t="inlineStr">
        <is>
          <t>Föryngringsavverkning</t>
        </is>
      </c>
      <c r="D71" s="1" t="n">
        <v>44475</v>
      </c>
      <c r="E71" s="1" t="n">
        <v>46229</v>
      </c>
      <c r="F71" t="inlineStr">
        <is>
          <t>VÄSTRA GÖTALANDS LÄN</t>
        </is>
      </c>
      <c r="G71" t="inlineStr">
        <is>
          <t>ALE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24642-2022</t>
        </is>
      </c>
      <c r="B72" t="inlineStr">
        <is>
          <t>avverkningsanmälan</t>
        </is>
      </c>
      <c r="C72" t="inlineStr">
        <is>
          <t>Föryngringsavverkning</t>
        </is>
      </c>
      <c r="D72" s="1" t="n">
        <v>44727</v>
      </c>
      <c r="E72" s="1" t="n">
        <v>46229</v>
      </c>
      <c r="F72" t="inlineStr">
        <is>
          <t>VÄSTRA GÖTALANDS LÄN</t>
        </is>
      </c>
      <c r="G72" t="inlineStr">
        <is>
          <t>ALE</t>
        </is>
      </c>
      <c r="I72" t="n">
        <v>10</v>
      </c>
      <c r="J72" t="n">
        <v>0</v>
      </c>
      <c r="K72" t="n">
        <v>0</v>
      </c>
      <c r="L72" t="n">
        <v>0</v>
      </c>
      <c r="M72" t="n">
        <v>0</v>
      </c>
      <c r="N72" t="n">
        <v>0</v>
      </c>
      <c r="O72" t="n">
        <v>0</v>
      </c>
      <c r="P72" t="n">
        <v>0</v>
      </c>
      <c r="Q72" t="n">
        <v>0</v>
      </c>
      <c r="R72" t="n">
        <v>0</v>
      </c>
      <c r="S72" t="n">
        <v>0</v>
      </c>
      <c r="T72" t="n">
        <v>0</v>
      </c>
      <c r="U72" t="n">
        <v>0</v>
      </c>
      <c r="V72" s="2" t="inlineStr"/>
    </row>
    <row r="73" ht="15" customHeight="1">
      <c r="A73" t="inlineStr">
        <is>
          <t>A 32762-2023</t>
        </is>
      </c>
      <c r="B73" t="inlineStr">
        <is>
          <t>avverkningsanmälan</t>
        </is>
      </c>
      <c r="C73" t="inlineStr">
        <is>
          <t>Föryngringsavverkning</t>
        </is>
      </c>
      <c r="D73" s="1" t="n">
        <v>45123</v>
      </c>
      <c r="E73" s="1" t="n">
        <v>46229</v>
      </c>
      <c r="F73" t="inlineStr">
        <is>
          <t>VÄSTRA GÖTALANDS LÄN</t>
        </is>
      </c>
      <c r="G73" t="inlineStr">
        <is>
          <t>ALE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56493-2021</t>
        </is>
      </c>
      <c r="B74" t="inlineStr">
        <is>
          <t>avverkningsanmälan</t>
        </is>
      </c>
      <c r="C74" t="inlineStr">
        <is>
          <t>Föryngringsavverkning</t>
        </is>
      </c>
      <c r="D74" s="1" t="n">
        <v>44480</v>
      </c>
      <c r="E74" s="1" t="n">
        <v>46229</v>
      </c>
      <c r="F74" t="inlineStr">
        <is>
          <t>VÄSTRA GÖTALANDS LÄN</t>
        </is>
      </c>
      <c r="G74" t="inlineStr">
        <is>
          <t>ALE</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51564-2023</t>
        </is>
      </c>
      <c r="B75" t="inlineStr">
        <is>
          <t>avverkningsanmälan</t>
        </is>
      </c>
      <c r="C75" t="inlineStr">
        <is>
          <t>Föryngringsavverkning</t>
        </is>
      </c>
      <c r="D75" s="1" t="n">
        <v>45222</v>
      </c>
      <c r="E75" s="1" t="n">
        <v>46229</v>
      </c>
      <c r="F75" t="inlineStr">
        <is>
          <t>VÄSTRA GÖTALANDS LÄN</t>
        </is>
      </c>
      <c r="G75" t="inlineStr">
        <is>
          <t>ALE</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26157-2023</t>
        </is>
      </c>
      <c r="B76" t="inlineStr">
        <is>
          <t>avverkningsanmälan</t>
        </is>
      </c>
      <c r="C76" t="inlineStr">
        <is>
          <t>Föryngringsavverkning</t>
        </is>
      </c>
      <c r="D76" s="1" t="n">
        <v>45091</v>
      </c>
      <c r="E76" s="1" t="n">
        <v>46229</v>
      </c>
      <c r="F76" t="inlineStr">
        <is>
          <t>VÄSTRA GÖTALANDS LÄN</t>
        </is>
      </c>
      <c r="G76" t="inlineStr">
        <is>
          <t>ALE</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47087-2023</t>
        </is>
      </c>
      <c r="B77" t="inlineStr">
        <is>
          <t>avverkningsanmälan</t>
        </is>
      </c>
      <c r="C77" t="inlineStr">
        <is>
          <t>Föryngringsavverkning</t>
        </is>
      </c>
      <c r="D77" s="1" t="n">
        <v>45196</v>
      </c>
      <c r="E77" s="1" t="n">
        <v>46229</v>
      </c>
      <c r="F77" t="inlineStr">
        <is>
          <t>VÄSTRA GÖTALANDS LÄN</t>
        </is>
      </c>
      <c r="G77" t="inlineStr">
        <is>
          <t>ALE</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49955-2021</t>
        </is>
      </c>
      <c r="B78" t="inlineStr">
        <is>
          <t>avverkningsanmälan</t>
        </is>
      </c>
      <c r="C78" t="inlineStr">
        <is>
          <t>Föryngringsavverkning</t>
        </is>
      </c>
      <c r="D78" s="1" t="n">
        <v>44456</v>
      </c>
      <c r="E78" s="1" t="n">
        <v>46229</v>
      </c>
      <c r="F78" t="inlineStr">
        <is>
          <t>VÄSTRA GÖTALANDS LÄN</t>
        </is>
      </c>
      <c r="G78" t="inlineStr">
        <is>
          <t>ALE</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5875-2023</t>
        </is>
      </c>
      <c r="B79" t="inlineStr">
        <is>
          <t>avverkningsanmälan</t>
        </is>
      </c>
      <c r="C79" t="inlineStr">
        <is>
          <t>Föryngringsavverkning</t>
        </is>
      </c>
      <c r="D79" s="1" t="n">
        <v>44963</v>
      </c>
      <c r="E79" s="1" t="n">
        <v>46229</v>
      </c>
      <c r="F79" t="inlineStr">
        <is>
          <t>VÄSTRA GÖTALANDS LÄN</t>
        </is>
      </c>
      <c r="G79" t="inlineStr">
        <is>
          <t>ALE</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64199-2021</t>
        </is>
      </c>
      <c r="B80" t="inlineStr">
        <is>
          <t>avverkningsanmälan</t>
        </is>
      </c>
      <c r="C80" t="inlineStr">
        <is>
          <t>Föryngringsavverkning</t>
        </is>
      </c>
      <c r="D80" s="1" t="n">
        <v>44510</v>
      </c>
      <c r="E80" s="1" t="n">
        <v>46229</v>
      </c>
      <c r="F80" t="inlineStr">
        <is>
          <t>VÄSTRA GÖTALANDS LÄN</t>
        </is>
      </c>
      <c r="G80" t="inlineStr">
        <is>
          <t>ALE</t>
        </is>
      </c>
      <c r="I80" t="n">
        <v>5.7</v>
      </c>
      <c r="J80" t="n">
        <v>0</v>
      </c>
      <c r="K80" t="n">
        <v>0</v>
      </c>
      <c r="L80" t="n">
        <v>0</v>
      </c>
      <c r="M80" t="n">
        <v>0</v>
      </c>
      <c r="N80" t="n">
        <v>0</v>
      </c>
      <c r="O80" t="n">
        <v>0</v>
      </c>
      <c r="P80" t="n">
        <v>0</v>
      </c>
      <c r="Q80" t="n">
        <v>0</v>
      </c>
      <c r="R80" t="n">
        <v>0</v>
      </c>
      <c r="S80" t="n">
        <v>0</v>
      </c>
      <c r="T80" t="n">
        <v>0</v>
      </c>
      <c r="U80" t="n">
        <v>0</v>
      </c>
      <c r="V80" s="2" t="inlineStr"/>
    </row>
    <row r="81" ht="15" customHeight="1">
      <c r="A81" t="inlineStr">
        <is>
          <t>A 67160-2021</t>
        </is>
      </c>
      <c r="B81" t="inlineStr">
        <is>
          <t>avverkningsanmälan</t>
        </is>
      </c>
      <c r="C81" t="inlineStr">
        <is>
          <t>Föryngringsavverkning</t>
        </is>
      </c>
      <c r="D81" s="1" t="n">
        <v>44523</v>
      </c>
      <c r="E81" s="1" t="n">
        <v>46229</v>
      </c>
      <c r="F81" t="inlineStr">
        <is>
          <t>VÄSTRA GÖTALANDS LÄN</t>
        </is>
      </c>
      <c r="G81" t="inlineStr">
        <is>
          <t>ALE</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46227-2025</t>
        </is>
      </c>
      <c r="B82" t="inlineStr">
        <is>
          <t>avverkningsanmälan</t>
        </is>
      </c>
      <c r="C82" t="inlineStr">
        <is>
          <t>Föryngringsavverkning</t>
        </is>
      </c>
      <c r="D82" s="1" t="n">
        <v>45924</v>
      </c>
      <c r="E82" s="1" t="n">
        <v>46229</v>
      </c>
      <c r="F82" t="inlineStr">
        <is>
          <t>VÄSTRA GÖTALANDS LÄN</t>
        </is>
      </c>
      <c r="G82" t="inlineStr">
        <is>
          <t>ALE</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40074-2025</t>
        </is>
      </c>
      <c r="B83" t="inlineStr">
        <is>
          <t>avverkningsanmälan</t>
        </is>
      </c>
      <c r="C83" t="inlineStr">
        <is>
          <t>Föryngringsavverkning</t>
        </is>
      </c>
      <c r="D83" s="1" t="n">
        <v>45894</v>
      </c>
      <c r="E83" s="1" t="n">
        <v>46229</v>
      </c>
      <c r="F83" t="inlineStr">
        <is>
          <t>VÄSTRA GÖTALANDS LÄN</t>
        </is>
      </c>
      <c r="G83" t="inlineStr">
        <is>
          <t>ALE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62828-2025</t>
        </is>
      </c>
      <c r="B84" t="inlineStr">
        <is>
          <t>avverkningsanmälan</t>
        </is>
      </c>
      <c r="C84" t="inlineStr">
        <is>
          <t>Föryngringsavverkning</t>
        </is>
      </c>
      <c r="D84" s="1" t="n">
        <v>46008</v>
      </c>
      <c r="E84" s="1" t="n">
        <v>46229</v>
      </c>
      <c r="F84" t="inlineStr">
        <is>
          <t>VÄSTRA GÖTALANDS LÄN</t>
        </is>
      </c>
      <c r="G84" t="inlineStr">
        <is>
          <t>ALE</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46229</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46229</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46229</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3520-2022</t>
        </is>
      </c>
      <c r="B88" t="inlineStr">
        <is>
          <t>avverkningsanmälan</t>
        </is>
      </c>
      <c r="C88" t="inlineStr">
        <is>
          <t>Föryngringsavverkning</t>
        </is>
      </c>
      <c r="D88" s="1" t="n">
        <v>44585</v>
      </c>
      <c r="E88" s="1" t="n">
        <v>46229</v>
      </c>
      <c r="F88" t="inlineStr">
        <is>
          <t>VÄSTRA GÖTALANDS LÄN</t>
        </is>
      </c>
      <c r="G88" t="inlineStr">
        <is>
          <t>ALE</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65226-2021</t>
        </is>
      </c>
      <c r="B89" t="inlineStr">
        <is>
          <t>avverkningsanmälan</t>
        </is>
      </c>
      <c r="C89" t="inlineStr">
        <is>
          <t>Föryngringsavverkning</t>
        </is>
      </c>
      <c r="D89" s="1" t="n">
        <v>44515</v>
      </c>
      <c r="E89" s="1" t="n">
        <v>46229</v>
      </c>
      <c r="F89" t="inlineStr">
        <is>
          <t>VÄSTRA GÖTALANDS LÄN</t>
        </is>
      </c>
      <c r="G89" t="inlineStr">
        <is>
          <t>ALE</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50189-2025</t>
        </is>
      </c>
      <c r="B90" t="inlineStr">
        <is>
          <t>avverkningsanmälan</t>
        </is>
      </c>
      <c r="C90" t="inlineStr">
        <is>
          <t>Föryngringsavverkning</t>
        </is>
      </c>
      <c r="D90" s="1" t="n">
        <v>45943</v>
      </c>
      <c r="E90" s="1" t="n">
        <v>46229</v>
      </c>
      <c r="F90" t="inlineStr">
        <is>
          <t>VÄSTRA GÖTALANDS LÄN</t>
        </is>
      </c>
      <c r="G90" t="inlineStr">
        <is>
          <t>ALE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25840-2025</t>
        </is>
      </c>
      <c r="B91" t="inlineStr">
        <is>
          <t>avverkningsanmälan</t>
        </is>
      </c>
      <c r="C91" t="inlineStr">
        <is>
          <t>Avverkning för annat ändamål</t>
        </is>
      </c>
      <c r="D91" s="1" t="n">
        <v>45804</v>
      </c>
      <c r="E91" s="1" t="n">
        <v>46229</v>
      </c>
      <c r="F91" t="inlineStr">
        <is>
          <t>VÄSTRA GÖTALANDS LÄN</t>
        </is>
      </c>
      <c r="G91" t="inlineStr">
        <is>
          <t>ALE</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50973-2025</t>
        </is>
      </c>
      <c r="B92" t="inlineStr">
        <is>
          <t>avverkningsanmälan</t>
        </is>
      </c>
      <c r="C92" t="inlineStr">
        <is>
          <t>Föryngringsavverkning</t>
        </is>
      </c>
      <c r="D92" s="1" t="n">
        <v>45947</v>
      </c>
      <c r="E92" s="1" t="n">
        <v>46229</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17044-2025</t>
        </is>
      </c>
      <c r="B93" t="inlineStr">
        <is>
          <t>avverkningsanmälan</t>
        </is>
      </c>
      <c r="C93" t="inlineStr">
        <is>
          <t>Föryngringsavverkning</t>
        </is>
      </c>
      <c r="D93" s="1" t="n">
        <v>45755</v>
      </c>
      <c r="E93" s="1" t="n">
        <v>46229</v>
      </c>
      <c r="F93" t="inlineStr">
        <is>
          <t>VÄSTRA GÖTALANDS LÄN</t>
        </is>
      </c>
      <c r="G93" t="inlineStr">
        <is>
          <t>ALE</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51976-2025</t>
        </is>
      </c>
      <c r="B94" t="inlineStr">
        <is>
          <t>avverkningsanmälan</t>
        </is>
      </c>
      <c r="C94" t="inlineStr">
        <is>
          <t>Föryngringsavverkning</t>
        </is>
      </c>
      <c r="D94" s="1" t="n">
        <v>45952</v>
      </c>
      <c r="E94" s="1" t="n">
        <v>46229</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55488-2022</t>
        </is>
      </c>
      <c r="B95" t="inlineStr">
        <is>
          <t>avverkningsanmälan</t>
        </is>
      </c>
      <c r="C95" t="inlineStr">
        <is>
          <t>Föryngringsavverkning</t>
        </is>
      </c>
      <c r="D95" s="1" t="n">
        <v>44887</v>
      </c>
      <c r="E95" s="1" t="n">
        <v>46229</v>
      </c>
      <c r="F95" t="inlineStr">
        <is>
          <t>VÄSTRA GÖTALANDS LÄN</t>
        </is>
      </c>
      <c r="G95" t="inlineStr">
        <is>
          <t>ALE</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36403-2024</t>
        </is>
      </c>
      <c r="B96" t="inlineStr">
        <is>
          <t>avverkningsanmälan</t>
        </is>
      </c>
      <c r="C96" t="inlineStr">
        <is>
          <t>Föryngringsavverkning</t>
        </is>
      </c>
      <c r="D96" s="1" t="n">
        <v>45535</v>
      </c>
      <c r="E96" s="1" t="n">
        <v>46229</v>
      </c>
      <c r="F96" t="inlineStr">
        <is>
          <t>VÄSTRA GÖTALANDS LÄN</t>
        </is>
      </c>
      <c r="G96" t="inlineStr">
        <is>
          <t>ALE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15582-2025</t>
        </is>
      </c>
      <c r="B97" t="inlineStr">
        <is>
          <t>avverkningsanmälan</t>
        </is>
      </c>
      <c r="C97" t="inlineStr">
        <is>
          <t>Föryngringsavverkning</t>
        </is>
      </c>
      <c r="D97" s="1" t="n">
        <v>45747</v>
      </c>
      <c r="E97" s="1" t="n">
        <v>46229</v>
      </c>
      <c r="F97" t="inlineStr">
        <is>
          <t>VÄSTRA GÖTALANDS LÄN</t>
        </is>
      </c>
      <c r="G97" t="inlineStr">
        <is>
          <t>ALE</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7892-2024</t>
        </is>
      </c>
      <c r="B98" t="inlineStr">
        <is>
          <t>avverkningsanmälan</t>
        </is>
      </c>
      <c r="C98" t="inlineStr">
        <is>
          <t>Föryngringsavverkning</t>
        </is>
      </c>
      <c r="D98" s="1" t="n">
        <v>45350</v>
      </c>
      <c r="E98" s="1" t="n">
        <v>46229</v>
      </c>
      <c r="F98" t="inlineStr">
        <is>
          <t>VÄSTRA GÖTALANDS LÄN</t>
        </is>
      </c>
      <c r="G98" t="inlineStr">
        <is>
          <t>ALE</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28023-2026</t>
        </is>
      </c>
      <c r="B99" t="inlineStr">
        <is>
          <t>avverkningsanmälan</t>
        </is>
      </c>
      <c r="C99" t="inlineStr">
        <is>
          <t>Föryngringsavverkning</t>
        </is>
      </c>
      <c r="D99" s="1" t="n">
        <v>46195</v>
      </c>
      <c r="E99" s="1" t="n">
        <v>46229</v>
      </c>
      <c r="F99" t="inlineStr">
        <is>
          <t>VÄSTRA GÖTALANDS LÄN</t>
        </is>
      </c>
      <c r="G99" t="inlineStr">
        <is>
          <t>ALE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56905-2025</t>
        </is>
      </c>
      <c r="B100" t="inlineStr">
        <is>
          <t>avverkningsanmälan</t>
        </is>
      </c>
      <c r="C100" t="inlineStr">
        <is>
          <t>Föryngringsavverkning</t>
        </is>
      </c>
      <c r="D100" s="1" t="n">
        <v>45978</v>
      </c>
      <c r="E100" s="1" t="n">
        <v>46229</v>
      </c>
      <c r="F100" t="inlineStr">
        <is>
          <t>VÄSTRA GÖTALANDS LÄN</t>
        </is>
      </c>
      <c r="G100" t="inlineStr">
        <is>
          <t>ALE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28028-2026</t>
        </is>
      </c>
      <c r="B101" t="inlineStr">
        <is>
          <t>avverkningsanmälan</t>
        </is>
      </c>
      <c r="C101" t="inlineStr">
        <is>
          <t>Föryngringsavverkning</t>
        </is>
      </c>
      <c r="D101" s="1" t="n">
        <v>46195</v>
      </c>
      <c r="E101" s="1" t="n">
        <v>46229</v>
      </c>
      <c r="F101" t="inlineStr">
        <is>
          <t>VÄSTRA GÖTALANDS LÄN</t>
        </is>
      </c>
      <c r="G101" t="inlineStr">
        <is>
          <t>ALE</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4444-2024</t>
        </is>
      </c>
      <c r="B102" t="inlineStr">
        <is>
          <t>avverkningsanmälan</t>
        </is>
      </c>
      <c r="C102" t="inlineStr">
        <is>
          <t>Föryngringsavverkning</t>
        </is>
      </c>
      <c r="D102" s="1" t="n">
        <v>45327</v>
      </c>
      <c r="E102" s="1" t="n">
        <v>46229</v>
      </c>
      <c r="F102" t="inlineStr">
        <is>
          <t>VÄSTRA GÖTALANDS LÄN</t>
        </is>
      </c>
      <c r="G102" t="inlineStr">
        <is>
          <t>ALE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72801-2021</t>
        </is>
      </c>
      <c r="B103" t="inlineStr">
        <is>
          <t>avverkningsanmälan</t>
        </is>
      </c>
      <c r="C103" t="inlineStr">
        <is>
          <t>Föryngringsavverkning</t>
        </is>
      </c>
      <c r="D103" s="1" t="n">
        <v>44546</v>
      </c>
      <c r="E103" s="1" t="n">
        <v>46229</v>
      </c>
      <c r="F103" t="inlineStr">
        <is>
          <t>VÄSTRA GÖTALANDS LÄN</t>
        </is>
      </c>
      <c r="G103" t="inlineStr">
        <is>
          <t>ALE</t>
        </is>
      </c>
      <c r="H103" t="inlineStr">
        <is>
          <t>Naturvårdsverket</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31407-2025</t>
        </is>
      </c>
      <c r="B104" t="inlineStr">
        <is>
          <t>avverkningsanmälan</t>
        </is>
      </c>
      <c r="C104" t="inlineStr">
        <is>
          <t>Föryngringsavverkning</t>
        </is>
      </c>
      <c r="D104" s="1" t="n">
        <v>45833</v>
      </c>
      <c r="E104" s="1" t="n">
        <v>46229</v>
      </c>
      <c r="F104" t="inlineStr">
        <is>
          <t>VÄSTRA GÖTALANDS LÄN</t>
        </is>
      </c>
      <c r="G104" t="inlineStr">
        <is>
          <t>ALE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59409-2025</t>
        </is>
      </c>
      <c r="B105" t="inlineStr">
        <is>
          <t>avverkningsanmälan</t>
        </is>
      </c>
      <c r="C105" t="inlineStr">
        <is>
          <t>Föryngringsavverkning</t>
        </is>
      </c>
      <c r="D105" s="1" t="n">
        <v>45989</v>
      </c>
      <c r="E105" s="1" t="n">
        <v>46229</v>
      </c>
      <c r="F105" t="inlineStr">
        <is>
          <t>VÄSTRA GÖTALANDS LÄN</t>
        </is>
      </c>
      <c r="G105" t="inlineStr">
        <is>
          <t>ALE</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26083-2023</t>
        </is>
      </c>
      <c r="B106" t="inlineStr">
        <is>
          <t>avverkningsanmälan</t>
        </is>
      </c>
      <c r="C106" t="inlineStr">
        <is>
          <t>Föryngringsavverkning</t>
        </is>
      </c>
      <c r="D106" s="1" t="n">
        <v>45091</v>
      </c>
      <c r="E106" s="1" t="n">
        <v>46229</v>
      </c>
      <c r="F106" t="inlineStr">
        <is>
          <t>VÄSTRA GÖTALANDS LÄN</t>
        </is>
      </c>
      <c r="G106" t="inlineStr">
        <is>
          <t>ALE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60287-2025</t>
        </is>
      </c>
      <c r="B107" t="inlineStr">
        <is>
          <t>avverkningsanmälan</t>
        </is>
      </c>
      <c r="C107" t="inlineStr">
        <is>
          <t>Föryngringsavverkning</t>
        </is>
      </c>
      <c r="D107" s="1" t="n">
        <v>45994</v>
      </c>
      <c r="E107" s="1" t="n">
        <v>46229</v>
      </c>
      <c r="F107" t="inlineStr">
        <is>
          <t>VÄSTRA GÖTALANDS LÄN</t>
        </is>
      </c>
      <c r="G107" t="inlineStr">
        <is>
          <t>ALE</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61771-2025</t>
        </is>
      </c>
      <c r="B108" t="inlineStr">
        <is>
          <t>avverkningsanmälan</t>
        </is>
      </c>
      <c r="C108" t="inlineStr">
        <is>
          <t>Föryngringsavverkning</t>
        </is>
      </c>
      <c r="D108" s="1" t="n">
        <v>46002</v>
      </c>
      <c r="E108" s="1" t="n">
        <v>46229</v>
      </c>
      <c r="F108" t="inlineStr">
        <is>
          <t>VÄSTRA GÖTALANDS LÄN</t>
        </is>
      </c>
      <c r="G108" t="inlineStr">
        <is>
          <t>ALE</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61744-2025</t>
        </is>
      </c>
      <c r="B109" t="inlineStr">
        <is>
          <t>avverkningsanmälan</t>
        </is>
      </c>
      <c r="C109" t="inlineStr">
        <is>
          <t>Föryngringsavverkning</t>
        </is>
      </c>
      <c r="D109" s="1" t="n">
        <v>46002</v>
      </c>
      <c r="E109" s="1" t="n">
        <v>46229</v>
      </c>
      <c r="F109" t="inlineStr">
        <is>
          <t>VÄSTRA GÖTALANDS LÄN</t>
        </is>
      </c>
      <c r="G109" t="inlineStr">
        <is>
          <t>ALE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22420-2026</t>
        </is>
      </c>
      <c r="B110" t="inlineStr">
        <is>
          <t>avverkningsanmälan</t>
        </is>
      </c>
      <c r="C110" t="inlineStr">
        <is>
          <t>Föryngringsavverkning</t>
        </is>
      </c>
      <c r="D110" s="1" t="n">
        <v>46154</v>
      </c>
      <c r="E110" s="1" t="n">
        <v>46229</v>
      </c>
      <c r="F110" t="inlineStr">
        <is>
          <t>VÄSTRA GÖTALANDS LÄN</t>
        </is>
      </c>
      <c r="G110" t="inlineStr">
        <is>
          <t>ALE</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16344-2023</t>
        </is>
      </c>
      <c r="B111" t="inlineStr">
        <is>
          <t>avverkningsanmälan</t>
        </is>
      </c>
      <c r="C111" t="inlineStr">
        <is>
          <t>Föryngringsavverkning</t>
        </is>
      </c>
      <c r="D111" s="1" t="n">
        <v>45028</v>
      </c>
      <c r="E111" s="1" t="n">
        <v>46229</v>
      </c>
      <c r="F111" t="inlineStr">
        <is>
          <t>VÄSTRA GÖTALANDS LÄN</t>
        </is>
      </c>
      <c r="G111" t="inlineStr">
        <is>
          <t>ALE</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45988-2021</t>
        </is>
      </c>
      <c r="B112" t="inlineStr">
        <is>
          <t>avverkningsanmälan</t>
        </is>
      </c>
      <c r="C112" t="inlineStr">
        <is>
          <t>Föryngringsavverkning</t>
        </is>
      </c>
      <c r="D112" s="1" t="n">
        <v>44441</v>
      </c>
      <c r="E112" s="1" t="n">
        <v>46229</v>
      </c>
      <c r="F112" t="inlineStr">
        <is>
          <t>VÄSTRA GÖTALANDS LÄN</t>
        </is>
      </c>
      <c r="G112" t="inlineStr">
        <is>
          <t>ALE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20067-2023</t>
        </is>
      </c>
      <c r="B113" t="inlineStr">
        <is>
          <t>avverkningsanmälan</t>
        </is>
      </c>
      <c r="C113" t="inlineStr">
        <is>
          <t>Föryngringsavverkning</t>
        </is>
      </c>
      <c r="D113" s="1" t="n">
        <v>45054</v>
      </c>
      <c r="E113" s="1" t="n">
        <v>46229</v>
      </c>
      <c r="F113" t="inlineStr">
        <is>
          <t>VÄSTRA GÖTALANDS LÄN</t>
        </is>
      </c>
      <c r="G113" t="inlineStr">
        <is>
          <t>ALE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2414-2026</t>
        </is>
      </c>
      <c r="B114" t="inlineStr">
        <is>
          <t>avverkningsanmälan</t>
        </is>
      </c>
      <c r="C114" t="inlineStr">
        <is>
          <t>Föryngringsavverkning</t>
        </is>
      </c>
      <c r="D114" s="1" t="n">
        <v>46036</v>
      </c>
      <c r="E114" s="1" t="n">
        <v>46229</v>
      </c>
      <c r="F114" t="inlineStr">
        <is>
          <t>VÄSTRA GÖTALANDS LÄN</t>
        </is>
      </c>
      <c r="G114" t="inlineStr">
        <is>
          <t>ALE</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48257-2022</t>
        </is>
      </c>
      <c r="B115" t="inlineStr">
        <is>
          <t>avverkningsanmälan</t>
        </is>
      </c>
      <c r="C115" t="inlineStr">
        <is>
          <t>Föryngringsavverkning</t>
        </is>
      </c>
      <c r="D115" s="1" t="n">
        <v>44858</v>
      </c>
      <c r="E115" s="1" t="n">
        <v>46229</v>
      </c>
      <c r="F115" t="inlineStr">
        <is>
          <t>VÄSTRA GÖTALANDS LÄN</t>
        </is>
      </c>
      <c r="G115" t="inlineStr">
        <is>
          <t>ALE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41309-2024</t>
        </is>
      </c>
      <c r="B116" t="inlineStr">
        <is>
          <t>avverkningsanmälan</t>
        </is>
      </c>
      <c r="C116" t="inlineStr">
        <is>
          <t>Föryngringsavverkning</t>
        </is>
      </c>
      <c r="D116" s="1" t="n">
        <v>45559</v>
      </c>
      <c r="E116" s="1" t="n">
        <v>46229</v>
      </c>
      <c r="F116" t="inlineStr">
        <is>
          <t>VÄSTRA GÖTALANDS LÄN</t>
        </is>
      </c>
      <c r="G116" t="inlineStr">
        <is>
          <t>ALE</t>
        </is>
      </c>
      <c r="I116" t="n">
        <v>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6621-2026</t>
        </is>
      </c>
      <c r="B117" t="inlineStr">
        <is>
          <t>avverkningsanmälan</t>
        </is>
      </c>
      <c r="C117" t="inlineStr">
        <is>
          <t>Föryngringsavverkning</t>
        </is>
      </c>
      <c r="D117" s="1" t="n">
        <v>46056</v>
      </c>
      <c r="E117" s="1" t="n">
        <v>46229</v>
      </c>
      <c r="F117" t="inlineStr">
        <is>
          <t>VÄSTRA GÖTALANDS LÄN</t>
        </is>
      </c>
      <c r="G117" t="inlineStr">
        <is>
          <t>ALE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7296-2026</t>
        </is>
      </c>
      <c r="B118" t="inlineStr">
        <is>
          <t>avverkningsanmälan</t>
        </is>
      </c>
      <c r="C118" t="inlineStr">
        <is>
          <t>Föryngringsavverkning</t>
        </is>
      </c>
      <c r="D118" s="1" t="n">
        <v>46058</v>
      </c>
      <c r="E118" s="1" t="n">
        <v>46229</v>
      </c>
      <c r="F118" t="inlineStr">
        <is>
          <t>VÄSTRA GÖTALANDS LÄN</t>
        </is>
      </c>
      <c r="G118" t="inlineStr">
        <is>
          <t>ALE</t>
        </is>
      </c>
      <c r="I118" t="n">
        <v>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8112-2026</t>
        </is>
      </c>
      <c r="B119" t="inlineStr">
        <is>
          <t>avverkningsanmälan</t>
        </is>
      </c>
      <c r="C119" t="inlineStr">
        <is>
          <t>Föryngringsavverkning</t>
        </is>
      </c>
      <c r="D119" s="1" t="n">
        <v>46062</v>
      </c>
      <c r="E119" s="1" t="n">
        <v>46229</v>
      </c>
      <c r="F119" t="inlineStr">
        <is>
          <t>VÄSTRA GÖTALANDS LÄN</t>
        </is>
      </c>
      <c r="G119" t="inlineStr">
        <is>
          <t>ALE</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8111-2026</t>
        </is>
      </c>
      <c r="B120" t="inlineStr">
        <is>
          <t>avverkningsanmälan</t>
        </is>
      </c>
      <c r="C120" t="inlineStr">
        <is>
          <t>Föryngringsavverkning</t>
        </is>
      </c>
      <c r="D120" s="1" t="n">
        <v>46062</v>
      </c>
      <c r="E120" s="1" t="n">
        <v>46229</v>
      </c>
      <c r="F120" t="inlineStr">
        <is>
          <t>VÄSTRA GÖTALANDS LÄN</t>
        </is>
      </c>
      <c r="G120" t="inlineStr">
        <is>
          <t>ALE</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7807-2023</t>
        </is>
      </c>
      <c r="B121" t="inlineStr">
        <is>
          <t>avverkningsanmälan</t>
        </is>
      </c>
      <c r="C121" t="inlineStr">
        <is>
          <t>Föryngringsavverkning</t>
        </is>
      </c>
      <c r="D121" s="1" t="n">
        <v>44973</v>
      </c>
      <c r="E121" s="1" t="n">
        <v>46229</v>
      </c>
      <c r="F121" t="inlineStr">
        <is>
          <t>VÄSTRA GÖTALANDS LÄN</t>
        </is>
      </c>
      <c r="G121" t="inlineStr">
        <is>
          <t>ALE</t>
        </is>
      </c>
      <c r="I121" t="n">
        <v>10.5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8110-2026</t>
        </is>
      </c>
      <c r="B122" t="inlineStr">
        <is>
          <t>avverkningsanmälan</t>
        </is>
      </c>
      <c r="C122" t="inlineStr">
        <is>
          <t>Föryngringsavverkning</t>
        </is>
      </c>
      <c r="D122" s="1" t="n">
        <v>46062</v>
      </c>
      <c r="E122" s="1" t="n">
        <v>46229</v>
      </c>
      <c r="F122" t="inlineStr">
        <is>
          <t>VÄSTRA GÖTALANDS LÄN</t>
        </is>
      </c>
      <c r="G122" t="inlineStr">
        <is>
          <t>ALE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10459-2026</t>
        </is>
      </c>
      <c r="B123" t="inlineStr">
        <is>
          <t>avverkningsanmälan</t>
        </is>
      </c>
      <c r="C123" t="inlineStr">
        <is>
          <t>Föryngringsavverkning</t>
        </is>
      </c>
      <c r="D123" s="1" t="n">
        <v>46077</v>
      </c>
      <c r="E123" s="1" t="n">
        <v>46229</v>
      </c>
      <c r="F123" t="inlineStr">
        <is>
          <t>VÄSTRA GÖTALANDS LÄN</t>
        </is>
      </c>
      <c r="G123" t="inlineStr">
        <is>
          <t>ALE</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35959-2022</t>
        </is>
      </c>
      <c r="B124" t="inlineStr">
        <is>
          <t>avverkningsanmälan</t>
        </is>
      </c>
      <c r="C124" t="inlineStr">
        <is>
          <t>Föryngringsavverkning</t>
        </is>
      </c>
      <c r="D124" s="1" t="n">
        <v>44802</v>
      </c>
      <c r="E124" s="1" t="n">
        <v>46229</v>
      </c>
      <c r="F124" t="inlineStr">
        <is>
          <t>VÄSTRA GÖTALANDS LÄN</t>
        </is>
      </c>
      <c r="G124" t="inlineStr">
        <is>
          <t>ALE</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1500-2024</t>
        </is>
      </c>
      <c r="B125" t="inlineStr">
        <is>
          <t>avverkningsanmälan</t>
        </is>
      </c>
      <c r="C125" t="inlineStr">
        <is>
          <t>Föryngringsavverkning</t>
        </is>
      </c>
      <c r="D125" s="1" t="n">
        <v>45306</v>
      </c>
      <c r="E125" s="1" t="n">
        <v>46229</v>
      </c>
      <c r="F125" t="inlineStr">
        <is>
          <t>VÄSTRA GÖTALANDS LÄN</t>
        </is>
      </c>
      <c r="G125" t="inlineStr">
        <is>
          <t>ALE</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1687-2024</t>
        </is>
      </c>
      <c r="B126" t="inlineStr">
        <is>
          <t>avverkningsanmälan</t>
        </is>
      </c>
      <c r="C126" t="inlineStr">
        <is>
          <t>Föryngringsavverkning</t>
        </is>
      </c>
      <c r="D126" s="1" t="n">
        <v>45306</v>
      </c>
      <c r="E126" s="1" t="n">
        <v>46229</v>
      </c>
      <c r="F126" t="inlineStr">
        <is>
          <t>VÄSTRA GÖTALANDS LÄN</t>
        </is>
      </c>
      <c r="G126" t="inlineStr">
        <is>
          <t>ALE</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17199-2026</t>
        </is>
      </c>
      <c r="B127" t="inlineStr">
        <is>
          <t>avverkningsanmälan</t>
        </is>
      </c>
      <c r="C127" t="inlineStr">
        <is>
          <t>Föryngringsavverkning</t>
        </is>
      </c>
      <c r="D127" s="1" t="n">
        <v>46118</v>
      </c>
      <c r="E127" s="1" t="n">
        <v>46229</v>
      </c>
      <c r="F127" t="inlineStr">
        <is>
          <t>VÄSTRA GÖTALANDS LÄN</t>
        </is>
      </c>
      <c r="G127" t="inlineStr">
        <is>
          <t>ALE</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47728-2025</t>
        </is>
      </c>
      <c r="B128" t="inlineStr">
        <is>
          <t>avverkningsanmälan</t>
        </is>
      </c>
      <c r="C128" t="inlineStr">
        <is>
          <t>Föryngringsavverkning</t>
        </is>
      </c>
      <c r="D128" s="1" t="n">
        <v>45931</v>
      </c>
      <c r="E128" s="1" t="n">
        <v>46229</v>
      </c>
      <c r="F128" t="inlineStr">
        <is>
          <t>VÄSTRA GÖTALANDS LÄN</t>
        </is>
      </c>
      <c r="G128" t="inlineStr">
        <is>
          <t>ALE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14458-2024</t>
        </is>
      </c>
      <c r="B129" t="inlineStr">
        <is>
          <t>avverkningsanmälan</t>
        </is>
      </c>
      <c r="C129" t="inlineStr">
        <is>
          <t>Avverkning för annat ändamål</t>
        </is>
      </c>
      <c r="D129" s="1" t="n">
        <v>45394</v>
      </c>
      <c r="E129" s="1" t="n">
        <v>46229</v>
      </c>
      <c r="F129" t="inlineStr">
        <is>
          <t>VÄSTRA GÖTALANDS LÄN</t>
        </is>
      </c>
      <c r="G129" t="inlineStr">
        <is>
          <t>ALE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19613-2026</t>
        </is>
      </c>
      <c r="B130" t="inlineStr">
        <is>
          <t>avverkningsanmälan</t>
        </is>
      </c>
      <c r="C130" t="inlineStr">
        <is>
          <t>Föryngringsavverkning</t>
        </is>
      </c>
      <c r="D130" s="1" t="n">
        <v>46134</v>
      </c>
      <c r="E130" s="1" t="n">
        <v>46229</v>
      </c>
      <c r="F130" t="inlineStr">
        <is>
          <t>VÄSTRA GÖTALANDS LÄN</t>
        </is>
      </c>
      <c r="G130" t="inlineStr">
        <is>
          <t>ALE</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42446-2023</t>
        </is>
      </c>
      <c r="B131" t="inlineStr">
        <is>
          <t>avverkningsanmälan</t>
        </is>
      </c>
      <c r="C131" t="inlineStr">
        <is>
          <t>Föryngringsavverkning</t>
        </is>
      </c>
      <c r="D131" s="1" t="n">
        <v>45180</v>
      </c>
      <c r="E131" s="1" t="n">
        <v>46229</v>
      </c>
      <c r="F131" t="inlineStr">
        <is>
          <t>VÄSTRA GÖTALANDS LÄN</t>
        </is>
      </c>
      <c r="G131" t="inlineStr">
        <is>
          <t>ALE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12055-2022</t>
        </is>
      </c>
      <c r="B132" t="inlineStr">
        <is>
          <t>avverkningsanmälan</t>
        </is>
      </c>
      <c r="C132" t="inlineStr">
        <is>
          <t>Avverkning för annat ändamål</t>
        </is>
      </c>
      <c r="D132" s="1" t="n">
        <v>44636</v>
      </c>
      <c r="E132" s="1" t="n">
        <v>46229</v>
      </c>
      <c r="F132" t="inlineStr">
        <is>
          <t>VÄSTRA GÖTALANDS LÄN</t>
        </is>
      </c>
      <c r="G132" t="inlineStr">
        <is>
          <t>ALE</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36763-2022</t>
        </is>
      </c>
      <c r="B133" t="inlineStr">
        <is>
          <t>avverkningsanmälan</t>
        </is>
      </c>
      <c r="C133" t="inlineStr">
        <is>
          <t>Föryngringsavverkning</t>
        </is>
      </c>
      <c r="D133" s="1" t="n">
        <v>44805</v>
      </c>
      <c r="E133" s="1" t="n">
        <v>46229</v>
      </c>
      <c r="F133" t="inlineStr">
        <is>
          <t>VÄSTRA GÖTALANDS LÄN</t>
        </is>
      </c>
      <c r="G133" t="inlineStr">
        <is>
          <t>ALE</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3407-2023</t>
        </is>
      </c>
      <c r="B134" t="inlineStr">
        <is>
          <t>avverkningsanmälan</t>
        </is>
      </c>
      <c r="C134" t="inlineStr">
        <is>
          <t>Föryngringsavverkning</t>
        </is>
      </c>
      <c r="D134" s="1" t="n">
        <v>44949</v>
      </c>
      <c r="E134" s="1" t="n">
        <v>46229</v>
      </c>
      <c r="F134" t="inlineStr">
        <is>
          <t>VÄSTRA GÖTALANDS LÄN</t>
        </is>
      </c>
      <c r="G134" t="inlineStr">
        <is>
          <t>ALE</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15241-2025</t>
        </is>
      </c>
      <c r="B135" t="inlineStr">
        <is>
          <t>avverkningsanmälan</t>
        </is>
      </c>
      <c r="C135" t="inlineStr">
        <is>
          <t>Föryngringsavverkning</t>
        </is>
      </c>
      <c r="D135" s="1" t="n">
        <v>45744</v>
      </c>
      <c r="E135" s="1" t="n">
        <v>46229</v>
      </c>
      <c r="F135" t="inlineStr">
        <is>
          <t>VÄSTRA GÖTALANDS LÄN</t>
        </is>
      </c>
      <c r="G135" t="inlineStr">
        <is>
          <t>ALE</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49680-2024</t>
        </is>
      </c>
      <c r="B136" t="inlineStr">
        <is>
          <t>avverkningsanmälan</t>
        </is>
      </c>
      <c r="C136" t="inlineStr">
        <is>
          <t>Föryngringsavverkning</t>
        </is>
      </c>
      <c r="D136" s="1" t="n">
        <v>45596</v>
      </c>
      <c r="E136" s="1" t="n">
        <v>46229</v>
      </c>
      <c r="F136" t="inlineStr">
        <is>
          <t>VÄSTRA GÖTALANDS LÄN</t>
        </is>
      </c>
      <c r="G136" t="inlineStr">
        <is>
          <t>ALE</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34153-2024</t>
        </is>
      </c>
      <c r="B137" t="inlineStr">
        <is>
          <t>avverkningsanmälan</t>
        </is>
      </c>
      <c r="C137" t="inlineStr">
        <is>
          <t>Föryngringsavverkning</t>
        </is>
      </c>
      <c r="D137" s="1" t="n">
        <v>45524</v>
      </c>
      <c r="E137" s="1" t="n">
        <v>46229</v>
      </c>
      <c r="F137" t="inlineStr">
        <is>
          <t>VÄSTRA GÖTALANDS LÄN</t>
        </is>
      </c>
      <c r="G137" t="inlineStr">
        <is>
          <t>ALE</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14731-2022</t>
        </is>
      </c>
      <c r="B138" t="inlineStr">
        <is>
          <t>avverkningsanmälan</t>
        </is>
      </c>
      <c r="C138" t="inlineStr">
        <is>
          <t>Föryngringsavverkning</t>
        </is>
      </c>
      <c r="D138" s="1" t="n">
        <v>44656</v>
      </c>
      <c r="E138" s="1" t="n">
        <v>46229</v>
      </c>
      <c r="F138" t="inlineStr">
        <is>
          <t>VÄSTRA GÖTALANDS LÄN</t>
        </is>
      </c>
      <c r="G138" t="inlineStr">
        <is>
          <t>ALE</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4642-2024</t>
        </is>
      </c>
      <c r="B139" t="inlineStr">
        <is>
          <t>avverkningsanmälan</t>
        </is>
      </c>
      <c r="C139" t="inlineStr">
        <is>
          <t>Föryngringsavverkning</t>
        </is>
      </c>
      <c r="D139" s="1" t="n">
        <v>45328</v>
      </c>
      <c r="E139" s="1" t="n">
        <v>46229</v>
      </c>
      <c r="F139" t="inlineStr">
        <is>
          <t>VÄSTRA GÖTALANDS LÄN</t>
        </is>
      </c>
      <c r="G139" t="inlineStr">
        <is>
          <t>ALE</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5916-2023</t>
        </is>
      </c>
      <c r="B140" t="inlineStr">
        <is>
          <t>avverkningsanmälan</t>
        </is>
      </c>
      <c r="C140" t="inlineStr">
        <is>
          <t>Föryngringsavverkning</t>
        </is>
      </c>
      <c r="D140" s="1" t="n">
        <v>44963</v>
      </c>
      <c r="E140" s="1" t="n">
        <v>46229</v>
      </c>
      <c r="F140" t="inlineStr">
        <is>
          <t>VÄSTRA GÖTALANDS LÄN</t>
        </is>
      </c>
      <c r="G140" t="inlineStr">
        <is>
          <t>ALE</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3457-2022</t>
        </is>
      </c>
      <c r="B141" t="inlineStr">
        <is>
          <t>avverkningsanmälan</t>
        </is>
      </c>
      <c r="C141" t="inlineStr">
        <is>
          <t>Föryngringsavverkning</t>
        </is>
      </c>
      <c r="D141" s="1" t="n">
        <v>44585</v>
      </c>
      <c r="E141" s="1" t="n">
        <v>46229</v>
      </c>
      <c r="F141" t="inlineStr">
        <is>
          <t>VÄSTRA GÖTALANDS LÄN</t>
        </is>
      </c>
      <c r="G141" t="inlineStr">
        <is>
          <t>ALE</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4971-2024</t>
        </is>
      </c>
      <c r="B142" t="inlineStr">
        <is>
          <t>avverkningsanmälan</t>
        </is>
      </c>
      <c r="C142" t="inlineStr">
        <is>
          <t>Föryngringsavverkning</t>
        </is>
      </c>
      <c r="D142" s="1" t="n">
        <v>45329</v>
      </c>
      <c r="E142" s="1" t="n">
        <v>46229</v>
      </c>
      <c r="F142" t="inlineStr">
        <is>
          <t>VÄSTRA GÖTALANDS LÄN</t>
        </is>
      </c>
      <c r="G142" t="inlineStr">
        <is>
          <t>ALE</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22946-2025</t>
        </is>
      </c>
      <c r="B143" t="inlineStr">
        <is>
          <t>avverkningsanmälan</t>
        </is>
      </c>
      <c r="C143" t="inlineStr">
        <is>
          <t>Föryngringsavverkning</t>
        </is>
      </c>
      <c r="D143" s="1" t="n">
        <v>45790</v>
      </c>
      <c r="E143" s="1" t="n">
        <v>46229</v>
      </c>
      <c r="F143" t="inlineStr">
        <is>
          <t>VÄSTRA GÖTALANDS LÄN</t>
        </is>
      </c>
      <c r="G143" t="inlineStr">
        <is>
          <t>ALE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18637-2023</t>
        </is>
      </c>
      <c r="B144" t="inlineStr">
        <is>
          <t>avverkningsanmälan</t>
        </is>
      </c>
      <c r="C144" t="inlineStr">
        <is>
          <t>Föryngringsavverkning</t>
        </is>
      </c>
      <c r="D144" s="1" t="n">
        <v>45043</v>
      </c>
      <c r="E144" s="1" t="n">
        <v>46229</v>
      </c>
      <c r="F144" t="inlineStr">
        <is>
          <t>VÄSTRA GÖTALANDS LÄN</t>
        </is>
      </c>
      <c r="G144" t="inlineStr">
        <is>
          <t>ALE</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59933-2023</t>
        </is>
      </c>
      <c r="B145" t="inlineStr">
        <is>
          <t>avverkningsanmälan</t>
        </is>
      </c>
      <c r="C145" t="inlineStr">
        <is>
          <t>Föryngringsavverkning</t>
        </is>
      </c>
      <c r="D145" s="1" t="n">
        <v>45257</v>
      </c>
      <c r="E145" s="1" t="n">
        <v>46229</v>
      </c>
      <c r="F145" t="inlineStr">
        <is>
          <t>VÄSTRA GÖTALANDS LÄN</t>
        </is>
      </c>
      <c r="G145" t="inlineStr">
        <is>
          <t>ALE</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13903-2025</t>
        </is>
      </c>
      <c r="B146" t="inlineStr">
        <is>
          <t>avverkningsanmälan</t>
        </is>
      </c>
      <c r="C146" t="inlineStr">
        <is>
          <t>Föryngringsavverkning</t>
        </is>
      </c>
      <c r="D146" s="1" t="n">
        <v>45737</v>
      </c>
      <c r="E146" s="1" t="n">
        <v>46229</v>
      </c>
      <c r="F146" t="inlineStr">
        <is>
          <t>VÄSTRA GÖTALANDS LÄN</t>
        </is>
      </c>
      <c r="G146" t="inlineStr">
        <is>
          <t>ALE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31409-2025</t>
        </is>
      </c>
      <c r="B147" t="inlineStr">
        <is>
          <t>avverkningsanmälan</t>
        </is>
      </c>
      <c r="C147" t="inlineStr">
        <is>
          <t>Föryngringsavverkning</t>
        </is>
      </c>
      <c r="D147" s="1" t="n">
        <v>45833</v>
      </c>
      <c r="E147" s="1" t="n">
        <v>46229</v>
      </c>
      <c r="F147" t="inlineStr">
        <is>
          <t>VÄSTRA GÖTALANDS LÄN</t>
        </is>
      </c>
      <c r="G147" t="inlineStr">
        <is>
          <t>ALE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31488-2025</t>
        </is>
      </c>
      <c r="B148" t="inlineStr">
        <is>
          <t>avverkningsanmälan</t>
        </is>
      </c>
      <c r="C148" t="inlineStr">
        <is>
          <t>Föryngringsavverkning</t>
        </is>
      </c>
      <c r="D148" s="1" t="n">
        <v>45833</v>
      </c>
      <c r="E148" s="1" t="n">
        <v>46229</v>
      </c>
      <c r="F148" t="inlineStr">
        <is>
          <t>VÄSTRA GÖTALANDS LÄN</t>
        </is>
      </c>
      <c r="G148" t="inlineStr">
        <is>
          <t>ALE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31533-2025</t>
        </is>
      </c>
      <c r="B149" t="inlineStr">
        <is>
          <t>avverkningsanmälan</t>
        </is>
      </c>
      <c r="C149" t="inlineStr">
        <is>
          <t>Föryngringsavverkning</t>
        </is>
      </c>
      <c r="D149" s="1" t="n">
        <v>45833</v>
      </c>
      <c r="E149" s="1" t="n">
        <v>46229</v>
      </c>
      <c r="F149" t="inlineStr">
        <is>
          <t>VÄSTRA GÖTALANDS LÄN</t>
        </is>
      </c>
      <c r="G149" t="inlineStr">
        <is>
          <t>ALE</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46229</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46229</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46229</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2026-07-26T01:50:36Z</dcterms:created>
  <dcterms:modified xmlns:dcterms="http://purl.org/dc/terms/" xmlns:xsi="http://www.w3.org/2001/XMLSchema-instance" xsi:type="dcterms:W3CDTF">2026-07-26T01:50:36Z</dcterms:modified>
</cp:coreProperties>
</file>