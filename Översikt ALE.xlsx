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46082</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46082</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46082</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46082</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46082</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46082</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46082</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46082</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46082</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46082</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46082</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46082</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46082</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46082</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46082</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60293-2025</t>
        </is>
      </c>
      <c r="B18" s="1" t="n">
        <v>45994.65568287037</v>
      </c>
      <c r="C18" s="1" t="n">
        <v>46082</v>
      </c>
      <c r="D18" t="inlineStr">
        <is>
          <t>VÄSTRA GÖTALANDS LÄN</t>
        </is>
      </c>
      <c r="E18" t="inlineStr">
        <is>
          <t>ALE</t>
        </is>
      </c>
      <c r="G18" t="n">
        <v>1.9</v>
      </c>
      <c r="H18" t="n">
        <v>2</v>
      </c>
      <c r="I18" t="n">
        <v>2</v>
      </c>
      <c r="J18" t="n">
        <v>2</v>
      </c>
      <c r="K18" t="n">
        <v>0</v>
      </c>
      <c r="L18" t="n">
        <v>0</v>
      </c>
      <c r="M18" t="n">
        <v>0</v>
      </c>
      <c r="N18" t="n">
        <v>0</v>
      </c>
      <c r="O18" t="n">
        <v>2</v>
      </c>
      <c r="P18" t="n">
        <v>0</v>
      </c>
      <c r="Q18" t="n">
        <v>4</v>
      </c>
      <c r="R18" s="2" t="inlineStr">
        <is>
          <t>Entita
Rödvingetrast
Björksplintborre
Gulnål</t>
        </is>
      </c>
      <c r="S18">
        <f>HYPERLINK("https://klasma.github.io/Logging_1440/artfynd/A 60293-2025 artfynd.xlsx", "A 60293-2025")</f>
        <v/>
      </c>
      <c r="T18">
        <f>HYPERLINK("https://klasma.github.io/Logging_1440/kartor/A 60293-2025 karta.png", "A 60293-2025")</f>
        <v/>
      </c>
      <c r="V18">
        <f>HYPERLINK("https://klasma.github.io/Logging_1440/klagomål/A 60293-2025 FSC-klagomål.docx", "A 60293-2025")</f>
        <v/>
      </c>
      <c r="W18">
        <f>HYPERLINK("https://klasma.github.io/Logging_1440/klagomålsmail/A 60293-2025 FSC-klagomål mail.docx", "A 60293-2025")</f>
        <v/>
      </c>
      <c r="X18">
        <f>HYPERLINK("https://klasma.github.io/Logging_1440/tillsyn/A 60293-2025 tillsynsbegäran.docx", "A 60293-2025")</f>
        <v/>
      </c>
      <c r="Y18">
        <f>HYPERLINK("https://klasma.github.io/Logging_1440/tillsynsmail/A 60293-2025 tillsynsbegäran mail.docx", "A 60293-2025")</f>
        <v/>
      </c>
      <c r="Z18">
        <f>HYPERLINK("https://klasma.github.io/Logging_1440/fåglar/A 60293-2025 prioriterade fågelarter.docx", "A 60293-2025")</f>
        <v/>
      </c>
    </row>
    <row r="19" ht="15" customHeight="1">
      <c r="A19" t="inlineStr">
        <is>
          <t>A 63575-2023</t>
        </is>
      </c>
      <c r="B19" s="1" t="n">
        <v>45275.39715277778</v>
      </c>
      <c r="C19" s="1" t="n">
        <v>46082</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58954-2022</t>
        </is>
      </c>
      <c r="B20" s="1" t="n">
        <v>44903</v>
      </c>
      <c r="C20" s="1" t="n">
        <v>46082</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2270-2025</t>
        </is>
      </c>
      <c r="B21" s="1" t="n">
        <v>45673.54403935185</v>
      </c>
      <c r="C21" s="1" t="n">
        <v>46082</v>
      </c>
      <c r="D21" t="inlineStr">
        <is>
          <t>VÄSTRA GÖTALANDS LÄN</t>
        </is>
      </c>
      <c r="E21" t="inlineStr">
        <is>
          <t>ALE</t>
        </is>
      </c>
      <c r="G21" t="n">
        <v>4.1</v>
      </c>
      <c r="H21" t="n">
        <v>2</v>
      </c>
      <c r="I21" t="n">
        <v>0</v>
      </c>
      <c r="J21" t="n">
        <v>1</v>
      </c>
      <c r="K21" t="n">
        <v>0</v>
      </c>
      <c r="L21" t="n">
        <v>0</v>
      </c>
      <c r="M21" t="n">
        <v>0</v>
      </c>
      <c r="N21" t="n">
        <v>0</v>
      </c>
      <c r="O21" t="n">
        <v>1</v>
      </c>
      <c r="P21" t="n">
        <v>0</v>
      </c>
      <c r="Q21" t="n">
        <v>2</v>
      </c>
      <c r="R21" s="2" t="inlineStr">
        <is>
          <t>Spillkråka
Revlummer</t>
        </is>
      </c>
      <c r="S21">
        <f>HYPERLINK("https://klasma.github.io/Logging_1440/artfynd/A 2270-2025 artfynd.xlsx", "A 2270-2025")</f>
        <v/>
      </c>
      <c r="T21">
        <f>HYPERLINK("https://klasma.github.io/Logging_1440/kartor/A 2270-2025 karta.png", "A 2270-2025")</f>
        <v/>
      </c>
      <c r="V21">
        <f>HYPERLINK("https://klasma.github.io/Logging_1440/klagomål/A 2270-2025 FSC-klagomål.docx", "A 2270-2025")</f>
        <v/>
      </c>
      <c r="W21">
        <f>HYPERLINK("https://klasma.github.io/Logging_1440/klagomålsmail/A 2270-2025 FSC-klagomål mail.docx", "A 2270-2025")</f>
        <v/>
      </c>
      <c r="X21">
        <f>HYPERLINK("https://klasma.github.io/Logging_1440/tillsyn/A 2270-2025 tillsynsbegäran.docx", "A 2270-2025")</f>
        <v/>
      </c>
      <c r="Y21">
        <f>HYPERLINK("https://klasma.github.io/Logging_1440/tillsynsmail/A 2270-2025 tillsynsbegäran mail.docx", "A 2270-2025")</f>
        <v/>
      </c>
      <c r="Z21">
        <f>HYPERLINK("https://klasma.github.io/Logging_1440/fåglar/A 2270-2025 prioriterade fågelarter.docx", "A 2270-2025")</f>
        <v/>
      </c>
    </row>
    <row r="22" ht="15" customHeight="1">
      <c r="A22" t="inlineStr">
        <is>
          <t>A 1503-2024</t>
        </is>
      </c>
      <c r="B22" s="1" t="n">
        <v>45306.35041666667</v>
      </c>
      <c r="C22" s="1" t="n">
        <v>46082</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40931-2025</t>
        </is>
      </c>
      <c r="B23" s="1" t="n">
        <v>45897.64783564815</v>
      </c>
      <c r="C23" s="1" t="n">
        <v>46082</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13380-2025</t>
        </is>
      </c>
      <c r="B24" s="1" t="n">
        <v>45735.6765162037</v>
      </c>
      <c r="C24" s="1" t="n">
        <v>46082</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16534-2025</t>
        </is>
      </c>
      <c r="B25" s="1" t="n">
        <v>45751.65315972222</v>
      </c>
      <c r="C25" s="1" t="n">
        <v>46082</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20586-2023</t>
        </is>
      </c>
      <c r="B26" s="1" t="n">
        <v>45057</v>
      </c>
      <c r="C26" s="1" t="n">
        <v>46082</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20586-2023 artfynd.xlsx", "A 20586-2023")</f>
        <v/>
      </c>
      <c r="T26">
        <f>HYPERLINK("https://klasma.github.io/Logging_1440/kartor/A 20586-2023 karta.png", "A 20586-2023")</f>
        <v/>
      </c>
      <c r="V26">
        <f>HYPERLINK("https://klasma.github.io/Logging_1440/klagomål/A 20586-2023 FSC-klagomål.docx", "A 20586-2023")</f>
        <v/>
      </c>
      <c r="W26">
        <f>HYPERLINK("https://klasma.github.io/Logging_1440/klagomålsmail/A 20586-2023 FSC-klagomål mail.docx", "A 20586-2023")</f>
        <v/>
      </c>
      <c r="X26">
        <f>HYPERLINK("https://klasma.github.io/Logging_1440/tillsyn/A 20586-2023 tillsynsbegäran.docx", "A 20586-2023")</f>
        <v/>
      </c>
      <c r="Y26">
        <f>HYPERLINK("https://klasma.github.io/Logging_1440/tillsynsmail/A 20586-2023 tillsynsbegäran mail.docx", "A 20586-2023")</f>
        <v/>
      </c>
      <c r="Z26">
        <f>HYPERLINK("https://klasma.github.io/Logging_1440/fåglar/A 20586-2023 prioriterade fågelarter.docx", "A 20586-2023")</f>
        <v/>
      </c>
    </row>
    <row r="27" ht="15" customHeight="1">
      <c r="A27" t="inlineStr">
        <is>
          <t>A 380-2025</t>
        </is>
      </c>
      <c r="B27" s="1" t="n">
        <v>45662.43456018518</v>
      </c>
      <c r="C27" s="1" t="n">
        <v>46082</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63569-2023</t>
        </is>
      </c>
      <c r="B28" s="1" t="n">
        <v>45275</v>
      </c>
      <c r="C28" s="1" t="n">
        <v>46082</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8955-2025</t>
        </is>
      </c>
      <c r="B29" s="1" t="n">
        <v>45713.46528935185</v>
      </c>
      <c r="C29" s="1" t="n">
        <v>46082</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42660-2024</t>
        </is>
      </c>
      <c r="B30" s="1" t="n">
        <v>45566.33841435185</v>
      </c>
      <c r="C30" s="1" t="n">
        <v>46082</v>
      </c>
      <c r="D30" t="inlineStr">
        <is>
          <t>VÄSTRA GÖTALANDS LÄN</t>
        </is>
      </c>
      <c r="E30" t="inlineStr">
        <is>
          <t>ALE</t>
        </is>
      </c>
      <c r="G30" t="n">
        <v>2.5</v>
      </c>
      <c r="H30" t="n">
        <v>2</v>
      </c>
      <c r="I30" t="n">
        <v>0</v>
      </c>
      <c r="J30" t="n">
        <v>0</v>
      </c>
      <c r="K30" t="n">
        <v>0</v>
      </c>
      <c r="L30" t="n">
        <v>0</v>
      </c>
      <c r="M30" t="n">
        <v>0</v>
      </c>
      <c r="N30" t="n">
        <v>0</v>
      </c>
      <c r="O30" t="n">
        <v>0</v>
      </c>
      <c r="P30" t="n">
        <v>0</v>
      </c>
      <c r="Q30" t="n">
        <v>2</v>
      </c>
      <c r="R30" s="2" t="inlineStr">
        <is>
          <t>Mattlummer
Revlummer</t>
        </is>
      </c>
      <c r="S30">
        <f>HYPERLINK("https://klasma.github.io/Logging_1440/artfynd/A 42660-2024 artfynd.xlsx", "A 42660-2024")</f>
        <v/>
      </c>
      <c r="T30">
        <f>HYPERLINK("https://klasma.github.io/Logging_1440/kartor/A 42660-2024 karta.png", "A 42660-2024")</f>
        <v/>
      </c>
      <c r="V30">
        <f>HYPERLINK("https://klasma.github.io/Logging_1440/klagomål/A 42660-2024 FSC-klagomål.docx", "A 42660-2024")</f>
        <v/>
      </c>
      <c r="W30">
        <f>HYPERLINK("https://klasma.github.io/Logging_1440/klagomålsmail/A 42660-2024 FSC-klagomål mail.docx", "A 42660-2024")</f>
        <v/>
      </c>
      <c r="X30">
        <f>HYPERLINK("https://klasma.github.io/Logging_1440/tillsyn/A 42660-2024 tillsynsbegäran.docx", "A 42660-2024")</f>
        <v/>
      </c>
      <c r="Y30">
        <f>HYPERLINK("https://klasma.github.io/Logging_1440/tillsynsmail/A 42660-2024 tillsynsbegäran mail.docx", "A 42660-2024")</f>
        <v/>
      </c>
    </row>
    <row r="31" ht="15" customHeight="1">
      <c r="A31" t="inlineStr">
        <is>
          <t>A 26677-2025</t>
        </is>
      </c>
      <c r="B31" s="1" t="n">
        <v>45810.42446759259</v>
      </c>
      <c r="C31" s="1" t="n">
        <v>46082</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46082</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47330-2025</t>
        </is>
      </c>
      <c r="B33" s="1" t="n">
        <v>45930.56170138889</v>
      </c>
      <c r="C33" s="1" t="n">
        <v>46082</v>
      </c>
      <c r="D33" t="inlineStr">
        <is>
          <t>VÄSTRA GÖTALANDS LÄN</t>
        </is>
      </c>
      <c r="E33" t="inlineStr">
        <is>
          <t>ALE</t>
        </is>
      </c>
      <c r="G33" t="n">
        <v>3.7</v>
      </c>
      <c r="H33" t="n">
        <v>1</v>
      </c>
      <c r="I33" t="n">
        <v>0</v>
      </c>
      <c r="J33" t="n">
        <v>1</v>
      </c>
      <c r="K33" t="n">
        <v>0</v>
      </c>
      <c r="L33" t="n">
        <v>0</v>
      </c>
      <c r="M33" t="n">
        <v>0</v>
      </c>
      <c r="N33" t="n">
        <v>0</v>
      </c>
      <c r="O33" t="n">
        <v>1</v>
      </c>
      <c r="P33" t="n">
        <v>0</v>
      </c>
      <c r="Q33" t="n">
        <v>1</v>
      </c>
      <c r="R33" s="2" t="inlineStr">
        <is>
          <t>Spillkråka</t>
        </is>
      </c>
      <c r="S33">
        <f>HYPERLINK("https://klasma.github.io/Logging_1440/artfynd/A 47330-2025 artfynd.xlsx", "A 47330-2025")</f>
        <v/>
      </c>
      <c r="T33">
        <f>HYPERLINK("https://klasma.github.io/Logging_1440/kartor/A 47330-2025 karta.png", "A 47330-2025")</f>
        <v/>
      </c>
      <c r="V33">
        <f>HYPERLINK("https://klasma.github.io/Logging_1440/klagomål/A 47330-2025 FSC-klagomål.docx", "A 47330-2025")</f>
        <v/>
      </c>
      <c r="W33">
        <f>HYPERLINK("https://klasma.github.io/Logging_1440/klagomålsmail/A 47330-2025 FSC-klagomål mail.docx", "A 47330-2025")</f>
        <v/>
      </c>
      <c r="X33">
        <f>HYPERLINK("https://klasma.github.io/Logging_1440/tillsyn/A 47330-2025 tillsynsbegäran.docx", "A 47330-2025")</f>
        <v/>
      </c>
      <c r="Y33">
        <f>HYPERLINK("https://klasma.github.io/Logging_1440/tillsynsmail/A 47330-2025 tillsynsbegäran mail.docx", "A 47330-2025")</f>
        <v/>
      </c>
      <c r="Z33">
        <f>HYPERLINK("https://klasma.github.io/Logging_1440/fåglar/A 47330-2025 prioriterade fågelarter.docx", "A 47330-2025")</f>
        <v/>
      </c>
    </row>
    <row r="34" ht="15" customHeight="1">
      <c r="A34" t="inlineStr">
        <is>
          <t>A 26493-2024</t>
        </is>
      </c>
      <c r="B34" s="1" t="n">
        <v>45469</v>
      </c>
      <c r="C34" s="1" t="n">
        <v>46082</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58412-2025</t>
        </is>
      </c>
      <c r="B35" s="1" t="n">
        <v>45985.57564814815</v>
      </c>
      <c r="C35" s="1" t="n">
        <v>46082</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12084-2025</t>
        </is>
      </c>
      <c r="B36" s="1" t="n">
        <v>45728.95387731482</v>
      </c>
      <c r="C36" s="1" t="n">
        <v>46082</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62524-2025</t>
        </is>
      </c>
      <c r="B37" s="1" t="n">
        <v>46007.6247337963</v>
      </c>
      <c r="C37" s="1" t="n">
        <v>46082</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12982-2024</t>
        </is>
      </c>
      <c r="B38" s="1" t="n">
        <v>45385.53569444444</v>
      </c>
      <c r="C38" s="1" t="n">
        <v>46082</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21281-2021</t>
        </is>
      </c>
      <c r="B39" s="1" t="n">
        <v>44320.61850694445</v>
      </c>
      <c r="C39" s="1" t="n">
        <v>46082</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46082</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46082</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46082</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46082</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46082</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46082</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46082</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46082</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46082</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46082</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46082</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46082</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46082</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46082</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46082</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46082</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46082</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46082</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46082</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46082</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41607-2022</t>
        </is>
      </c>
      <c r="B60" s="1" t="n">
        <v>44827.46658564815</v>
      </c>
      <c r="C60" s="1" t="n">
        <v>46082</v>
      </c>
      <c r="D60" t="inlineStr">
        <is>
          <t>VÄSTRA GÖTALANDS LÄN</t>
        </is>
      </c>
      <c r="E60" t="inlineStr">
        <is>
          <t>ALE</t>
        </is>
      </c>
      <c r="G60" t="n">
        <v>3.6</v>
      </c>
      <c r="H60" t="n">
        <v>0</v>
      </c>
      <c r="I60" t="n">
        <v>0</v>
      </c>
      <c r="J60" t="n">
        <v>0</v>
      </c>
      <c r="K60" t="n">
        <v>0</v>
      </c>
      <c r="L60" t="n">
        <v>0</v>
      </c>
      <c r="M60" t="n">
        <v>0</v>
      </c>
      <c r="N60" t="n">
        <v>0</v>
      </c>
      <c r="O60" t="n">
        <v>0</v>
      </c>
      <c r="P60" t="n">
        <v>0</v>
      </c>
      <c r="Q60" t="n">
        <v>0</v>
      </c>
      <c r="R60" s="2" t="inlineStr"/>
    </row>
    <row r="61" ht="15" customHeight="1">
      <c r="A61" t="inlineStr">
        <is>
          <t>A 26157-2023</t>
        </is>
      </c>
      <c r="B61" s="1" t="n">
        <v>45091.50479166667</v>
      </c>
      <c r="C61" s="1" t="n">
        <v>46082</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14493-2024</t>
        </is>
      </c>
      <c r="B62" s="1" t="n">
        <v>45394.58491898148</v>
      </c>
      <c r="C62" s="1" t="n">
        <v>46082</v>
      </c>
      <c r="D62" t="inlineStr">
        <is>
          <t>VÄSTRA GÖTALANDS LÄN</t>
        </is>
      </c>
      <c r="E62" t="inlineStr">
        <is>
          <t>ALE</t>
        </is>
      </c>
      <c r="G62" t="n">
        <v>2.3</v>
      </c>
      <c r="H62" t="n">
        <v>0</v>
      </c>
      <c r="I62" t="n">
        <v>0</v>
      </c>
      <c r="J62" t="n">
        <v>0</v>
      </c>
      <c r="K62" t="n">
        <v>0</v>
      </c>
      <c r="L62" t="n">
        <v>0</v>
      </c>
      <c r="M62" t="n">
        <v>0</v>
      </c>
      <c r="N62" t="n">
        <v>0</v>
      </c>
      <c r="O62" t="n">
        <v>0</v>
      </c>
      <c r="P62" t="n">
        <v>0</v>
      </c>
      <c r="Q62" t="n">
        <v>0</v>
      </c>
      <c r="R62" s="2" t="inlineStr"/>
    </row>
    <row r="63" ht="15" customHeight="1">
      <c r="A63" t="inlineStr">
        <is>
          <t>A 36763-2022</t>
        </is>
      </c>
      <c r="B63" s="1" t="n">
        <v>44805</v>
      </c>
      <c r="C63" s="1" t="n">
        <v>46082</v>
      </c>
      <c r="D63" t="inlineStr">
        <is>
          <t>VÄSTRA GÖTALANDS LÄN</t>
        </is>
      </c>
      <c r="E63" t="inlineStr">
        <is>
          <t>ALE</t>
        </is>
      </c>
      <c r="G63" t="n">
        <v>6.1</v>
      </c>
      <c r="H63" t="n">
        <v>0</v>
      </c>
      <c r="I63" t="n">
        <v>0</v>
      </c>
      <c r="J63" t="n">
        <v>0</v>
      </c>
      <c r="K63" t="n">
        <v>0</v>
      </c>
      <c r="L63" t="n">
        <v>0</v>
      </c>
      <c r="M63" t="n">
        <v>0</v>
      </c>
      <c r="N63" t="n">
        <v>0</v>
      </c>
      <c r="O63" t="n">
        <v>0</v>
      </c>
      <c r="P63" t="n">
        <v>0</v>
      </c>
      <c r="Q63" t="n">
        <v>0</v>
      </c>
      <c r="R63" s="2" t="inlineStr"/>
    </row>
    <row r="64" ht="15" customHeight="1">
      <c r="A64" t="inlineStr">
        <is>
          <t>A 5875-2023</t>
        </is>
      </c>
      <c r="B64" s="1" t="n">
        <v>44963</v>
      </c>
      <c r="C64" s="1" t="n">
        <v>46082</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3407-2023</t>
        </is>
      </c>
      <c r="B65" s="1" t="n">
        <v>44949.54909722223</v>
      </c>
      <c r="C65" s="1" t="n">
        <v>46082</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51564-2023</t>
        </is>
      </c>
      <c r="B66" s="1" t="n">
        <v>45222</v>
      </c>
      <c r="C66" s="1" t="n">
        <v>46082</v>
      </c>
      <c r="D66" t="inlineStr">
        <is>
          <t>VÄSTRA GÖTALANDS LÄN</t>
        </is>
      </c>
      <c r="E66" t="inlineStr">
        <is>
          <t>ALE</t>
        </is>
      </c>
      <c r="G66" t="n">
        <v>1.5</v>
      </c>
      <c r="H66" t="n">
        <v>0</v>
      </c>
      <c r="I66" t="n">
        <v>0</v>
      </c>
      <c r="J66" t="n">
        <v>0</v>
      </c>
      <c r="K66" t="n">
        <v>0</v>
      </c>
      <c r="L66" t="n">
        <v>0</v>
      </c>
      <c r="M66" t="n">
        <v>0</v>
      </c>
      <c r="N66" t="n">
        <v>0</v>
      </c>
      <c r="O66" t="n">
        <v>0</v>
      </c>
      <c r="P66" t="n">
        <v>0</v>
      </c>
      <c r="Q66" t="n">
        <v>0</v>
      </c>
      <c r="R66" s="2" t="inlineStr"/>
    </row>
    <row r="67" ht="15" customHeight="1">
      <c r="A67" t="inlineStr">
        <is>
          <t>A 56493-2021</t>
        </is>
      </c>
      <c r="B67" s="1" t="n">
        <v>44480.57173611111</v>
      </c>
      <c r="C67" s="1" t="n">
        <v>46082</v>
      </c>
      <c r="D67" t="inlineStr">
        <is>
          <t>VÄSTRA GÖTALANDS LÄN</t>
        </is>
      </c>
      <c r="E67" t="inlineStr">
        <is>
          <t>ALE</t>
        </is>
      </c>
      <c r="G67" t="n">
        <v>1.7</v>
      </c>
      <c r="H67" t="n">
        <v>0</v>
      </c>
      <c r="I67" t="n">
        <v>0</v>
      </c>
      <c r="J67" t="n">
        <v>0</v>
      </c>
      <c r="K67" t="n">
        <v>0</v>
      </c>
      <c r="L67" t="n">
        <v>0</v>
      </c>
      <c r="M67" t="n">
        <v>0</v>
      </c>
      <c r="N67" t="n">
        <v>0</v>
      </c>
      <c r="O67" t="n">
        <v>0</v>
      </c>
      <c r="P67" t="n">
        <v>0</v>
      </c>
      <c r="Q67" t="n">
        <v>0</v>
      </c>
      <c r="R67" s="2" t="inlineStr"/>
    </row>
    <row r="68" ht="15" customHeight="1">
      <c r="A68" t="inlineStr">
        <is>
          <t>A 45988-2021</t>
        </is>
      </c>
      <c r="B68" s="1" t="n">
        <v>44441</v>
      </c>
      <c r="C68" s="1" t="n">
        <v>46082</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36403-2024</t>
        </is>
      </c>
      <c r="B69" s="1" t="n">
        <v>45535.69445601852</v>
      </c>
      <c r="C69" s="1" t="n">
        <v>46082</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55405-2021</t>
        </is>
      </c>
      <c r="B70" s="1" t="n">
        <v>44475.53733796296</v>
      </c>
      <c r="C70" s="1" t="n">
        <v>46082</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5344-2024</t>
        </is>
      </c>
      <c r="B71" s="1" t="n">
        <v>45331</v>
      </c>
      <c r="C71" s="1" t="n">
        <v>46082</v>
      </c>
      <c r="D71" t="inlineStr">
        <is>
          <t>VÄSTRA GÖTALANDS LÄN</t>
        </is>
      </c>
      <c r="E71" t="inlineStr">
        <is>
          <t>ALE</t>
        </is>
      </c>
      <c r="G71" t="n">
        <v>2.5</v>
      </c>
      <c r="H71" t="n">
        <v>0</v>
      </c>
      <c r="I71" t="n">
        <v>0</v>
      </c>
      <c r="J71" t="n">
        <v>0</v>
      </c>
      <c r="K71" t="n">
        <v>0</v>
      </c>
      <c r="L71" t="n">
        <v>0</v>
      </c>
      <c r="M71" t="n">
        <v>0</v>
      </c>
      <c r="N71" t="n">
        <v>0</v>
      </c>
      <c r="O71" t="n">
        <v>0</v>
      </c>
      <c r="P71" t="n">
        <v>0</v>
      </c>
      <c r="Q71" t="n">
        <v>0</v>
      </c>
      <c r="R71" s="2" t="inlineStr"/>
    </row>
    <row r="72" ht="15" customHeight="1">
      <c r="A72" t="inlineStr">
        <is>
          <t>A 18637-2023</t>
        </is>
      </c>
      <c r="B72" s="1" t="n">
        <v>45043</v>
      </c>
      <c r="C72" s="1" t="n">
        <v>46082</v>
      </c>
      <c r="D72" t="inlineStr">
        <is>
          <t>VÄSTRA GÖTALANDS LÄN</t>
        </is>
      </c>
      <c r="E72" t="inlineStr">
        <is>
          <t>ALE</t>
        </is>
      </c>
      <c r="G72" t="n">
        <v>3.6</v>
      </c>
      <c r="H72" t="n">
        <v>0</v>
      </c>
      <c r="I72" t="n">
        <v>0</v>
      </c>
      <c r="J72" t="n">
        <v>0</v>
      </c>
      <c r="K72" t="n">
        <v>0</v>
      </c>
      <c r="L72" t="n">
        <v>0</v>
      </c>
      <c r="M72" t="n">
        <v>0</v>
      </c>
      <c r="N72" t="n">
        <v>0</v>
      </c>
      <c r="O72" t="n">
        <v>0</v>
      </c>
      <c r="P72" t="n">
        <v>0</v>
      </c>
      <c r="Q72" t="n">
        <v>0</v>
      </c>
      <c r="R72" s="2" t="inlineStr"/>
    </row>
    <row r="73" ht="15" customHeight="1">
      <c r="A73" t="inlineStr">
        <is>
          <t>A 59933-2023</t>
        </is>
      </c>
      <c r="B73" s="1" t="n">
        <v>45257</v>
      </c>
      <c r="C73" s="1" t="n">
        <v>46082</v>
      </c>
      <c r="D73" t="inlineStr">
        <is>
          <t>VÄSTRA GÖTALANDS LÄN</t>
        </is>
      </c>
      <c r="E73" t="inlineStr">
        <is>
          <t>ALE</t>
        </is>
      </c>
      <c r="G73" t="n">
        <v>2.7</v>
      </c>
      <c r="H73" t="n">
        <v>0</v>
      </c>
      <c r="I73" t="n">
        <v>0</v>
      </c>
      <c r="J73" t="n">
        <v>0</v>
      </c>
      <c r="K73" t="n">
        <v>0</v>
      </c>
      <c r="L73" t="n">
        <v>0</v>
      </c>
      <c r="M73" t="n">
        <v>0</v>
      </c>
      <c r="N73" t="n">
        <v>0</v>
      </c>
      <c r="O73" t="n">
        <v>0</v>
      </c>
      <c r="P73" t="n">
        <v>0</v>
      </c>
      <c r="Q73" t="n">
        <v>0</v>
      </c>
      <c r="R73" s="2" t="inlineStr"/>
    </row>
    <row r="74" ht="15" customHeight="1">
      <c r="A74" t="inlineStr">
        <is>
          <t>A 24642-2022</t>
        </is>
      </c>
      <c r="B74" s="1" t="n">
        <v>44727.59578703704</v>
      </c>
      <c r="C74" s="1" t="n">
        <v>46082</v>
      </c>
      <c r="D74" t="inlineStr">
        <is>
          <t>VÄSTRA GÖTALANDS LÄN</t>
        </is>
      </c>
      <c r="E74" t="inlineStr">
        <is>
          <t>ALE</t>
        </is>
      </c>
      <c r="G74" t="n">
        <v>10</v>
      </c>
      <c r="H74" t="n">
        <v>0</v>
      </c>
      <c r="I74" t="n">
        <v>0</v>
      </c>
      <c r="J74" t="n">
        <v>0</v>
      </c>
      <c r="K74" t="n">
        <v>0</v>
      </c>
      <c r="L74" t="n">
        <v>0</v>
      </c>
      <c r="M74" t="n">
        <v>0</v>
      </c>
      <c r="N74" t="n">
        <v>0</v>
      </c>
      <c r="O74" t="n">
        <v>0</v>
      </c>
      <c r="P74" t="n">
        <v>0</v>
      </c>
      <c r="Q74" t="n">
        <v>0</v>
      </c>
      <c r="R74" s="2" t="inlineStr"/>
    </row>
    <row r="75" ht="15" customHeight="1">
      <c r="A75" t="inlineStr">
        <is>
          <t>A 40074-2025</t>
        </is>
      </c>
      <c r="B75" s="1" t="n">
        <v>45894.44685185186</v>
      </c>
      <c r="C75" s="1" t="n">
        <v>46082</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29373-2025</t>
        </is>
      </c>
      <c r="B76" s="1" t="n">
        <v>45824.579375</v>
      </c>
      <c r="C76" s="1" t="n">
        <v>46082</v>
      </c>
      <c r="D76" t="inlineStr">
        <is>
          <t>VÄSTRA GÖTALANDS LÄN</t>
        </is>
      </c>
      <c r="E76" t="inlineStr">
        <is>
          <t>ALE</t>
        </is>
      </c>
      <c r="G76" t="n">
        <v>4.6</v>
      </c>
      <c r="H76" t="n">
        <v>0</v>
      </c>
      <c r="I76" t="n">
        <v>0</v>
      </c>
      <c r="J76" t="n">
        <v>0</v>
      </c>
      <c r="K76" t="n">
        <v>0</v>
      </c>
      <c r="L76" t="n">
        <v>0</v>
      </c>
      <c r="M76" t="n">
        <v>0</v>
      </c>
      <c r="N76" t="n">
        <v>0</v>
      </c>
      <c r="O76" t="n">
        <v>0</v>
      </c>
      <c r="P76" t="n">
        <v>0</v>
      </c>
      <c r="Q76" t="n">
        <v>0</v>
      </c>
      <c r="R76" s="2" t="inlineStr"/>
    </row>
    <row r="77" ht="15" customHeight="1">
      <c r="A77" t="inlineStr">
        <is>
          <t>A 13382-2025</t>
        </is>
      </c>
      <c r="B77" s="1" t="n">
        <v>45735.67928240741</v>
      </c>
      <c r="C77" s="1" t="n">
        <v>46082</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13903-2025</t>
        </is>
      </c>
      <c r="B78" s="1" t="n">
        <v>45737.63481481482</v>
      </c>
      <c r="C78" s="1" t="n">
        <v>46082</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31409-2025</t>
        </is>
      </c>
      <c r="B79" s="1" t="n">
        <v>45833</v>
      </c>
      <c r="C79" s="1" t="n">
        <v>46082</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31533-2025</t>
        </is>
      </c>
      <c r="B80" s="1" t="n">
        <v>45833</v>
      </c>
      <c r="C80" s="1" t="n">
        <v>46082</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31488-2025</t>
        </is>
      </c>
      <c r="B81" s="1" t="n">
        <v>45833</v>
      </c>
      <c r="C81" s="1" t="n">
        <v>46082</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26083-2023</t>
        </is>
      </c>
      <c r="B82" s="1" t="n">
        <v>45091</v>
      </c>
      <c r="C82" s="1" t="n">
        <v>46082</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13426-2025</t>
        </is>
      </c>
      <c r="B83" s="1" t="n">
        <v>45736.32780092592</v>
      </c>
      <c r="C83" s="1" t="n">
        <v>46082</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35959-2022</t>
        </is>
      </c>
      <c r="B84" s="1" t="n">
        <v>44802.57002314815</v>
      </c>
      <c r="C84" s="1" t="n">
        <v>46082</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46226-2025</t>
        </is>
      </c>
      <c r="B85" s="1" t="n">
        <v>45924</v>
      </c>
      <c r="C85" s="1" t="n">
        <v>46082</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46227-2025</t>
        </is>
      </c>
      <c r="B86" s="1" t="n">
        <v>45924.90386574074</v>
      </c>
      <c r="C86" s="1" t="n">
        <v>46082</v>
      </c>
      <c r="D86" t="inlineStr">
        <is>
          <t>VÄSTRA GÖTALANDS LÄN</t>
        </is>
      </c>
      <c r="E86" t="inlineStr">
        <is>
          <t>ALE</t>
        </is>
      </c>
      <c r="G86" t="n">
        <v>0.3</v>
      </c>
      <c r="H86" t="n">
        <v>0</v>
      </c>
      <c r="I86" t="n">
        <v>0</v>
      </c>
      <c r="J86" t="n">
        <v>0</v>
      </c>
      <c r="K86" t="n">
        <v>0</v>
      </c>
      <c r="L86" t="n">
        <v>0</v>
      </c>
      <c r="M86" t="n">
        <v>0</v>
      </c>
      <c r="N86" t="n">
        <v>0</v>
      </c>
      <c r="O86" t="n">
        <v>0</v>
      </c>
      <c r="P86" t="n">
        <v>0</v>
      </c>
      <c r="Q86" t="n">
        <v>0</v>
      </c>
      <c r="R86" s="2" t="inlineStr"/>
    </row>
    <row r="87" ht="15" customHeight="1">
      <c r="A87" t="inlineStr">
        <is>
          <t>A 200-2022</t>
        </is>
      </c>
      <c r="B87" s="1" t="n">
        <v>44564</v>
      </c>
      <c r="C87" s="1" t="n">
        <v>46082</v>
      </c>
      <c r="D87" t="inlineStr">
        <is>
          <t>VÄSTRA GÖTALANDS LÄN</t>
        </is>
      </c>
      <c r="E87" t="inlineStr">
        <is>
          <t>ALE</t>
        </is>
      </c>
      <c r="G87" t="n">
        <v>6.8</v>
      </c>
      <c r="H87" t="n">
        <v>0</v>
      </c>
      <c r="I87" t="n">
        <v>0</v>
      </c>
      <c r="J87" t="n">
        <v>0</v>
      </c>
      <c r="K87" t="n">
        <v>0</v>
      </c>
      <c r="L87" t="n">
        <v>0</v>
      </c>
      <c r="M87" t="n">
        <v>0</v>
      </c>
      <c r="N87" t="n">
        <v>0</v>
      </c>
      <c r="O87" t="n">
        <v>0</v>
      </c>
      <c r="P87" t="n">
        <v>0</v>
      </c>
      <c r="Q87" t="n">
        <v>0</v>
      </c>
      <c r="R87" s="2" t="inlineStr"/>
    </row>
    <row r="88" ht="15" customHeight="1">
      <c r="A88" t="inlineStr">
        <is>
          <t>A 17044-2025</t>
        </is>
      </c>
      <c r="B88" s="1" t="n">
        <v>45755.58891203703</v>
      </c>
      <c r="C88" s="1" t="n">
        <v>46082</v>
      </c>
      <c r="D88" t="inlineStr">
        <is>
          <t>VÄSTRA GÖTALANDS LÄN</t>
        </is>
      </c>
      <c r="E88" t="inlineStr">
        <is>
          <t>ALE</t>
        </is>
      </c>
      <c r="G88" t="n">
        <v>1.5</v>
      </c>
      <c r="H88" t="n">
        <v>0</v>
      </c>
      <c r="I88" t="n">
        <v>0</v>
      </c>
      <c r="J88" t="n">
        <v>0</v>
      </c>
      <c r="K88" t="n">
        <v>0</v>
      </c>
      <c r="L88" t="n">
        <v>0</v>
      </c>
      <c r="M88" t="n">
        <v>0</v>
      </c>
      <c r="N88" t="n">
        <v>0</v>
      </c>
      <c r="O88" t="n">
        <v>0</v>
      </c>
      <c r="P88" t="n">
        <v>0</v>
      </c>
      <c r="Q88" t="n">
        <v>0</v>
      </c>
      <c r="R88" s="2" t="inlineStr"/>
    </row>
    <row r="89" ht="15" customHeight="1">
      <c r="A89" t="inlineStr">
        <is>
          <t>A 47592-2025</t>
        </is>
      </c>
      <c r="B89" s="1" t="n">
        <v>45931.44649305556</v>
      </c>
      <c r="C89" s="1" t="n">
        <v>46082</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47593-2025</t>
        </is>
      </c>
      <c r="B90" s="1" t="n">
        <v>45931.4480787037</v>
      </c>
      <c r="C90" s="1" t="n">
        <v>46082</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47728-2025</t>
        </is>
      </c>
      <c r="B91" s="1" t="n">
        <v>45931.63186342592</v>
      </c>
      <c r="C91" s="1" t="n">
        <v>46082</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57473-2022</t>
        </is>
      </c>
      <c r="B92" s="1" t="n">
        <v>44896</v>
      </c>
      <c r="C92" s="1" t="n">
        <v>46082</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46082</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49955-2021</t>
        </is>
      </c>
      <c r="B94" s="1" t="n">
        <v>44456</v>
      </c>
      <c r="C94" s="1" t="n">
        <v>46082</v>
      </c>
      <c r="D94" t="inlineStr">
        <is>
          <t>VÄSTRA GÖTALANDS LÄN</t>
        </is>
      </c>
      <c r="E94" t="inlineStr">
        <is>
          <t>ALE</t>
        </is>
      </c>
      <c r="G94" t="n">
        <v>2.2</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46082</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48213-2025</t>
        </is>
      </c>
      <c r="B96" s="1" t="n">
        <v>45933</v>
      </c>
      <c r="C96" s="1" t="n">
        <v>46082</v>
      </c>
      <c r="D96" t="inlineStr">
        <is>
          <t>VÄSTRA GÖTALANDS LÄN</t>
        </is>
      </c>
      <c r="E96" t="inlineStr">
        <is>
          <t>ALE</t>
        </is>
      </c>
      <c r="G96" t="n">
        <v>3.3</v>
      </c>
      <c r="H96" t="n">
        <v>0</v>
      </c>
      <c r="I96" t="n">
        <v>0</v>
      </c>
      <c r="J96" t="n">
        <v>0</v>
      </c>
      <c r="K96" t="n">
        <v>0</v>
      </c>
      <c r="L96" t="n">
        <v>0</v>
      </c>
      <c r="M96" t="n">
        <v>0</v>
      </c>
      <c r="N96" t="n">
        <v>0</v>
      </c>
      <c r="O96" t="n">
        <v>0</v>
      </c>
      <c r="P96" t="n">
        <v>0</v>
      </c>
      <c r="Q96" t="n">
        <v>0</v>
      </c>
      <c r="R96" s="2" t="inlineStr"/>
    </row>
    <row r="97" ht="15" customHeight="1">
      <c r="A97" t="inlineStr">
        <is>
          <t>A 48218-2025</t>
        </is>
      </c>
      <c r="B97" s="1" t="n">
        <v>45933</v>
      </c>
      <c r="C97" s="1" t="n">
        <v>46082</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34104-2024</t>
        </is>
      </c>
      <c r="B98" s="1" t="n">
        <v>45523.79202546296</v>
      </c>
      <c r="C98" s="1" t="n">
        <v>46082</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48257-2022</t>
        </is>
      </c>
      <c r="B99" s="1" t="n">
        <v>44858.47591435185</v>
      </c>
      <c r="C99" s="1" t="n">
        <v>46082</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18999-2021</t>
        </is>
      </c>
      <c r="B100" s="1" t="n">
        <v>44308</v>
      </c>
      <c r="C100" s="1" t="n">
        <v>46082</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50189-2025</t>
        </is>
      </c>
      <c r="B101" s="1" t="n">
        <v>45943.63476851852</v>
      </c>
      <c r="C101" s="1" t="n">
        <v>46082</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1687-2024</t>
        </is>
      </c>
      <c r="B102" s="1" t="n">
        <v>45306</v>
      </c>
      <c r="C102" s="1" t="n">
        <v>46082</v>
      </c>
      <c r="D102" t="inlineStr">
        <is>
          <t>VÄSTRA GÖTALANDS LÄN</t>
        </is>
      </c>
      <c r="E102" t="inlineStr">
        <is>
          <t>ALE</t>
        </is>
      </c>
      <c r="G102" t="n">
        <v>3.4</v>
      </c>
      <c r="H102" t="n">
        <v>0</v>
      </c>
      <c r="I102" t="n">
        <v>0</v>
      </c>
      <c r="J102" t="n">
        <v>0</v>
      </c>
      <c r="K102" t="n">
        <v>0</v>
      </c>
      <c r="L102" t="n">
        <v>0</v>
      </c>
      <c r="M102" t="n">
        <v>0</v>
      </c>
      <c r="N102" t="n">
        <v>0</v>
      </c>
      <c r="O102" t="n">
        <v>0</v>
      </c>
      <c r="P102" t="n">
        <v>0</v>
      </c>
      <c r="Q102" t="n">
        <v>0</v>
      </c>
      <c r="R102" s="2" t="inlineStr"/>
    </row>
    <row r="103" ht="15" customHeight="1">
      <c r="A103" t="inlineStr">
        <is>
          <t>A 50451-2024</t>
        </is>
      </c>
      <c r="B103" s="1" t="n">
        <v>45601.44248842593</v>
      </c>
      <c r="C103" s="1" t="n">
        <v>46082</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49680-2024</t>
        </is>
      </c>
      <c r="B104" s="1" t="n">
        <v>45596.66880787037</v>
      </c>
      <c r="C104" s="1" t="n">
        <v>46082</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50973-2025</t>
        </is>
      </c>
      <c r="B105" s="1" t="n">
        <v>45947.31263888889</v>
      </c>
      <c r="C105" s="1" t="n">
        <v>46082</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51976-2025</t>
        </is>
      </c>
      <c r="B106" s="1" t="n">
        <v>45952.56412037037</v>
      </c>
      <c r="C106" s="1" t="n">
        <v>46082</v>
      </c>
      <c r="D106" t="inlineStr">
        <is>
          <t>VÄSTRA GÖTALANDS LÄN</t>
        </is>
      </c>
      <c r="E106" t="inlineStr">
        <is>
          <t>ALE</t>
        </is>
      </c>
      <c r="G106" t="n">
        <v>5.2</v>
      </c>
      <c r="H106" t="n">
        <v>0</v>
      </c>
      <c r="I106" t="n">
        <v>0</v>
      </c>
      <c r="J106" t="n">
        <v>0</v>
      </c>
      <c r="K106" t="n">
        <v>0</v>
      </c>
      <c r="L106" t="n">
        <v>0</v>
      </c>
      <c r="M106" t="n">
        <v>0</v>
      </c>
      <c r="N106" t="n">
        <v>0</v>
      </c>
      <c r="O106" t="n">
        <v>0</v>
      </c>
      <c r="P106" t="n">
        <v>0</v>
      </c>
      <c r="Q106" t="n">
        <v>0</v>
      </c>
      <c r="R106" s="2" t="inlineStr"/>
    </row>
    <row r="107" ht="15" customHeight="1">
      <c r="A107" t="inlineStr">
        <is>
          <t>A 52391-2025</t>
        </is>
      </c>
      <c r="B107" s="1" t="n">
        <v>45954.34305555555</v>
      </c>
      <c r="C107" s="1" t="n">
        <v>46082</v>
      </c>
      <c r="D107" t="inlineStr">
        <is>
          <t>VÄSTRA GÖTALANDS LÄN</t>
        </is>
      </c>
      <c r="E107" t="inlineStr">
        <is>
          <t>ALE</t>
        </is>
      </c>
      <c r="G107" t="n">
        <v>10.6</v>
      </c>
      <c r="H107" t="n">
        <v>0</v>
      </c>
      <c r="I107" t="n">
        <v>0</v>
      </c>
      <c r="J107" t="n">
        <v>0</v>
      </c>
      <c r="K107" t="n">
        <v>0</v>
      </c>
      <c r="L107" t="n">
        <v>0</v>
      </c>
      <c r="M107" t="n">
        <v>0</v>
      </c>
      <c r="N107" t="n">
        <v>0</v>
      </c>
      <c r="O107" t="n">
        <v>0</v>
      </c>
      <c r="P107" t="n">
        <v>0</v>
      </c>
      <c r="Q107" t="n">
        <v>0</v>
      </c>
      <c r="R107" s="2" t="inlineStr"/>
    </row>
    <row r="108" ht="15" customHeight="1">
      <c r="A108" t="inlineStr">
        <is>
          <t>A 52423-2025</t>
        </is>
      </c>
      <c r="B108" s="1" t="n">
        <v>45954.37650462963</v>
      </c>
      <c r="C108" s="1" t="n">
        <v>46082</v>
      </c>
      <c r="D108" t="inlineStr">
        <is>
          <t>VÄSTRA GÖTALANDS LÄN</t>
        </is>
      </c>
      <c r="E108" t="inlineStr">
        <is>
          <t>ALE</t>
        </is>
      </c>
      <c r="G108" t="n">
        <v>4.1</v>
      </c>
      <c r="H108" t="n">
        <v>0</v>
      </c>
      <c r="I108" t="n">
        <v>0</v>
      </c>
      <c r="J108" t="n">
        <v>0</v>
      </c>
      <c r="K108" t="n">
        <v>0</v>
      </c>
      <c r="L108" t="n">
        <v>0</v>
      </c>
      <c r="M108" t="n">
        <v>0</v>
      </c>
      <c r="N108" t="n">
        <v>0</v>
      </c>
      <c r="O108" t="n">
        <v>0</v>
      </c>
      <c r="P108" t="n">
        <v>0</v>
      </c>
      <c r="Q108" t="n">
        <v>0</v>
      </c>
      <c r="R108" s="2" t="inlineStr"/>
    </row>
    <row r="109" ht="15" customHeight="1">
      <c r="A109" t="inlineStr">
        <is>
          <t>A 7807-2023</t>
        </is>
      </c>
      <c r="B109" s="1" t="n">
        <v>44973</v>
      </c>
      <c r="C109" s="1" t="n">
        <v>46082</v>
      </c>
      <c r="D109" t="inlineStr">
        <is>
          <t>VÄSTRA GÖTALANDS LÄN</t>
        </is>
      </c>
      <c r="E109" t="inlineStr">
        <is>
          <t>ALE</t>
        </is>
      </c>
      <c r="G109" t="n">
        <v>10.5</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46082</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42446-2023</t>
        </is>
      </c>
      <c r="B111" s="1" t="n">
        <v>45180</v>
      </c>
      <c r="C111" s="1" t="n">
        <v>46082</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67160-2021</t>
        </is>
      </c>
      <c r="B112" s="1" t="n">
        <v>44523</v>
      </c>
      <c r="C112" s="1" t="n">
        <v>46082</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16344-2023</t>
        </is>
      </c>
      <c r="B113" s="1" t="n">
        <v>45028</v>
      </c>
      <c r="C113" s="1" t="n">
        <v>46082</v>
      </c>
      <c r="D113" t="inlineStr">
        <is>
          <t>VÄSTRA GÖTALANDS LÄN</t>
        </is>
      </c>
      <c r="E113" t="inlineStr">
        <is>
          <t>ALE</t>
        </is>
      </c>
      <c r="G113" t="n">
        <v>6.6</v>
      </c>
      <c r="H113" t="n">
        <v>0</v>
      </c>
      <c r="I113" t="n">
        <v>0</v>
      </c>
      <c r="J113" t="n">
        <v>0</v>
      </c>
      <c r="K113" t="n">
        <v>0</v>
      </c>
      <c r="L113" t="n">
        <v>0</v>
      </c>
      <c r="M113" t="n">
        <v>0</v>
      </c>
      <c r="N113" t="n">
        <v>0</v>
      </c>
      <c r="O113" t="n">
        <v>0</v>
      </c>
      <c r="P113" t="n">
        <v>0</v>
      </c>
      <c r="Q113" t="n">
        <v>0</v>
      </c>
      <c r="R113" s="2" t="inlineStr"/>
    </row>
    <row r="114" ht="15" customHeight="1">
      <c r="A114" t="inlineStr">
        <is>
          <t>A 32762-2023</t>
        </is>
      </c>
      <c r="B114" s="1" t="n">
        <v>45123.46649305556</v>
      </c>
      <c r="C114" s="1" t="n">
        <v>46082</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41598-2022</t>
        </is>
      </c>
      <c r="B115" s="1" t="n">
        <v>44827.4609837963</v>
      </c>
      <c r="C115" s="1" t="n">
        <v>46082</v>
      </c>
      <c r="D115" t="inlineStr">
        <is>
          <t>VÄSTRA GÖTALANDS LÄN</t>
        </is>
      </c>
      <c r="E115" t="inlineStr">
        <is>
          <t>ALE</t>
        </is>
      </c>
      <c r="G115" t="n">
        <v>2</v>
      </c>
      <c r="H115" t="n">
        <v>0</v>
      </c>
      <c r="I115" t="n">
        <v>0</v>
      </c>
      <c r="J115" t="n">
        <v>0</v>
      </c>
      <c r="K115" t="n">
        <v>0</v>
      </c>
      <c r="L115" t="n">
        <v>0</v>
      </c>
      <c r="M115" t="n">
        <v>0</v>
      </c>
      <c r="N115" t="n">
        <v>0</v>
      </c>
      <c r="O115" t="n">
        <v>0</v>
      </c>
      <c r="P115" t="n">
        <v>0</v>
      </c>
      <c r="Q115" t="n">
        <v>0</v>
      </c>
      <c r="R115" s="2" t="inlineStr"/>
    </row>
    <row r="116" ht="15" customHeight="1">
      <c r="A116" t="inlineStr">
        <is>
          <t>A 14458-2024</t>
        </is>
      </c>
      <c r="B116" s="1" t="n">
        <v>45394</v>
      </c>
      <c r="C116" s="1" t="n">
        <v>46082</v>
      </c>
      <c r="D116" t="inlineStr">
        <is>
          <t>VÄSTRA GÖTALANDS LÄN</t>
        </is>
      </c>
      <c r="E116" t="inlineStr">
        <is>
          <t>ALE</t>
        </is>
      </c>
      <c r="G116" t="n">
        <v>0.5</v>
      </c>
      <c r="H116" t="n">
        <v>0</v>
      </c>
      <c r="I116" t="n">
        <v>0</v>
      </c>
      <c r="J116" t="n">
        <v>0</v>
      </c>
      <c r="K116" t="n">
        <v>0</v>
      </c>
      <c r="L116" t="n">
        <v>0</v>
      </c>
      <c r="M116" t="n">
        <v>0</v>
      </c>
      <c r="N116" t="n">
        <v>0</v>
      </c>
      <c r="O116" t="n">
        <v>0</v>
      </c>
      <c r="P116" t="n">
        <v>0</v>
      </c>
      <c r="Q116" t="n">
        <v>0</v>
      </c>
      <c r="R116" s="2" t="inlineStr"/>
    </row>
    <row r="117" ht="15" customHeight="1">
      <c r="A117" t="inlineStr">
        <is>
          <t>A 56905-2025</t>
        </is>
      </c>
      <c r="B117" s="1" t="n">
        <v>45978.57502314815</v>
      </c>
      <c r="C117" s="1" t="n">
        <v>46082</v>
      </c>
      <c r="D117" t="inlineStr">
        <is>
          <t>VÄSTRA GÖTALANDS LÄN</t>
        </is>
      </c>
      <c r="E117" t="inlineStr">
        <is>
          <t>ALE</t>
        </is>
      </c>
      <c r="G117" t="n">
        <v>5.2</v>
      </c>
      <c r="H117" t="n">
        <v>0</v>
      </c>
      <c r="I117" t="n">
        <v>0</v>
      </c>
      <c r="J117" t="n">
        <v>0</v>
      </c>
      <c r="K117" t="n">
        <v>0</v>
      </c>
      <c r="L117" t="n">
        <v>0</v>
      </c>
      <c r="M117" t="n">
        <v>0</v>
      </c>
      <c r="N117" t="n">
        <v>0</v>
      </c>
      <c r="O117" t="n">
        <v>0</v>
      </c>
      <c r="P117" t="n">
        <v>0</v>
      </c>
      <c r="Q117" t="n">
        <v>0</v>
      </c>
      <c r="R117" s="2" t="inlineStr"/>
    </row>
    <row r="118" ht="15" customHeight="1">
      <c r="A118" t="inlineStr">
        <is>
          <t>A 47087-2023</t>
        </is>
      </c>
      <c r="B118" s="1" t="n">
        <v>45196</v>
      </c>
      <c r="C118" s="1" t="n">
        <v>46082</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4642-2024</t>
        </is>
      </c>
      <c r="B119" s="1" t="n">
        <v>45328.43502314815</v>
      </c>
      <c r="C119" s="1" t="n">
        <v>46082</v>
      </c>
      <c r="D119" t="inlineStr">
        <is>
          <t>VÄSTRA GÖTALANDS LÄN</t>
        </is>
      </c>
      <c r="E119" t="inlineStr">
        <is>
          <t>ALE</t>
        </is>
      </c>
      <c r="G119" t="n">
        <v>7.1</v>
      </c>
      <c r="H119" t="n">
        <v>0</v>
      </c>
      <c r="I119" t="n">
        <v>0</v>
      </c>
      <c r="J119" t="n">
        <v>0</v>
      </c>
      <c r="K119" t="n">
        <v>0</v>
      </c>
      <c r="L119" t="n">
        <v>0</v>
      </c>
      <c r="M119" t="n">
        <v>0</v>
      </c>
      <c r="N119" t="n">
        <v>0</v>
      </c>
      <c r="O119" t="n">
        <v>0</v>
      </c>
      <c r="P119" t="n">
        <v>0</v>
      </c>
      <c r="Q119" t="n">
        <v>0</v>
      </c>
      <c r="R119" s="2" t="inlineStr"/>
    </row>
    <row r="120" ht="15" customHeight="1">
      <c r="A120" t="inlineStr">
        <is>
          <t>A 58414-2025</t>
        </is>
      </c>
      <c r="B120" s="1" t="n">
        <v>45985.57778935185</v>
      </c>
      <c r="C120" s="1" t="n">
        <v>46082</v>
      </c>
      <c r="D120" t="inlineStr">
        <is>
          <t>VÄSTRA GÖTALANDS LÄN</t>
        </is>
      </c>
      <c r="E120" t="inlineStr">
        <is>
          <t>ALE</t>
        </is>
      </c>
      <c r="G120" t="n">
        <v>4.3</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46082</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31407-2025</t>
        </is>
      </c>
      <c r="B122" s="1" t="n">
        <v>45833</v>
      </c>
      <c r="C122" s="1" t="n">
        <v>46082</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3520-2022</t>
        </is>
      </c>
      <c r="B123" s="1" t="n">
        <v>44585.72818287037</v>
      </c>
      <c r="C123" s="1" t="n">
        <v>46082</v>
      </c>
      <c r="D123" t="inlineStr">
        <is>
          <t>VÄSTRA GÖTALANDS LÄN</t>
        </is>
      </c>
      <c r="E123" t="inlineStr">
        <is>
          <t>ALE</t>
        </is>
      </c>
      <c r="G123" t="n">
        <v>2.3</v>
      </c>
      <c r="H123" t="n">
        <v>0</v>
      </c>
      <c r="I123" t="n">
        <v>0</v>
      </c>
      <c r="J123" t="n">
        <v>0</v>
      </c>
      <c r="K123" t="n">
        <v>0</v>
      </c>
      <c r="L123" t="n">
        <v>0</v>
      </c>
      <c r="M123" t="n">
        <v>0</v>
      </c>
      <c r="N123" t="n">
        <v>0</v>
      </c>
      <c r="O123" t="n">
        <v>0</v>
      </c>
      <c r="P123" t="n">
        <v>0</v>
      </c>
      <c r="Q123" t="n">
        <v>0</v>
      </c>
      <c r="R123" s="2" t="inlineStr"/>
    </row>
    <row r="124" ht="15" customHeight="1">
      <c r="A124" t="inlineStr">
        <is>
          <t>A 59409-2025</t>
        </is>
      </c>
      <c r="B124" s="1" t="n">
        <v>45989.49545138889</v>
      </c>
      <c r="C124" s="1" t="n">
        <v>46082</v>
      </c>
      <c r="D124" t="inlineStr">
        <is>
          <t>VÄSTRA GÖTALANDS LÄN</t>
        </is>
      </c>
      <c r="E124" t="inlineStr">
        <is>
          <t>ALE</t>
        </is>
      </c>
      <c r="G124" t="n">
        <v>0.3</v>
      </c>
      <c r="H124" t="n">
        <v>0</v>
      </c>
      <c r="I124" t="n">
        <v>0</v>
      </c>
      <c r="J124" t="n">
        <v>0</v>
      </c>
      <c r="K124" t="n">
        <v>0</v>
      </c>
      <c r="L124" t="n">
        <v>0</v>
      </c>
      <c r="M124" t="n">
        <v>0</v>
      </c>
      <c r="N124" t="n">
        <v>0</v>
      </c>
      <c r="O124" t="n">
        <v>0</v>
      </c>
      <c r="P124" t="n">
        <v>0</v>
      </c>
      <c r="Q124" t="n">
        <v>0</v>
      </c>
      <c r="R124" s="2" t="inlineStr"/>
    </row>
    <row r="125" ht="15" customHeight="1">
      <c r="A125" t="inlineStr">
        <is>
          <t>A 60287-2025</t>
        </is>
      </c>
      <c r="B125" s="1" t="n">
        <v>45994.64711805555</v>
      </c>
      <c r="C125" s="1" t="n">
        <v>46082</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33237-2024</t>
        </is>
      </c>
      <c r="B126" s="1" t="n">
        <v>45518.59173611111</v>
      </c>
      <c r="C126" s="1" t="n">
        <v>46082</v>
      </c>
      <c r="D126" t="inlineStr">
        <is>
          <t>VÄSTRA GÖTALANDS LÄN</t>
        </is>
      </c>
      <c r="E126" t="inlineStr">
        <is>
          <t>ALE</t>
        </is>
      </c>
      <c r="G126" t="n">
        <v>0.6</v>
      </c>
      <c r="H126" t="n">
        <v>0</v>
      </c>
      <c r="I126" t="n">
        <v>0</v>
      </c>
      <c r="J126" t="n">
        <v>0</v>
      </c>
      <c r="K126" t="n">
        <v>0</v>
      </c>
      <c r="L126" t="n">
        <v>0</v>
      </c>
      <c r="M126" t="n">
        <v>0</v>
      </c>
      <c r="N126" t="n">
        <v>0</v>
      </c>
      <c r="O126" t="n">
        <v>0</v>
      </c>
      <c r="P126" t="n">
        <v>0</v>
      </c>
      <c r="Q126" t="n">
        <v>0</v>
      </c>
      <c r="R126" s="2" t="inlineStr"/>
    </row>
    <row r="127" ht="15" customHeight="1">
      <c r="A127" t="inlineStr">
        <is>
          <t>A 44429-2023</t>
        </is>
      </c>
      <c r="B127" s="1" t="n">
        <v>45189.35101851852</v>
      </c>
      <c r="C127" s="1" t="n">
        <v>46082</v>
      </c>
      <c r="D127" t="inlineStr">
        <is>
          <t>VÄSTRA GÖTALANDS LÄN</t>
        </is>
      </c>
      <c r="E127" t="inlineStr">
        <is>
          <t>ALE</t>
        </is>
      </c>
      <c r="G127" t="n">
        <v>0.1</v>
      </c>
      <c r="H127" t="n">
        <v>0</v>
      </c>
      <c r="I127" t="n">
        <v>0</v>
      </c>
      <c r="J127" t="n">
        <v>0</v>
      </c>
      <c r="K127" t="n">
        <v>0</v>
      </c>
      <c r="L127" t="n">
        <v>0</v>
      </c>
      <c r="M127" t="n">
        <v>0</v>
      </c>
      <c r="N127" t="n">
        <v>0</v>
      </c>
      <c r="O127" t="n">
        <v>0</v>
      </c>
      <c r="P127" t="n">
        <v>0</v>
      </c>
      <c r="Q127" t="n">
        <v>0</v>
      </c>
      <c r="R127" s="2" t="inlineStr"/>
    </row>
    <row r="128" ht="15" customHeight="1">
      <c r="A128" t="inlineStr">
        <is>
          <t>A 7892-2024</t>
        </is>
      </c>
      <c r="B128" s="1" t="n">
        <v>45350.40921296296</v>
      </c>
      <c r="C128" s="1" t="n">
        <v>46082</v>
      </c>
      <c r="D128" t="inlineStr">
        <is>
          <t>VÄSTRA GÖTALANDS LÄN</t>
        </is>
      </c>
      <c r="E128" t="inlineStr">
        <is>
          <t>ALE</t>
        </is>
      </c>
      <c r="G128" t="n">
        <v>3.6</v>
      </c>
      <c r="H128" t="n">
        <v>0</v>
      </c>
      <c r="I128" t="n">
        <v>0</v>
      </c>
      <c r="J128" t="n">
        <v>0</v>
      </c>
      <c r="K128" t="n">
        <v>0</v>
      </c>
      <c r="L128" t="n">
        <v>0</v>
      </c>
      <c r="M128" t="n">
        <v>0</v>
      </c>
      <c r="N128" t="n">
        <v>0</v>
      </c>
      <c r="O128" t="n">
        <v>0</v>
      </c>
      <c r="P128" t="n">
        <v>0</v>
      </c>
      <c r="Q128" t="n">
        <v>0</v>
      </c>
      <c r="R128" s="2" t="inlineStr"/>
    </row>
    <row r="129" ht="15" customHeight="1">
      <c r="A129" t="inlineStr">
        <is>
          <t>A 51164-2024</t>
        </is>
      </c>
      <c r="B129" s="1" t="n">
        <v>45603.5830787037</v>
      </c>
      <c r="C129" s="1" t="n">
        <v>46082</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3261-2026</t>
        </is>
      </c>
      <c r="B130" s="1" t="n">
        <v>46041.5952662037</v>
      </c>
      <c r="C130" s="1" t="n">
        <v>46082</v>
      </c>
      <c r="D130" t="inlineStr">
        <is>
          <t>VÄSTRA GÖTALANDS LÄN</t>
        </is>
      </c>
      <c r="E130" t="inlineStr">
        <is>
          <t>ALE</t>
        </is>
      </c>
      <c r="G130" t="n">
        <v>3.4</v>
      </c>
      <c r="H130" t="n">
        <v>0</v>
      </c>
      <c r="I130" t="n">
        <v>0</v>
      </c>
      <c r="J130" t="n">
        <v>0</v>
      </c>
      <c r="K130" t="n">
        <v>0</v>
      </c>
      <c r="L130" t="n">
        <v>0</v>
      </c>
      <c r="M130" t="n">
        <v>0</v>
      </c>
      <c r="N130" t="n">
        <v>0</v>
      </c>
      <c r="O130" t="n">
        <v>0</v>
      </c>
      <c r="P130" t="n">
        <v>0</v>
      </c>
      <c r="Q130" t="n">
        <v>0</v>
      </c>
      <c r="R130" s="2" t="inlineStr"/>
    </row>
    <row r="131" ht="15" customHeight="1">
      <c r="A131" t="inlineStr">
        <is>
          <t>A 4444-2024</t>
        </is>
      </c>
      <c r="B131" s="1" t="n">
        <v>45327</v>
      </c>
      <c r="C131" s="1" t="n">
        <v>46082</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72801-2021</t>
        </is>
      </c>
      <c r="B132" s="1" t="n">
        <v>44546</v>
      </c>
      <c r="C132" s="1" t="n">
        <v>46082</v>
      </c>
      <c r="D132" t="inlineStr">
        <is>
          <t>VÄSTRA GÖTALANDS LÄN</t>
        </is>
      </c>
      <c r="E132" t="inlineStr">
        <is>
          <t>ALE</t>
        </is>
      </c>
      <c r="F132" t="inlineStr">
        <is>
          <t>Naturvårdsverket</t>
        </is>
      </c>
      <c r="G132" t="n">
        <v>1.4</v>
      </c>
      <c r="H132" t="n">
        <v>0</v>
      </c>
      <c r="I132" t="n">
        <v>0</v>
      </c>
      <c r="J132" t="n">
        <v>0</v>
      </c>
      <c r="K132" t="n">
        <v>0</v>
      </c>
      <c r="L132" t="n">
        <v>0</v>
      </c>
      <c r="M132" t="n">
        <v>0</v>
      </c>
      <c r="N132" t="n">
        <v>0</v>
      </c>
      <c r="O132" t="n">
        <v>0</v>
      </c>
      <c r="P132" t="n">
        <v>0</v>
      </c>
      <c r="Q132" t="n">
        <v>0</v>
      </c>
      <c r="R132" s="2" t="inlineStr"/>
    </row>
    <row r="133" ht="15" customHeight="1">
      <c r="A133" t="inlineStr">
        <is>
          <t>A 61744-2025</t>
        </is>
      </c>
      <c r="B133" s="1" t="n">
        <v>46002.60298611111</v>
      </c>
      <c r="C133" s="1" t="n">
        <v>46082</v>
      </c>
      <c r="D133" t="inlineStr">
        <is>
          <t>VÄSTRA GÖTALANDS LÄN</t>
        </is>
      </c>
      <c r="E133" t="inlineStr">
        <is>
          <t>ALE</t>
        </is>
      </c>
      <c r="G133" t="n">
        <v>3.1</v>
      </c>
      <c r="H133" t="n">
        <v>0</v>
      </c>
      <c r="I133" t="n">
        <v>0</v>
      </c>
      <c r="J133" t="n">
        <v>0</v>
      </c>
      <c r="K133" t="n">
        <v>0</v>
      </c>
      <c r="L133" t="n">
        <v>0</v>
      </c>
      <c r="M133" t="n">
        <v>0</v>
      </c>
      <c r="N133" t="n">
        <v>0</v>
      </c>
      <c r="O133" t="n">
        <v>0</v>
      </c>
      <c r="P133" t="n">
        <v>0</v>
      </c>
      <c r="Q133" t="n">
        <v>0</v>
      </c>
      <c r="R133" s="2" t="inlineStr"/>
    </row>
    <row r="134" ht="15" customHeight="1">
      <c r="A134" t="inlineStr">
        <is>
          <t>A 61771-2025</t>
        </is>
      </c>
      <c r="B134" s="1" t="n">
        <v>46002.6478587963</v>
      </c>
      <c r="C134" s="1" t="n">
        <v>46082</v>
      </c>
      <c r="D134" t="inlineStr">
        <is>
          <t>VÄSTRA GÖTALANDS LÄN</t>
        </is>
      </c>
      <c r="E134" t="inlineStr">
        <is>
          <t>ALE</t>
        </is>
      </c>
      <c r="G134" t="n">
        <v>3.9</v>
      </c>
      <c r="H134" t="n">
        <v>0</v>
      </c>
      <c r="I134" t="n">
        <v>0</v>
      </c>
      <c r="J134" t="n">
        <v>0</v>
      </c>
      <c r="K134" t="n">
        <v>0</v>
      </c>
      <c r="L134" t="n">
        <v>0</v>
      </c>
      <c r="M134" t="n">
        <v>0</v>
      </c>
      <c r="N134" t="n">
        <v>0</v>
      </c>
      <c r="O134" t="n">
        <v>0</v>
      </c>
      <c r="P134" t="n">
        <v>0</v>
      </c>
      <c r="Q134" t="n">
        <v>0</v>
      </c>
      <c r="R134" s="2" t="inlineStr"/>
    </row>
    <row r="135" ht="15" customHeight="1">
      <c r="A135" t="inlineStr">
        <is>
          <t>A 61819-2025</t>
        </is>
      </c>
      <c r="B135" s="1" t="n">
        <v>46003.3241087963</v>
      </c>
      <c r="C135" s="1" t="n">
        <v>46082</v>
      </c>
      <c r="D135" t="inlineStr">
        <is>
          <t>VÄSTRA GÖTALANDS LÄN</t>
        </is>
      </c>
      <c r="E135" t="inlineStr">
        <is>
          <t>ALE</t>
        </is>
      </c>
      <c r="G135" t="n">
        <v>5.1</v>
      </c>
      <c r="H135" t="n">
        <v>0</v>
      </c>
      <c r="I135" t="n">
        <v>0</v>
      </c>
      <c r="J135" t="n">
        <v>0</v>
      </c>
      <c r="K135" t="n">
        <v>0</v>
      </c>
      <c r="L135" t="n">
        <v>0</v>
      </c>
      <c r="M135" t="n">
        <v>0</v>
      </c>
      <c r="N135" t="n">
        <v>0</v>
      </c>
      <c r="O135" t="n">
        <v>0</v>
      </c>
      <c r="P135" t="n">
        <v>0</v>
      </c>
      <c r="Q135" t="n">
        <v>0</v>
      </c>
      <c r="R135" s="2" t="inlineStr"/>
    </row>
    <row r="136" ht="15" customHeight="1">
      <c r="A136" t="inlineStr">
        <is>
          <t>A 62828-2025</t>
        </is>
      </c>
      <c r="B136" s="1" t="n">
        <v>46008.66553240741</v>
      </c>
      <c r="C136" s="1" t="n">
        <v>46082</v>
      </c>
      <c r="D136" t="inlineStr">
        <is>
          <t>VÄSTRA GÖTALANDS LÄN</t>
        </is>
      </c>
      <c r="E136" t="inlineStr">
        <is>
          <t>ALE</t>
        </is>
      </c>
      <c r="G136" t="n">
        <v>2.6</v>
      </c>
      <c r="H136" t="n">
        <v>0</v>
      </c>
      <c r="I136" t="n">
        <v>0</v>
      </c>
      <c r="J136" t="n">
        <v>0</v>
      </c>
      <c r="K136" t="n">
        <v>0</v>
      </c>
      <c r="L136" t="n">
        <v>0</v>
      </c>
      <c r="M136" t="n">
        <v>0</v>
      </c>
      <c r="N136" t="n">
        <v>0</v>
      </c>
      <c r="O136" t="n">
        <v>0</v>
      </c>
      <c r="P136" t="n">
        <v>0</v>
      </c>
      <c r="Q136" t="n">
        <v>0</v>
      </c>
      <c r="R136" s="2" t="inlineStr"/>
    </row>
    <row r="137" ht="15" customHeight="1">
      <c r="A137" t="inlineStr">
        <is>
          <t>A 8956-2025</t>
        </is>
      </c>
      <c r="B137" s="1" t="n">
        <v>45713.46825231481</v>
      </c>
      <c r="C137" s="1" t="n">
        <v>46082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6621-2026</t>
        </is>
      </c>
      <c r="B138" s="1" t="n">
        <v>46056.4970949074</v>
      </c>
      <c r="C138" s="1" t="n">
        <v>46082</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8659-2025</t>
        </is>
      </c>
      <c r="B139" s="1" t="n">
        <v>45712</v>
      </c>
      <c r="C139" s="1" t="n">
        <v>46082</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1822-2024</t>
        </is>
      </c>
      <c r="B140" s="1" t="n">
        <v>45307.6205787037</v>
      </c>
      <c r="C140" s="1" t="n">
        <v>46082</v>
      </c>
      <c r="D140" t="inlineStr">
        <is>
          <t>VÄSTRA GÖTALANDS LÄN</t>
        </is>
      </c>
      <c r="E140" t="inlineStr">
        <is>
          <t>ALE</t>
        </is>
      </c>
      <c r="G140" t="n">
        <v>2</v>
      </c>
      <c r="H140" t="n">
        <v>0</v>
      </c>
      <c r="I140" t="n">
        <v>0</v>
      </c>
      <c r="J140" t="n">
        <v>0</v>
      </c>
      <c r="K140" t="n">
        <v>0</v>
      </c>
      <c r="L140" t="n">
        <v>0</v>
      </c>
      <c r="M140" t="n">
        <v>0</v>
      </c>
      <c r="N140" t="n">
        <v>0</v>
      </c>
      <c r="O140" t="n">
        <v>0</v>
      </c>
      <c r="P140" t="n">
        <v>0</v>
      </c>
      <c r="Q140" t="n">
        <v>0</v>
      </c>
      <c r="R140" s="2" t="inlineStr"/>
    </row>
    <row r="141" ht="15" customHeight="1">
      <c r="A141" t="inlineStr">
        <is>
          <t>A 7296-2026</t>
        </is>
      </c>
      <c r="B141" s="1" t="n">
        <v>46058.64341435185</v>
      </c>
      <c r="C141" s="1" t="n">
        <v>46082</v>
      </c>
      <c r="D141" t="inlineStr">
        <is>
          <t>VÄSTRA GÖTALANDS LÄN</t>
        </is>
      </c>
      <c r="E141" t="inlineStr">
        <is>
          <t>ALE</t>
        </is>
      </c>
      <c r="G141" t="n">
        <v>7.2</v>
      </c>
      <c r="H141" t="n">
        <v>0</v>
      </c>
      <c r="I141" t="n">
        <v>0</v>
      </c>
      <c r="J141" t="n">
        <v>0</v>
      </c>
      <c r="K141" t="n">
        <v>0</v>
      </c>
      <c r="L141" t="n">
        <v>0</v>
      </c>
      <c r="M141" t="n">
        <v>0</v>
      </c>
      <c r="N141" t="n">
        <v>0</v>
      </c>
      <c r="O141" t="n">
        <v>0</v>
      </c>
      <c r="P141" t="n">
        <v>0</v>
      </c>
      <c r="Q141" t="n">
        <v>0</v>
      </c>
      <c r="R141" s="2" t="inlineStr"/>
    </row>
    <row r="142" ht="15" customHeight="1">
      <c r="A142" t="inlineStr">
        <is>
          <t>A 15241-2025</t>
        </is>
      </c>
      <c r="B142" s="1" t="n">
        <v>45744.61255787037</v>
      </c>
      <c r="C142" s="1" t="n">
        <v>46082</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8111-2026</t>
        </is>
      </c>
      <c r="B143" s="1" t="n">
        <v>46062</v>
      </c>
      <c r="C143" s="1" t="n">
        <v>46082</v>
      </c>
      <c r="D143" t="inlineStr">
        <is>
          <t>VÄSTRA GÖTALANDS LÄN</t>
        </is>
      </c>
      <c r="E143" t="inlineStr">
        <is>
          <t>ALE</t>
        </is>
      </c>
      <c r="G143" t="n">
        <v>0.3</v>
      </c>
      <c r="H143" t="n">
        <v>0</v>
      </c>
      <c r="I143" t="n">
        <v>0</v>
      </c>
      <c r="J143" t="n">
        <v>0</v>
      </c>
      <c r="K143" t="n">
        <v>0</v>
      </c>
      <c r="L143" t="n">
        <v>0</v>
      </c>
      <c r="M143" t="n">
        <v>0</v>
      </c>
      <c r="N143" t="n">
        <v>0</v>
      </c>
      <c r="O143" t="n">
        <v>0</v>
      </c>
      <c r="P143" t="n">
        <v>0</v>
      </c>
      <c r="Q143" t="n">
        <v>0</v>
      </c>
      <c r="R143" s="2" t="inlineStr"/>
    </row>
    <row r="144" ht="15" customHeight="1">
      <c r="A144" t="inlineStr">
        <is>
          <t>A 6947-2024</t>
        </is>
      </c>
      <c r="B144" s="1" t="n">
        <v>45343</v>
      </c>
      <c r="C144" s="1" t="n">
        <v>46082</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8110-2026</t>
        </is>
      </c>
      <c r="B145" s="1" t="n">
        <v>46062</v>
      </c>
      <c r="C145" s="1" t="n">
        <v>46082</v>
      </c>
      <c r="D145" t="inlineStr">
        <is>
          <t>VÄSTRA GÖTALANDS LÄN</t>
        </is>
      </c>
      <c r="E145" t="inlineStr">
        <is>
          <t>ALE</t>
        </is>
      </c>
      <c r="G145" t="n">
        <v>0.7</v>
      </c>
      <c r="H145" t="n">
        <v>0</v>
      </c>
      <c r="I145" t="n">
        <v>0</v>
      </c>
      <c r="J145" t="n">
        <v>0</v>
      </c>
      <c r="K145" t="n">
        <v>0</v>
      </c>
      <c r="L145" t="n">
        <v>0</v>
      </c>
      <c r="M145" t="n">
        <v>0</v>
      </c>
      <c r="N145" t="n">
        <v>0</v>
      </c>
      <c r="O145" t="n">
        <v>0</v>
      </c>
      <c r="P145" t="n">
        <v>0</v>
      </c>
      <c r="Q145" t="n">
        <v>0</v>
      </c>
      <c r="R145" s="2" t="inlineStr"/>
    </row>
    <row r="146" ht="15" customHeight="1">
      <c r="A146" t="inlineStr">
        <is>
          <t>A 8112-2026</t>
        </is>
      </c>
      <c r="B146" s="1" t="n">
        <v>46062</v>
      </c>
      <c r="C146" s="1" t="n">
        <v>46082</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9783-2026</t>
        </is>
      </c>
      <c r="B147" s="1" t="n">
        <v>46072.58835648148</v>
      </c>
      <c r="C147" s="1" t="n">
        <v>46082</v>
      </c>
      <c r="D147" t="inlineStr">
        <is>
          <t>VÄSTRA GÖTALANDS LÄN</t>
        </is>
      </c>
      <c r="E147" t="inlineStr">
        <is>
          <t>ALE</t>
        </is>
      </c>
      <c r="G147" t="n">
        <v>4.9</v>
      </c>
      <c r="H147" t="n">
        <v>0</v>
      </c>
      <c r="I147" t="n">
        <v>0</v>
      </c>
      <c r="J147" t="n">
        <v>0</v>
      </c>
      <c r="K147" t="n">
        <v>0</v>
      </c>
      <c r="L147" t="n">
        <v>0</v>
      </c>
      <c r="M147" t="n">
        <v>0</v>
      </c>
      <c r="N147" t="n">
        <v>0</v>
      </c>
      <c r="O147" t="n">
        <v>0</v>
      </c>
      <c r="P147" t="n">
        <v>0</v>
      </c>
      <c r="Q147" t="n">
        <v>0</v>
      </c>
      <c r="R147" s="2" t="inlineStr"/>
    </row>
    <row r="148" ht="15" customHeight="1">
      <c r="A148" t="inlineStr">
        <is>
          <t>A 1291-2026</t>
        </is>
      </c>
      <c r="B148" s="1" t="n">
        <v>46031.50569444444</v>
      </c>
      <c r="C148" s="1" t="n">
        <v>46082</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34153-2024</t>
        </is>
      </c>
      <c r="B149" s="1" t="n">
        <v>45524.38400462963</v>
      </c>
      <c r="C149" s="1" t="n">
        <v>46082</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10459-2026</t>
        </is>
      </c>
      <c r="B150" s="1" t="n">
        <v>46077.45564814815</v>
      </c>
      <c r="C150" s="1" t="n">
        <v>46082</v>
      </c>
      <c r="D150" t="inlineStr">
        <is>
          <t>VÄSTRA GÖTALANDS LÄN</t>
        </is>
      </c>
      <c r="E150" t="inlineStr">
        <is>
          <t>ALE</t>
        </is>
      </c>
      <c r="G150" t="n">
        <v>3.8</v>
      </c>
      <c r="H150" t="n">
        <v>0</v>
      </c>
      <c r="I150" t="n">
        <v>0</v>
      </c>
      <c r="J150" t="n">
        <v>0</v>
      </c>
      <c r="K150" t="n">
        <v>0</v>
      </c>
      <c r="L150" t="n">
        <v>0</v>
      </c>
      <c r="M150" t="n">
        <v>0</v>
      </c>
      <c r="N150" t="n">
        <v>0</v>
      </c>
      <c r="O150" t="n">
        <v>0</v>
      </c>
      <c r="P150" t="n">
        <v>0</v>
      </c>
      <c r="Q150" t="n">
        <v>0</v>
      </c>
      <c r="R150" s="2" t="inlineStr"/>
    </row>
    <row r="151" ht="15" customHeight="1">
      <c r="A151" t="inlineStr">
        <is>
          <t>A 2414-2026</t>
        </is>
      </c>
      <c r="B151" s="1" t="n">
        <v>46036.74319444445</v>
      </c>
      <c r="C151" s="1" t="n">
        <v>46082</v>
      </c>
      <c r="D151" t="inlineStr">
        <is>
          <t>VÄSTRA GÖTALANDS LÄN</t>
        </is>
      </c>
      <c r="E151" t="inlineStr">
        <is>
          <t>ALE</t>
        </is>
      </c>
      <c r="G151" t="n">
        <v>3.3</v>
      </c>
      <c r="H151" t="n">
        <v>0</v>
      </c>
      <c r="I151" t="n">
        <v>0</v>
      </c>
      <c r="J151" t="n">
        <v>0</v>
      </c>
      <c r="K151" t="n">
        <v>0</v>
      </c>
      <c r="L151" t="n">
        <v>0</v>
      </c>
      <c r="M151" t="n">
        <v>0</v>
      </c>
      <c r="N151" t="n">
        <v>0</v>
      </c>
      <c r="O151" t="n">
        <v>0</v>
      </c>
      <c r="P151" t="n">
        <v>0</v>
      </c>
      <c r="Q151" t="n">
        <v>0</v>
      </c>
      <c r="R151" s="2" t="inlineStr"/>
    </row>
    <row r="152" ht="15" customHeight="1">
      <c r="A152" t="inlineStr">
        <is>
          <t>A 41309-2024</t>
        </is>
      </c>
      <c r="B152" s="1" t="n">
        <v>45559</v>
      </c>
      <c r="C152" s="1" t="n">
        <v>46082</v>
      </c>
      <c r="D152" t="inlineStr">
        <is>
          <t>VÄSTRA GÖTALANDS LÄN</t>
        </is>
      </c>
      <c r="E152" t="inlineStr">
        <is>
          <t>ALE</t>
        </is>
      </c>
      <c r="G152" t="n">
        <v>8.4</v>
      </c>
      <c r="H152" t="n">
        <v>0</v>
      </c>
      <c r="I152" t="n">
        <v>0</v>
      </c>
      <c r="J152" t="n">
        <v>0</v>
      </c>
      <c r="K152" t="n">
        <v>0</v>
      </c>
      <c r="L152" t="n">
        <v>0</v>
      </c>
      <c r="M152" t="n">
        <v>0</v>
      </c>
      <c r="N152" t="n">
        <v>0</v>
      </c>
      <c r="O152" t="n">
        <v>0</v>
      </c>
      <c r="P152" t="n">
        <v>0</v>
      </c>
      <c r="Q152" t="n">
        <v>0</v>
      </c>
      <c r="R152" s="2" t="inlineStr"/>
    </row>
    <row r="153" ht="15" customHeight="1">
      <c r="A153" t="inlineStr">
        <is>
          <t>A 15499-2022</t>
        </is>
      </c>
      <c r="B153" s="1" t="n">
        <v>44662</v>
      </c>
      <c r="C153" s="1" t="n">
        <v>46082</v>
      </c>
      <c r="D153" t="inlineStr">
        <is>
          <t>VÄSTRA GÖTALANDS LÄN</t>
        </is>
      </c>
      <c r="E153" t="inlineStr">
        <is>
          <t>ALE</t>
        </is>
      </c>
      <c r="G153" t="n">
        <v>4.7</v>
      </c>
      <c r="H153" t="n">
        <v>0</v>
      </c>
      <c r="I153" t="n">
        <v>0</v>
      </c>
      <c r="J153" t="n">
        <v>0</v>
      </c>
      <c r="K153" t="n">
        <v>0</v>
      </c>
      <c r="L153" t="n">
        <v>0</v>
      </c>
      <c r="M153" t="n">
        <v>0</v>
      </c>
      <c r="N153" t="n">
        <v>0</v>
      </c>
      <c r="O153" t="n">
        <v>0</v>
      </c>
      <c r="P153" t="n">
        <v>0</v>
      </c>
      <c r="Q153" t="n">
        <v>0</v>
      </c>
      <c r="R153" s="2" t="inlineStr"/>
    </row>
    <row r="154" ht="15" customHeight="1">
      <c r="A154" t="inlineStr">
        <is>
          <t>A 3413-2023</t>
        </is>
      </c>
      <c r="B154" s="1" t="n">
        <v>44949</v>
      </c>
      <c r="C154" s="1" t="n">
        <v>46082</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27314-2021</t>
        </is>
      </c>
      <c r="B155" s="1" t="n">
        <v>44351.36537037037</v>
      </c>
      <c r="C155" s="1" t="n">
        <v>46082</v>
      </c>
      <c r="D155" t="inlineStr">
        <is>
          <t>VÄSTRA GÖTALANDS LÄN</t>
        </is>
      </c>
      <c r="E155" t="inlineStr">
        <is>
          <t>ALE</t>
        </is>
      </c>
      <c r="G155" t="n">
        <v>11.3</v>
      </c>
      <c r="H155" t="n">
        <v>0</v>
      </c>
      <c r="I155" t="n">
        <v>0</v>
      </c>
      <c r="J155" t="n">
        <v>0</v>
      </c>
      <c r="K155" t="n">
        <v>0</v>
      </c>
      <c r="L155" t="n">
        <v>0</v>
      </c>
      <c r="M155" t="n">
        <v>0</v>
      </c>
      <c r="N155" t="n">
        <v>0</v>
      </c>
      <c r="O155" t="n">
        <v>0</v>
      </c>
      <c r="P155" t="n">
        <v>0</v>
      </c>
      <c r="Q155" t="n">
        <v>0</v>
      </c>
      <c r="R155" s="2" t="inlineStr"/>
    </row>
    <row r="156" ht="15" customHeight="1">
      <c r="A156" t="inlineStr">
        <is>
          <t>A 1960-2024</t>
        </is>
      </c>
      <c r="B156" s="1" t="n">
        <v>45308.50962962963</v>
      </c>
      <c r="C156" s="1" t="n">
        <v>46082</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3418-2023</t>
        </is>
      </c>
      <c r="B157" s="1" t="n">
        <v>44949.56182870371</v>
      </c>
      <c r="C157" s="1" t="n">
        <v>46082</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ht="15" customHeight="1">
      <c r="A158" t="inlineStr">
        <is>
          <t>A 65226-2021</t>
        </is>
      </c>
      <c r="B158" s="1" t="n">
        <v>44515</v>
      </c>
      <c r="C158" s="1" t="n">
        <v>46082</v>
      </c>
      <c r="D158" t="inlineStr">
        <is>
          <t>VÄSTRA GÖTALANDS LÄN</t>
        </is>
      </c>
      <c r="E158" t="inlineStr">
        <is>
          <t>ALE</t>
        </is>
      </c>
      <c r="G158" t="n">
        <v>0.7</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46082</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3457-2022</t>
        </is>
      </c>
      <c r="B160" s="1" t="n">
        <v>44585</v>
      </c>
      <c r="C160" s="1" t="n">
        <v>46082</v>
      </c>
      <c r="D160" t="inlineStr">
        <is>
          <t>VÄSTRA GÖTALANDS LÄN</t>
        </is>
      </c>
      <c r="E160" t="inlineStr">
        <is>
          <t>ALE</t>
        </is>
      </c>
      <c r="G160" t="n">
        <v>5.1</v>
      </c>
      <c r="H160" t="n">
        <v>0</v>
      </c>
      <c r="I160" t="n">
        <v>0</v>
      </c>
      <c r="J160" t="n">
        <v>0</v>
      </c>
      <c r="K160" t="n">
        <v>0</v>
      </c>
      <c r="L160" t="n">
        <v>0</v>
      </c>
      <c r="M160" t="n">
        <v>0</v>
      </c>
      <c r="N160" t="n">
        <v>0</v>
      </c>
      <c r="O160" t="n">
        <v>0</v>
      </c>
      <c r="P160" t="n">
        <v>0</v>
      </c>
      <c r="Q160" t="n">
        <v>0</v>
      </c>
      <c r="R160" s="2" t="inlineStr"/>
    </row>
    <row r="161" ht="15" customHeight="1">
      <c r="A161" t="inlineStr">
        <is>
          <t>A 5916-2023</t>
        </is>
      </c>
      <c r="B161" s="1" t="n">
        <v>44963</v>
      </c>
      <c r="C161" s="1" t="n">
        <v>46082</v>
      </c>
      <c r="D161" t="inlineStr">
        <is>
          <t>VÄSTRA GÖTALANDS LÄN</t>
        </is>
      </c>
      <c r="E161" t="inlineStr">
        <is>
          <t>ALE</t>
        </is>
      </c>
      <c r="G161" t="n">
        <v>4.2</v>
      </c>
      <c r="H161" t="n">
        <v>0</v>
      </c>
      <c r="I161" t="n">
        <v>0</v>
      </c>
      <c r="J161" t="n">
        <v>0</v>
      </c>
      <c r="K161" t="n">
        <v>0</v>
      </c>
      <c r="L161" t="n">
        <v>0</v>
      </c>
      <c r="M161" t="n">
        <v>0</v>
      </c>
      <c r="N161" t="n">
        <v>0</v>
      </c>
      <c r="O161" t="n">
        <v>0</v>
      </c>
      <c r="P161" t="n">
        <v>0</v>
      </c>
      <c r="Q161" t="n">
        <v>0</v>
      </c>
      <c r="R161" s="2" t="inlineStr"/>
    </row>
    <row r="162" ht="15" customHeight="1">
      <c r="A162" t="inlineStr">
        <is>
          <t>A 4363-2024</t>
        </is>
      </c>
      <c r="B162" s="1" t="n">
        <v>45325</v>
      </c>
      <c r="C162" s="1" t="n">
        <v>46082</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16601-2025</t>
        </is>
      </c>
      <c r="B163" s="1" t="n">
        <v>45753.53189814815</v>
      </c>
      <c r="C163" s="1" t="n">
        <v>46082</v>
      </c>
      <c r="D163" t="inlineStr">
        <is>
          <t>VÄSTRA GÖTALANDS LÄN</t>
        </is>
      </c>
      <c r="E163" t="inlineStr">
        <is>
          <t>ALE</t>
        </is>
      </c>
      <c r="G163" t="n">
        <v>1.7</v>
      </c>
      <c r="H163" t="n">
        <v>0</v>
      </c>
      <c r="I163" t="n">
        <v>0</v>
      </c>
      <c r="J163" t="n">
        <v>0</v>
      </c>
      <c r="K163" t="n">
        <v>0</v>
      </c>
      <c r="L163" t="n">
        <v>0</v>
      </c>
      <c r="M163" t="n">
        <v>0</v>
      </c>
      <c r="N163" t="n">
        <v>0</v>
      </c>
      <c r="O163" t="n">
        <v>0</v>
      </c>
      <c r="P163" t="n">
        <v>0</v>
      </c>
      <c r="Q163" t="n">
        <v>0</v>
      </c>
      <c r="R163" s="2" t="inlineStr"/>
    </row>
    <row r="164" ht="15" customHeight="1">
      <c r="A164" t="inlineStr">
        <is>
          <t>A 20067-2023</t>
        </is>
      </c>
      <c r="B164" s="1" t="n">
        <v>45054</v>
      </c>
      <c r="C164" s="1" t="n">
        <v>46082</v>
      </c>
      <c r="D164" t="inlineStr">
        <is>
          <t>VÄSTRA GÖTALANDS LÄN</t>
        </is>
      </c>
      <c r="E164" t="inlineStr">
        <is>
          <t>ALE</t>
        </is>
      </c>
      <c r="G164" t="n">
        <v>0.4</v>
      </c>
      <c r="H164" t="n">
        <v>0</v>
      </c>
      <c r="I164" t="n">
        <v>0</v>
      </c>
      <c r="J164" t="n">
        <v>0</v>
      </c>
      <c r="K164" t="n">
        <v>0</v>
      </c>
      <c r="L164" t="n">
        <v>0</v>
      </c>
      <c r="M164" t="n">
        <v>0</v>
      </c>
      <c r="N164" t="n">
        <v>0</v>
      </c>
      <c r="O164" t="n">
        <v>0</v>
      </c>
      <c r="P164" t="n">
        <v>0</v>
      </c>
      <c r="Q164" t="n">
        <v>0</v>
      </c>
      <c r="R164" s="2" t="inlineStr"/>
    </row>
    <row r="165" ht="15" customHeight="1">
      <c r="A165" t="inlineStr">
        <is>
          <t>A 1500-2024</t>
        </is>
      </c>
      <c r="B165" s="1" t="n">
        <v>45306</v>
      </c>
      <c r="C165" s="1" t="n">
        <v>46082</v>
      </c>
      <c r="D165" t="inlineStr">
        <is>
          <t>VÄSTRA GÖTALANDS LÄN</t>
        </is>
      </c>
      <c r="E165" t="inlineStr">
        <is>
          <t>ALE</t>
        </is>
      </c>
      <c r="G165" t="n">
        <v>1.3</v>
      </c>
      <c r="H165" t="n">
        <v>0</v>
      </c>
      <c r="I165" t="n">
        <v>0</v>
      </c>
      <c r="J165" t="n">
        <v>0</v>
      </c>
      <c r="K165" t="n">
        <v>0</v>
      </c>
      <c r="L165" t="n">
        <v>0</v>
      </c>
      <c r="M165" t="n">
        <v>0</v>
      </c>
      <c r="N165" t="n">
        <v>0</v>
      </c>
      <c r="O165" t="n">
        <v>0</v>
      </c>
      <c r="P165" t="n">
        <v>0</v>
      </c>
      <c r="Q165" t="n">
        <v>0</v>
      </c>
      <c r="R165" s="2" t="inlineStr"/>
    </row>
    <row r="166" ht="15" customHeight="1">
      <c r="A166" t="inlineStr">
        <is>
          <t>A 6916-2023</t>
        </is>
      </c>
      <c r="B166" s="1" t="n">
        <v>44967.53349537037</v>
      </c>
      <c r="C166" s="1" t="n">
        <v>46082</v>
      </c>
      <c r="D166" t="inlineStr">
        <is>
          <t>VÄSTRA GÖTALANDS LÄN</t>
        </is>
      </c>
      <c r="E166" t="inlineStr">
        <is>
          <t>ALE</t>
        </is>
      </c>
      <c r="G166" t="n">
        <v>1</v>
      </c>
      <c r="H166" t="n">
        <v>0</v>
      </c>
      <c r="I166" t="n">
        <v>0</v>
      </c>
      <c r="J166" t="n">
        <v>0</v>
      </c>
      <c r="K166" t="n">
        <v>0</v>
      </c>
      <c r="L166" t="n">
        <v>0</v>
      </c>
      <c r="M166" t="n">
        <v>0</v>
      </c>
      <c r="N166" t="n">
        <v>0</v>
      </c>
      <c r="O166" t="n">
        <v>0</v>
      </c>
      <c r="P166" t="n">
        <v>0</v>
      </c>
      <c r="Q166" t="n">
        <v>0</v>
      </c>
      <c r="R166" s="2" t="inlineStr"/>
    </row>
    <row r="167" ht="15" customHeight="1">
      <c r="A167" t="inlineStr">
        <is>
          <t>A 64199-2021</t>
        </is>
      </c>
      <c r="B167" s="1" t="n">
        <v>44510</v>
      </c>
      <c r="C167" s="1" t="n">
        <v>46082</v>
      </c>
      <c r="D167" t="inlineStr">
        <is>
          <t>VÄSTRA GÖTALANDS LÄN</t>
        </is>
      </c>
      <c r="E167" t="inlineStr">
        <is>
          <t>ALE</t>
        </is>
      </c>
      <c r="G167" t="n">
        <v>5.7</v>
      </c>
      <c r="H167" t="n">
        <v>0</v>
      </c>
      <c r="I167" t="n">
        <v>0</v>
      </c>
      <c r="J167" t="n">
        <v>0</v>
      </c>
      <c r="K167" t="n">
        <v>0</v>
      </c>
      <c r="L167" t="n">
        <v>0</v>
      </c>
      <c r="M167" t="n">
        <v>0</v>
      </c>
      <c r="N167" t="n">
        <v>0</v>
      </c>
      <c r="O167" t="n">
        <v>0</v>
      </c>
      <c r="P167" t="n">
        <v>0</v>
      </c>
      <c r="Q167" t="n">
        <v>0</v>
      </c>
      <c r="R167" s="2" t="inlineStr"/>
    </row>
    <row r="168" ht="15" customHeight="1">
      <c r="A168" t="inlineStr">
        <is>
          <t>A 15582-2025</t>
        </is>
      </c>
      <c r="B168" s="1" t="n">
        <v>45747.81394675926</v>
      </c>
      <c r="C168" s="1" t="n">
        <v>46082</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22946-2025</t>
        </is>
      </c>
      <c r="B169" s="1" t="n">
        <v>45790.48229166667</v>
      </c>
      <c r="C169" s="1" t="n">
        <v>46082</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4971-2024</t>
        </is>
      </c>
      <c r="B170" s="1" t="n">
        <v>45329</v>
      </c>
      <c r="C170" s="1" t="n">
        <v>46082</v>
      </c>
      <c r="D170" t="inlineStr">
        <is>
          <t>VÄSTRA GÖTALANDS LÄN</t>
        </is>
      </c>
      <c r="E170" t="inlineStr">
        <is>
          <t>ALE</t>
        </is>
      </c>
      <c r="G170" t="n">
        <v>2.2</v>
      </c>
      <c r="H170" t="n">
        <v>0</v>
      </c>
      <c r="I170" t="n">
        <v>0</v>
      </c>
      <c r="J170" t="n">
        <v>0</v>
      </c>
      <c r="K170" t="n">
        <v>0</v>
      </c>
      <c r="L170" t="n">
        <v>0</v>
      </c>
      <c r="M170" t="n">
        <v>0</v>
      </c>
      <c r="N170" t="n">
        <v>0</v>
      </c>
      <c r="O170" t="n">
        <v>0</v>
      </c>
      <c r="P170" t="n">
        <v>0</v>
      </c>
      <c r="Q170" t="n">
        <v>0</v>
      </c>
      <c r="R170" s="2" t="inlineStr"/>
    </row>
    <row r="171" ht="15" customHeight="1">
      <c r="A171" t="inlineStr">
        <is>
          <t>A 37461-2024</t>
        </is>
      </c>
      <c r="B171" s="1" t="n">
        <v>45540.72516203704</v>
      </c>
      <c r="C171" s="1" t="n">
        <v>46082</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25849-2025</t>
        </is>
      </c>
      <c r="B172" s="1" t="n">
        <v>45804</v>
      </c>
      <c r="C172" s="1" t="n">
        <v>46082</v>
      </c>
      <c r="D172" t="inlineStr">
        <is>
          <t>VÄSTRA GÖTALANDS LÄN</t>
        </is>
      </c>
      <c r="E172" t="inlineStr">
        <is>
          <t>ALE</t>
        </is>
      </c>
      <c r="G172" t="n">
        <v>0.8</v>
      </c>
      <c r="H172" t="n">
        <v>0</v>
      </c>
      <c r="I172" t="n">
        <v>0</v>
      </c>
      <c r="J172" t="n">
        <v>0</v>
      </c>
      <c r="K172" t="n">
        <v>0</v>
      </c>
      <c r="L172" t="n">
        <v>0</v>
      </c>
      <c r="M172" t="n">
        <v>0</v>
      </c>
      <c r="N172" t="n">
        <v>0</v>
      </c>
      <c r="O172" t="n">
        <v>0</v>
      </c>
      <c r="P172" t="n">
        <v>0</v>
      </c>
      <c r="Q172" t="n">
        <v>0</v>
      </c>
      <c r="R172" s="2" t="inlineStr"/>
    </row>
    <row r="173" ht="15" customHeight="1">
      <c r="A173" t="inlineStr">
        <is>
          <t>A 25848-2025</t>
        </is>
      </c>
      <c r="B173" s="1" t="n">
        <v>45804</v>
      </c>
      <c r="C173" s="1" t="n">
        <v>46082</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c r="A174" t="inlineStr">
        <is>
          <t>A 25840-2025</t>
        </is>
      </c>
      <c r="B174" s="1" t="n">
        <v>45804</v>
      </c>
      <c r="C174" s="1" t="n">
        <v>46082</v>
      </c>
      <c r="D174" t="inlineStr">
        <is>
          <t>VÄSTRA GÖTALANDS LÄN</t>
        </is>
      </c>
      <c r="E174" t="inlineStr">
        <is>
          <t>ALE</t>
        </is>
      </c>
      <c r="G174" t="n">
        <v>3.8</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2026-03-01T11:08:40Z</dcterms:created>
  <dcterms:modified xmlns:dcterms="http://purl.org/dc/terms/" xmlns:xsi="http://www.w3.org/2001/XMLSchema-instance" xsi:type="dcterms:W3CDTF">2026-03-01T11:08:40Z</dcterms:modified>
</cp:coreProperties>
</file>