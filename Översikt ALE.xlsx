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46228</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46228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46228</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46228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46228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46228</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46228</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46228</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46228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46228</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46228</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46228</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46228</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46228</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46228</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46228</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46228</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63569-2023</t>
        </is>
      </c>
      <c r="B26" t="inlineStr">
        <is>
          <t>avverkningsanmälan</t>
        </is>
      </c>
      <c r="C26" t="inlineStr">
        <is>
          <t>Föryngringsavverkning</t>
        </is>
      </c>
      <c r="D26" s="1" t="n">
        <v>45275</v>
      </c>
      <c r="E26" s="1" t="n">
        <v>46228</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3413-2023</t>
        </is>
      </c>
      <c r="B27" t="inlineStr">
        <is>
          <t>avverkningsanmälan</t>
        </is>
      </c>
      <c r="C27" t="inlineStr">
        <is>
          <t>Föryngringsavverkning</t>
        </is>
      </c>
      <c r="D27" s="1" t="n">
        <v>44949</v>
      </c>
      <c r="E27" s="1" t="n">
        <v>46228</v>
      </c>
      <c r="F27" t="inlineStr">
        <is>
          <t>VÄSTRA GÖTALANDS LÄN</t>
        </is>
      </c>
      <c r="G27" t="inlineStr">
        <is>
          <t>ALE</t>
        </is>
      </c>
      <c r="I27" t="n">
        <v>2.3</v>
      </c>
      <c r="J27" t="n">
        <v>2</v>
      </c>
      <c r="K27" t="n">
        <v>0</v>
      </c>
      <c r="L27" t="n">
        <v>0</v>
      </c>
      <c r="M27" t="n">
        <v>0</v>
      </c>
      <c r="N27" t="n">
        <v>0</v>
      </c>
      <c r="O27" t="n">
        <v>0</v>
      </c>
      <c r="P27" t="n">
        <v>0</v>
      </c>
      <c r="Q27" t="n">
        <v>0</v>
      </c>
      <c r="R27" t="n">
        <v>0</v>
      </c>
      <c r="S27" t="n">
        <v>2</v>
      </c>
      <c r="T27" t="n">
        <v>3</v>
      </c>
      <c r="U27" t="n">
        <v>3</v>
      </c>
      <c r="V27" s="2" t="inlineStr">
        <is>
          <t>Vanlig padda
Revlummer</t>
        </is>
      </c>
      <c r="W27">
        <f>HYPERLINK("https://klasma.github.io/Logging_1440/artfynd/A 3413-2023 artfynd.xlsx", "A 3413-2023")</f>
        <v/>
      </c>
      <c r="X27">
        <f>HYPERLINK("https://klasma.github.io/Logging_1440/kartor/A 3413-2023 karta.png", "A 3413-2023")</f>
        <v/>
      </c>
      <c r="Y27">
        <f>HYPERLINK("https://klasma.github.io/Logging_1440/kartor_geotiff/A 3413-2023 georefererad karta.tif", "A 3413-2023")</f>
        <v/>
      </c>
      <c r="AA27">
        <f>HYPERLINK("https://klasma.github.io/Logging_1440/klagomål/A 3413-2023 FSC-klagomål.docx", "A 3413-2023")</f>
        <v/>
      </c>
      <c r="AB27">
        <f>HYPERLINK("https://klasma.github.io/Logging_1440/klagomålsmail/A 3413-2023 FSC-klagomål mail.docx", "A 3413-2023")</f>
        <v/>
      </c>
      <c r="AC27">
        <f>HYPERLINK("https://klasma.github.io/Logging_1440/tillsyn/A 3413-2023 tillsynsbegäran.docx", "A 3413-2023")</f>
        <v/>
      </c>
      <c r="AD27">
        <f>HYPERLINK("https://klasma.github.io/Logging_1440/tillsynsmail/A 3413-2023 tillsynsbegäran mail.docx", "A 3413-2023")</f>
        <v/>
      </c>
    </row>
    <row r="28" ht="15" customHeight="1">
      <c r="A28" t="inlineStr">
        <is>
          <t>A 13306-2026</t>
        </is>
      </c>
      <c r="B28" t="inlineStr">
        <is>
          <t>avverkningsanmälan</t>
        </is>
      </c>
      <c r="C28" t="inlineStr">
        <is>
          <t>Föryngringsavverkning</t>
        </is>
      </c>
      <c r="D28" s="1" t="n">
        <v>46094</v>
      </c>
      <c r="E28" s="1" t="n">
        <v>46228</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12982-2024</t>
        </is>
      </c>
      <c r="B29" t="inlineStr">
        <is>
          <t>avverkningsanmälan</t>
        </is>
      </c>
      <c r="C29" t="inlineStr">
        <is>
          <t>Föryngringsavverkning</t>
        </is>
      </c>
      <c r="D29" s="1" t="n">
        <v>45385</v>
      </c>
      <c r="E29" s="1" t="n">
        <v>46228</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1503-2024</t>
        </is>
      </c>
      <c r="B30" t="inlineStr">
        <is>
          <t>avverkningsanmälan</t>
        </is>
      </c>
      <c r="C30" t="inlineStr">
        <is>
          <t>Föryngringsavverkning</t>
        </is>
      </c>
      <c r="D30" s="1" t="n">
        <v>45306</v>
      </c>
      <c r="E30" s="1" t="n">
        <v>46228</v>
      </c>
      <c r="F30" t="inlineStr">
        <is>
          <t>VÄSTRA GÖTALANDS LÄN</t>
        </is>
      </c>
      <c r="G30" t="inlineStr">
        <is>
          <t>ALE</t>
        </is>
      </c>
      <c r="I30" t="n">
        <v>6.6</v>
      </c>
      <c r="J30" t="n">
        <v>2</v>
      </c>
      <c r="K30" t="n">
        <v>0</v>
      </c>
      <c r="L30" t="n">
        <v>0</v>
      </c>
      <c r="M30" t="n">
        <v>0</v>
      </c>
      <c r="N30" t="n">
        <v>0</v>
      </c>
      <c r="O30" t="n">
        <v>0</v>
      </c>
      <c r="P30" t="n">
        <v>0</v>
      </c>
      <c r="Q30" t="n">
        <v>0</v>
      </c>
      <c r="R30" t="n">
        <v>0</v>
      </c>
      <c r="S30" t="n">
        <v>2</v>
      </c>
      <c r="T30" t="n">
        <v>4</v>
      </c>
      <c r="U30" t="n">
        <v>4</v>
      </c>
      <c r="V30" s="2" t="inlineStr">
        <is>
          <t>Spillkråka
Revlummer</t>
        </is>
      </c>
      <c r="W30">
        <f>HYPERLINK("https://klasma.github.io/Logging_1440/artfynd/A 1503-2024 artfynd.xlsx", "A 1503-2024")</f>
        <v/>
      </c>
      <c r="X30">
        <f>HYPERLINK("https://klasma.github.io/Logging_1440/kartor/A 1503-2024 karta.png", "A 1503-2024")</f>
        <v/>
      </c>
      <c r="Y30">
        <f>HYPERLINK("https://klasma.github.io/Logging_1440/kartor_geotiff/A 1503-2024 georefererad karta.tif", "A 1503-2024")</f>
        <v/>
      </c>
      <c r="AA30">
        <f>HYPERLINK("https://klasma.github.io/Logging_1440/klagomål/A 1503-2024 FSC-klagomål.docx", "A 1503-2024")</f>
        <v/>
      </c>
      <c r="AB30">
        <f>HYPERLINK("https://klasma.github.io/Logging_1440/klagomålsmail/A 1503-2024 FSC-klagomål mail.docx", "A 1503-2024")</f>
        <v/>
      </c>
      <c r="AC30">
        <f>HYPERLINK("https://klasma.github.io/Logging_1440/tillsyn/A 1503-2024 tillsynsbegäran.docx", "A 1503-2024")</f>
        <v/>
      </c>
      <c r="AD30">
        <f>HYPERLINK("https://klasma.github.io/Logging_1440/tillsynsmail/A 1503-2024 tillsynsbegäran mail.docx", "A 1503-2024")</f>
        <v/>
      </c>
      <c r="AE30">
        <f>HYPERLINK("https://klasma.github.io/Logging_1440/fåglar/A 1503-2024 prioriterade fågelarter.docx", "A 1503-2024")</f>
        <v/>
      </c>
    </row>
    <row r="31" ht="15" customHeight="1">
      <c r="A31" t="inlineStr">
        <is>
          <t>A 2270-2025</t>
        </is>
      </c>
      <c r="B31" t="inlineStr">
        <is>
          <t>avverkningsanmälan</t>
        </is>
      </c>
      <c r="C31" t="inlineStr">
        <is>
          <t>Föryngringsavverkning</t>
        </is>
      </c>
      <c r="D31" s="1" t="n">
        <v>45673</v>
      </c>
      <c r="E31" s="1" t="n">
        <v>46228</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13380-2025</t>
        </is>
      </c>
      <c r="B32" t="inlineStr">
        <is>
          <t>avverkningsanmälan</t>
        </is>
      </c>
      <c r="C32" t="inlineStr">
        <is>
          <t>Föryngringsavverkning</t>
        </is>
      </c>
      <c r="D32" s="1" t="n">
        <v>45735</v>
      </c>
      <c r="E32" s="1" t="n">
        <v>46228</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46228</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46228</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46228</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46228</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46228</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52423-2025</t>
        </is>
      </c>
      <c r="B38" t="inlineStr">
        <is>
          <t>avverkningsanmälan</t>
        </is>
      </c>
      <c r="C38" t="inlineStr">
        <is>
          <t>Föryngringsavverkning</t>
        </is>
      </c>
      <c r="D38" s="1" t="n">
        <v>45954</v>
      </c>
      <c r="E38" s="1" t="n">
        <v>46228</v>
      </c>
      <c r="F38" t="inlineStr">
        <is>
          <t>VÄSTRA GÖTALANDS LÄN</t>
        </is>
      </c>
      <c r="G38" t="inlineStr">
        <is>
          <t>ALE</t>
        </is>
      </c>
      <c r="I38" t="n">
        <v>4.1</v>
      </c>
      <c r="J38" t="n">
        <v>1</v>
      </c>
      <c r="K38" t="n">
        <v>0</v>
      </c>
      <c r="L38" t="n">
        <v>0</v>
      </c>
      <c r="M38" t="n">
        <v>0</v>
      </c>
      <c r="N38" t="n">
        <v>0</v>
      </c>
      <c r="O38" t="n">
        <v>0</v>
      </c>
      <c r="P38" t="n">
        <v>0</v>
      </c>
      <c r="Q38" t="n">
        <v>0</v>
      </c>
      <c r="R38" t="n">
        <v>0</v>
      </c>
      <c r="S38" t="n">
        <v>1</v>
      </c>
      <c r="T38" t="n">
        <v>1</v>
      </c>
      <c r="U38" t="n">
        <v>0</v>
      </c>
      <c r="V38" s="2" t="inlineStr">
        <is>
          <t>Trana</t>
        </is>
      </c>
      <c r="W38">
        <f>HYPERLINK("https://klasma.github.io/Logging_1440/artfynd/A 52423-2025 artfynd.xlsx", "A 52423-2025")</f>
        <v/>
      </c>
      <c r="X38">
        <f>HYPERLINK("https://klasma.github.io/Logging_1440/kartor/A 52423-2025 karta.png", "A 52423-2025")</f>
        <v/>
      </c>
      <c r="Y38">
        <f>HYPERLINK("https://klasma.github.io/Logging_1440/kartor_geotiff/A 52423-2025 georefererad karta.tif", "A 52423-2025")</f>
        <v/>
      </c>
      <c r="AA38">
        <f>HYPERLINK("https://klasma.github.io/Logging_1440/klagomål/A 52423-2025 FSC-klagomål.docx", "A 52423-2025")</f>
        <v/>
      </c>
      <c r="AB38">
        <f>HYPERLINK("https://klasma.github.io/Logging_1440/klagomålsmail/A 52423-2025 FSC-klagomål mail.docx", "A 52423-2025")</f>
        <v/>
      </c>
      <c r="AC38">
        <f>HYPERLINK("https://klasma.github.io/Logging_1440/tillsyn/A 52423-2025 tillsynsbegäran.docx", "A 52423-2025")</f>
        <v/>
      </c>
      <c r="AD38">
        <f>HYPERLINK("https://klasma.github.io/Logging_1440/tillsynsmail/A 52423-2025 tillsynsbegäran mail.docx", "A 52423-2025")</f>
        <v/>
      </c>
      <c r="AE38">
        <f>HYPERLINK("https://klasma.github.io/Logging_1440/fåglar/A 52423-2025 prioriterade fågelarter.docx", "A 52423-2025")</f>
        <v/>
      </c>
    </row>
    <row r="39" ht="15" customHeight="1">
      <c r="A39" t="inlineStr">
        <is>
          <t>A 200-2022</t>
        </is>
      </c>
      <c r="B39" t="inlineStr">
        <is>
          <t>avverkningsanmälan</t>
        </is>
      </c>
      <c r="C39" t="inlineStr">
        <is>
          <t>Föryngringsavverkning</t>
        </is>
      </c>
      <c r="D39" s="1" t="n">
        <v>44564</v>
      </c>
      <c r="E39" s="1" t="n">
        <v>46228</v>
      </c>
      <c r="F39" t="inlineStr">
        <is>
          <t>VÄSTRA GÖTALANDS LÄN</t>
        </is>
      </c>
      <c r="G39" t="inlineStr">
        <is>
          <t>ALE</t>
        </is>
      </c>
      <c r="I39" t="n">
        <v>6.8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200-2022 artfynd.xlsx", "A 200-2022")</f>
        <v/>
      </c>
      <c r="X39">
        <f>HYPERLINK("https://klasma.github.io/Logging_1440/kartor/A 200-2022 karta.png", "A 200-2022")</f>
        <v/>
      </c>
      <c r="Y39">
        <f>HYPERLINK("https://klasma.github.io/Logging_1440/kartor_geotiff/A 200-2022 georefererad karta.tif", "A 200-2022")</f>
        <v/>
      </c>
      <c r="AA39">
        <f>HYPERLINK("https://klasma.github.io/Logging_1440/klagomål/A 200-2022 FSC-klagomål.docx", "A 200-2022")</f>
        <v/>
      </c>
      <c r="AB39">
        <f>HYPERLINK("https://klasma.github.io/Logging_1440/klagomålsmail/A 200-2022 FSC-klagomål mail.docx", "A 200-2022")</f>
        <v/>
      </c>
      <c r="AC39">
        <f>HYPERLINK("https://klasma.github.io/Logging_1440/tillsyn/A 200-2022 tillsynsbegäran.docx", "A 200-2022")</f>
        <v/>
      </c>
      <c r="AD39">
        <f>HYPERLINK("https://klasma.github.io/Logging_1440/tillsynsmail/A 200-2022 tillsynsbegäran mail.docx", "A 200-2022")</f>
        <v/>
      </c>
      <c r="AE39">
        <f>HYPERLINK("https://klasma.github.io/Logging_1440/fåglar/A 200-2022 prioriterade fågelarter.docx", "A 200-2022")</f>
        <v/>
      </c>
    </row>
    <row r="40" ht="15" customHeight="1">
      <c r="A40" t="inlineStr">
        <is>
          <t>A 62524-2025</t>
        </is>
      </c>
      <c r="B40" t="inlineStr">
        <is>
          <t>avverkningsanmälan</t>
        </is>
      </c>
      <c r="C40" t="inlineStr">
        <is>
          <t>Föryngringsavverkning</t>
        </is>
      </c>
      <c r="D40" s="1" t="n">
        <v>46007</v>
      </c>
      <c r="E40" s="1" t="n">
        <v>46228</v>
      </c>
      <c r="F40" t="inlineStr">
        <is>
          <t>VÄSTRA GÖTALANDS LÄN</t>
        </is>
      </c>
      <c r="G40" t="inlineStr">
        <is>
          <t>ALE</t>
        </is>
      </c>
      <c r="I40" t="n">
        <v>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HYPERLINK("https://klasma.github.io/Logging_1440/artfynd/A 62524-2025 artfynd.xlsx", "A 62524-2025")</f>
        <v/>
      </c>
      <c r="X40">
        <f>HYPERLINK("https://klasma.github.io/Logging_1440/kartor/A 62524-2025 karta.png", "A 62524-2025")</f>
        <v/>
      </c>
      <c r="Y40">
        <f>HYPERLINK("https://klasma.github.io/Logging_1440/kartor_geotiff/A 62524-2025 georefererad karta.tif", "A 62524-2025")</f>
        <v/>
      </c>
      <c r="AA40">
        <f>HYPERLINK("https://klasma.github.io/Logging_1440/klagomål/A 62524-2025 FSC-klagomål.docx", "A 62524-2025")</f>
        <v/>
      </c>
      <c r="AB40">
        <f>HYPERLINK("https://klasma.github.io/Logging_1440/klagomålsmail/A 62524-2025 FSC-klagomål mail.docx", "A 62524-2025")</f>
        <v/>
      </c>
      <c r="AC40">
        <f>HYPERLINK("https://klasma.github.io/Logging_1440/tillsyn/A 62524-2025 tillsynsbegäran.docx", "A 62524-2025")</f>
        <v/>
      </c>
      <c r="AD40">
        <f>HYPERLINK("https://klasma.github.io/Logging_1440/tillsynsmail/A 62524-2025 tillsynsbegäran mail.docx", "A 62524-2025")</f>
        <v/>
      </c>
    </row>
    <row r="41" ht="15" customHeight="1">
      <c r="A41" t="inlineStr">
        <is>
          <t>A 4363-2024</t>
        </is>
      </c>
      <c r="B41" t="inlineStr">
        <is>
          <t>avverkningsanmälan</t>
        </is>
      </c>
      <c r="C41" t="inlineStr">
        <is>
          <t>Avverkning för annat ändamål</t>
        </is>
      </c>
      <c r="D41" s="1" t="n">
        <v>45325</v>
      </c>
      <c r="E41" s="1" t="n">
        <v>46228</v>
      </c>
      <c r="F41" t="inlineStr">
        <is>
          <t>VÄSTRA GÖTALANDS LÄN</t>
        </is>
      </c>
      <c r="G41" t="inlineStr">
        <is>
          <t>ALE</t>
        </is>
      </c>
      <c r="I41" t="n">
        <v>0.6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4363-2024 artfynd.xlsx", "A 4363-2024")</f>
        <v/>
      </c>
      <c r="X41">
        <f>HYPERLINK("https://klasma.github.io/Logging_1440/kartor/A 4363-2024 karta.png", "A 4363-2024")</f>
        <v/>
      </c>
      <c r="Y41">
        <f>HYPERLINK("https://klasma.github.io/Logging_1440/kartor_geotiff/A 4363-2024 georefererad karta.tif", "A 4363-2024")</f>
        <v/>
      </c>
      <c r="AA41">
        <f>HYPERLINK("https://klasma.github.io/Logging_1440/klagomål/A 4363-2024 FSC-klagomål.docx", "A 4363-2024")</f>
        <v/>
      </c>
      <c r="AB41">
        <f>HYPERLINK("https://klasma.github.io/Logging_1440/klagomålsmail/A 4363-2024 FSC-klagomål mail.docx", "A 4363-2024")</f>
        <v/>
      </c>
      <c r="AC41">
        <f>HYPERLINK("https://klasma.github.io/Logging_1440/tillsyn/A 4363-2024 tillsynsbegäran.docx", "A 4363-2024")</f>
        <v/>
      </c>
      <c r="AD41">
        <f>HYPERLINK("https://klasma.github.io/Logging_1440/tillsynsmail/A 4363-2024 tillsynsbegäran mail.docx", "A 4363-2024")</f>
        <v/>
      </c>
      <c r="AE41">
        <f>HYPERLINK("https://klasma.github.io/Logging_1440/fåglar/A 4363-2024 prioriterade fågelarter.docx", "A 4363-2024")</f>
        <v/>
      </c>
    </row>
    <row r="42" ht="15" customHeight="1">
      <c r="A42" t="inlineStr">
        <is>
          <t>A 8659-2025</t>
        </is>
      </c>
      <c r="B42" t="inlineStr">
        <is>
          <t>avverkningsanmälan</t>
        </is>
      </c>
      <c r="C42" t="inlineStr">
        <is>
          <t>Föryngringsavverkning</t>
        </is>
      </c>
      <c r="D42" s="1" t="n">
        <v>45712</v>
      </c>
      <c r="E42" s="1" t="n">
        <v>46228</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26493-2024</t>
        </is>
      </c>
      <c r="B43" t="inlineStr">
        <is>
          <t>avverkningsanmälan</t>
        </is>
      </c>
      <c r="C43" t="inlineStr">
        <is>
          <t>Avverkning för annat ändamål</t>
        </is>
      </c>
      <c r="D43" s="1" t="n">
        <v>45469</v>
      </c>
      <c r="E43" s="1" t="n">
        <v>46228</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9783-2026</t>
        </is>
      </c>
      <c r="B44" t="inlineStr">
        <is>
          <t>avverkningsanmälan</t>
        </is>
      </c>
      <c r="C44" t="inlineStr">
        <is>
          <t>Föryngringsavverkning</t>
        </is>
      </c>
      <c r="D44" s="1" t="n">
        <v>46072</v>
      </c>
      <c r="E44" s="1" t="n">
        <v>46228</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14493-2024</t>
        </is>
      </c>
      <c r="B45" t="inlineStr">
        <is>
          <t>avverkningsanmälan</t>
        </is>
      </c>
      <c r="C45" t="inlineStr">
        <is>
          <t>Föryngringsavverkning</t>
        </is>
      </c>
      <c r="D45" s="1" t="n">
        <v>45394</v>
      </c>
      <c r="E45" s="1" t="n">
        <v>46228</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33237-2024</t>
        </is>
      </c>
      <c r="B46" t="inlineStr">
        <is>
          <t>avverkningsanmälan</t>
        </is>
      </c>
      <c r="C46" t="inlineStr">
        <is>
          <t>Föryngringsavverkning</t>
        </is>
      </c>
      <c r="D46" s="1" t="n">
        <v>45518</v>
      </c>
      <c r="E46" s="1" t="n">
        <v>46228</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41598-2022</t>
        </is>
      </c>
      <c r="B47" t="inlineStr">
        <is>
          <t>avverkningsanmälan</t>
        </is>
      </c>
      <c r="C47" t="inlineStr">
        <is>
          <t>Föryngringsavverkning</t>
        </is>
      </c>
      <c r="D47" s="1" t="n">
        <v>44827</v>
      </c>
      <c r="E47" s="1" t="n">
        <v>46228</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26677-2025</t>
        </is>
      </c>
      <c r="B48" t="inlineStr">
        <is>
          <t>avverkningsanmälan</t>
        </is>
      </c>
      <c r="C48" t="inlineStr">
        <is>
          <t>Föryngringsavverkning</t>
        </is>
      </c>
      <c r="D48" s="1" t="n">
        <v>45810</v>
      </c>
      <c r="E48" s="1" t="n">
        <v>46228</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46228</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46228</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46228</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46228</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46228</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46228</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46228</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46228</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46228</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46228</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46228</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46228</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46228</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44429-2023</t>
        </is>
      </c>
      <c r="B62" t="inlineStr">
        <is>
          <t>avverkningsanmälan</t>
        </is>
      </c>
      <c r="C62" t="inlineStr">
        <is>
          <t>Föryngringsavverkning</t>
        </is>
      </c>
      <c r="D62" s="1" t="n">
        <v>45189</v>
      </c>
      <c r="E62" s="1" t="n">
        <v>46228</v>
      </c>
      <c r="F62" t="inlineStr">
        <is>
          <t>VÄSTRA GÖTALANDS LÄN</t>
        </is>
      </c>
      <c r="G62" t="inlineStr">
        <is>
          <t>ALE</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46228</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46228</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46228</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15499-2022</t>
        </is>
      </c>
      <c r="B66" t="inlineStr">
        <is>
          <t>avverkningsanmälan</t>
        </is>
      </c>
      <c r="C66" t="inlineStr">
        <is>
          <t>Föryngringsavverkning</t>
        </is>
      </c>
      <c r="D66" s="1" t="n">
        <v>44662</v>
      </c>
      <c r="E66" s="1" t="n">
        <v>46228</v>
      </c>
      <c r="F66" t="inlineStr">
        <is>
          <t>VÄSTRA GÖTALANDS LÄN</t>
        </is>
      </c>
      <c r="G66" t="inlineStr">
        <is>
          <t>ALE</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46228</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53476-2023</t>
        </is>
      </c>
      <c r="B68" t="inlineStr">
        <is>
          <t>avverkningsanmälan</t>
        </is>
      </c>
      <c r="C68" t="inlineStr">
        <is>
          <t>Föryngringsavverkning</t>
        </is>
      </c>
      <c r="D68" s="1" t="n">
        <v>45230</v>
      </c>
      <c r="E68" s="1" t="n">
        <v>46228</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3418-2023</t>
        </is>
      </c>
      <c r="B69" t="inlineStr">
        <is>
          <t>avverkningsanmälan</t>
        </is>
      </c>
      <c r="C69" t="inlineStr">
        <is>
          <t>Föryngringsavverkning</t>
        </is>
      </c>
      <c r="D69" s="1" t="n">
        <v>44949</v>
      </c>
      <c r="E69" s="1" t="n">
        <v>46228</v>
      </c>
      <c r="F69" t="inlineStr">
        <is>
          <t>VÄSTRA GÖTALANDS LÄN</t>
        </is>
      </c>
      <c r="G69" t="inlineStr">
        <is>
          <t>ALE</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51164-2024</t>
        </is>
      </c>
      <c r="B70" t="inlineStr">
        <is>
          <t>avverkningsanmälan</t>
        </is>
      </c>
      <c r="C70" t="inlineStr">
        <is>
          <t>Föryngringsavverkning</t>
        </is>
      </c>
      <c r="D70" s="1" t="n">
        <v>45603</v>
      </c>
      <c r="E70" s="1" t="n">
        <v>46228</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46228</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24642-2022</t>
        </is>
      </c>
      <c r="B72" t="inlineStr">
        <is>
          <t>avverkningsanmälan</t>
        </is>
      </c>
      <c r="C72" t="inlineStr">
        <is>
          <t>Föryngringsavverkning</t>
        </is>
      </c>
      <c r="D72" s="1" t="n">
        <v>44727</v>
      </c>
      <c r="E72" s="1" t="n">
        <v>46228</v>
      </c>
      <c r="F72" t="inlineStr">
        <is>
          <t>VÄSTRA GÖTALANDS LÄN</t>
        </is>
      </c>
      <c r="G72" t="inlineStr">
        <is>
          <t>ALE</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46228</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56493-2021</t>
        </is>
      </c>
      <c r="B74" t="inlineStr">
        <is>
          <t>avverkningsanmälan</t>
        </is>
      </c>
      <c r="C74" t="inlineStr">
        <is>
          <t>Föryngringsavverkning</t>
        </is>
      </c>
      <c r="D74" s="1" t="n">
        <v>44480</v>
      </c>
      <c r="E74" s="1" t="n">
        <v>46228</v>
      </c>
      <c r="F74" t="inlineStr">
        <is>
          <t>VÄSTRA GÖTALANDS LÄN</t>
        </is>
      </c>
      <c r="G74" t="inlineStr">
        <is>
          <t>ALE</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46228</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26157-2023</t>
        </is>
      </c>
      <c r="B76" t="inlineStr">
        <is>
          <t>avverkningsanmälan</t>
        </is>
      </c>
      <c r="C76" t="inlineStr">
        <is>
          <t>Föryngringsavverkning</t>
        </is>
      </c>
      <c r="D76" s="1" t="n">
        <v>45091</v>
      </c>
      <c r="E76" s="1" t="n">
        <v>46228</v>
      </c>
      <c r="F76" t="inlineStr">
        <is>
          <t>VÄSTRA GÖTALANDS LÄN</t>
        </is>
      </c>
      <c r="G76" t="inlineStr">
        <is>
          <t>ALE</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47087-2023</t>
        </is>
      </c>
      <c r="B77" t="inlineStr">
        <is>
          <t>avverkningsanmälan</t>
        </is>
      </c>
      <c r="C77" t="inlineStr">
        <is>
          <t>Föryngringsavverkning</t>
        </is>
      </c>
      <c r="D77" s="1" t="n">
        <v>45196</v>
      </c>
      <c r="E77" s="1" t="n">
        <v>46228</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49955-2021</t>
        </is>
      </c>
      <c r="B78" t="inlineStr">
        <is>
          <t>avverkningsanmälan</t>
        </is>
      </c>
      <c r="C78" t="inlineStr">
        <is>
          <t>Föryngringsavverkning</t>
        </is>
      </c>
      <c r="D78" s="1" t="n">
        <v>44456</v>
      </c>
      <c r="E78" s="1" t="n">
        <v>46228</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5875-2023</t>
        </is>
      </c>
      <c r="B79" t="inlineStr">
        <is>
          <t>avverkningsanmälan</t>
        </is>
      </c>
      <c r="C79" t="inlineStr">
        <is>
          <t>Föryngringsavverkning</t>
        </is>
      </c>
      <c r="D79" s="1" t="n">
        <v>44963</v>
      </c>
      <c r="E79" s="1" t="n">
        <v>46228</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46228</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67160-2021</t>
        </is>
      </c>
      <c r="B81" t="inlineStr">
        <is>
          <t>avverkningsanmälan</t>
        </is>
      </c>
      <c r="C81" t="inlineStr">
        <is>
          <t>Föryngringsavverkning</t>
        </is>
      </c>
      <c r="D81" s="1" t="n">
        <v>44523</v>
      </c>
      <c r="E81" s="1" t="n">
        <v>46228</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46228</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40074-2025</t>
        </is>
      </c>
      <c r="B83" t="inlineStr">
        <is>
          <t>avverkningsanmälan</t>
        </is>
      </c>
      <c r="C83" t="inlineStr">
        <is>
          <t>Föryngringsavverkning</t>
        </is>
      </c>
      <c r="D83" s="1" t="n">
        <v>45894</v>
      </c>
      <c r="E83" s="1" t="n">
        <v>46228</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62828-2025</t>
        </is>
      </c>
      <c r="B84" t="inlineStr">
        <is>
          <t>avverkningsanmälan</t>
        </is>
      </c>
      <c r="C84" t="inlineStr">
        <is>
          <t>Föryngringsavverkning</t>
        </is>
      </c>
      <c r="D84" s="1" t="n">
        <v>46008</v>
      </c>
      <c r="E84" s="1" t="n">
        <v>46228</v>
      </c>
      <c r="F84" t="inlineStr">
        <is>
          <t>VÄSTRA GÖTALANDS LÄN</t>
        </is>
      </c>
      <c r="G84" t="inlineStr">
        <is>
          <t>ALE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46228</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46228</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46228</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46228</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46228</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46228</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25840-2025</t>
        </is>
      </c>
      <c r="B91" t="inlineStr">
        <is>
          <t>avverkningsanmälan</t>
        </is>
      </c>
      <c r="C91" t="inlineStr">
        <is>
          <t>Avverkning för annat ändamål</t>
        </is>
      </c>
      <c r="D91" s="1" t="n">
        <v>45804</v>
      </c>
      <c r="E91" s="1" t="n">
        <v>46228</v>
      </c>
      <c r="F91" t="inlineStr">
        <is>
          <t>VÄSTRA GÖTALANDS LÄN</t>
        </is>
      </c>
      <c r="G91" t="inlineStr">
        <is>
          <t>ALE</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46228</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17044-2025</t>
        </is>
      </c>
      <c r="B93" t="inlineStr">
        <is>
          <t>avverkningsanmälan</t>
        </is>
      </c>
      <c r="C93" t="inlineStr">
        <is>
          <t>Föryngringsavverkning</t>
        </is>
      </c>
      <c r="D93" s="1" t="n">
        <v>45755</v>
      </c>
      <c r="E93" s="1" t="n">
        <v>46228</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46228</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46228</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46228</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15582-2025</t>
        </is>
      </c>
      <c r="B97" t="inlineStr">
        <is>
          <t>avverkningsanmälan</t>
        </is>
      </c>
      <c r="C97" t="inlineStr">
        <is>
          <t>Föryngringsavverkning</t>
        </is>
      </c>
      <c r="D97" s="1" t="n">
        <v>45747</v>
      </c>
      <c r="E97" s="1" t="n">
        <v>46228</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7892-2024</t>
        </is>
      </c>
      <c r="B98" t="inlineStr">
        <is>
          <t>avverkningsanmälan</t>
        </is>
      </c>
      <c r="C98" t="inlineStr">
        <is>
          <t>Föryngringsavverkning</t>
        </is>
      </c>
      <c r="D98" s="1" t="n">
        <v>45350</v>
      </c>
      <c r="E98" s="1" t="n">
        <v>46228</v>
      </c>
      <c r="F98" t="inlineStr">
        <is>
          <t>VÄSTRA GÖTALANDS LÄN</t>
        </is>
      </c>
      <c r="G98" t="inlineStr">
        <is>
          <t>ALE</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28023-2026</t>
        </is>
      </c>
      <c r="B99" t="inlineStr">
        <is>
          <t>avverkningsanmälan</t>
        </is>
      </c>
      <c r="C99" t="inlineStr">
        <is>
          <t>Föryngringsavverkning</t>
        </is>
      </c>
      <c r="D99" s="1" t="n">
        <v>46195</v>
      </c>
      <c r="E99" s="1" t="n">
        <v>46228</v>
      </c>
      <c r="F99" t="inlineStr">
        <is>
          <t>VÄSTRA GÖTALANDS LÄN</t>
        </is>
      </c>
      <c r="G99" t="inlineStr">
        <is>
          <t>ALE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56905-2025</t>
        </is>
      </c>
      <c r="B100" t="inlineStr">
        <is>
          <t>avverkningsanmälan</t>
        </is>
      </c>
      <c r="C100" t="inlineStr">
        <is>
          <t>Föryngringsavverkning</t>
        </is>
      </c>
      <c r="D100" s="1" t="n">
        <v>45978</v>
      </c>
      <c r="E100" s="1" t="n">
        <v>46228</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28028-2026</t>
        </is>
      </c>
      <c r="B101" t="inlineStr">
        <is>
          <t>avverkningsanmälan</t>
        </is>
      </c>
      <c r="C101" t="inlineStr">
        <is>
          <t>Föryngringsavverkning</t>
        </is>
      </c>
      <c r="D101" s="1" t="n">
        <v>46195</v>
      </c>
      <c r="E101" s="1" t="n">
        <v>46228</v>
      </c>
      <c r="F101" t="inlineStr">
        <is>
          <t>VÄSTRA GÖTALANDS LÄN</t>
        </is>
      </c>
      <c r="G101" t="inlineStr">
        <is>
          <t>ALE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4444-2024</t>
        </is>
      </c>
      <c r="B102" t="inlineStr">
        <is>
          <t>avverkningsanmälan</t>
        </is>
      </c>
      <c r="C102" t="inlineStr">
        <is>
          <t>Föryngringsavverkning</t>
        </is>
      </c>
      <c r="D102" s="1" t="n">
        <v>45327</v>
      </c>
      <c r="E102" s="1" t="n">
        <v>46228</v>
      </c>
      <c r="F102" t="inlineStr">
        <is>
          <t>VÄSTRA GÖTALANDS LÄN</t>
        </is>
      </c>
      <c r="G102" t="inlineStr">
        <is>
          <t>ALE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72801-2021</t>
        </is>
      </c>
      <c r="B103" t="inlineStr">
        <is>
          <t>avverkningsanmälan</t>
        </is>
      </c>
      <c r="C103" t="inlineStr">
        <is>
          <t>Föryngringsavverkning</t>
        </is>
      </c>
      <c r="D103" s="1" t="n">
        <v>44546</v>
      </c>
      <c r="E103" s="1" t="n">
        <v>46228</v>
      </c>
      <c r="F103" t="inlineStr">
        <is>
          <t>VÄSTRA GÖTALANDS LÄN</t>
        </is>
      </c>
      <c r="G103" t="inlineStr">
        <is>
          <t>ALE</t>
        </is>
      </c>
      <c r="H103" t="inlineStr">
        <is>
          <t>Naturvårdsverket</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31407-2025</t>
        </is>
      </c>
      <c r="B104" t="inlineStr">
        <is>
          <t>avverkningsanmälan</t>
        </is>
      </c>
      <c r="C104" t="inlineStr">
        <is>
          <t>Föryngringsavverkning</t>
        </is>
      </c>
      <c r="D104" s="1" t="n">
        <v>45833</v>
      </c>
      <c r="E104" s="1" t="n">
        <v>46228</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59409-2025</t>
        </is>
      </c>
      <c r="B105" t="inlineStr">
        <is>
          <t>avverkningsanmälan</t>
        </is>
      </c>
      <c r="C105" t="inlineStr">
        <is>
          <t>Föryngringsavverkning</t>
        </is>
      </c>
      <c r="D105" s="1" t="n">
        <v>45989</v>
      </c>
      <c r="E105" s="1" t="n">
        <v>46228</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46228</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60287-2025</t>
        </is>
      </c>
      <c r="B107" t="inlineStr">
        <is>
          <t>avverkningsanmälan</t>
        </is>
      </c>
      <c r="C107" t="inlineStr">
        <is>
          <t>Föryngringsavverkning</t>
        </is>
      </c>
      <c r="D107" s="1" t="n">
        <v>45994</v>
      </c>
      <c r="E107" s="1" t="n">
        <v>46228</v>
      </c>
      <c r="F107" t="inlineStr">
        <is>
          <t>VÄSTRA GÖTALANDS LÄN</t>
        </is>
      </c>
      <c r="G107" t="inlineStr">
        <is>
          <t>ALE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46228</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46228</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22420-2026</t>
        </is>
      </c>
      <c r="B110" t="inlineStr">
        <is>
          <t>avverkningsanmälan</t>
        </is>
      </c>
      <c r="C110" t="inlineStr">
        <is>
          <t>Föryngringsavverkning</t>
        </is>
      </c>
      <c r="D110" s="1" t="n">
        <v>46154</v>
      </c>
      <c r="E110" s="1" t="n">
        <v>46228</v>
      </c>
      <c r="F110" t="inlineStr">
        <is>
          <t>VÄSTRA GÖTALANDS LÄN</t>
        </is>
      </c>
      <c r="G110" t="inlineStr">
        <is>
          <t>ALE</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16344-2023</t>
        </is>
      </c>
      <c r="B111" t="inlineStr">
        <is>
          <t>avverkningsanmälan</t>
        </is>
      </c>
      <c r="C111" t="inlineStr">
        <is>
          <t>Föryngringsavverkning</t>
        </is>
      </c>
      <c r="D111" s="1" t="n">
        <v>45028</v>
      </c>
      <c r="E111" s="1" t="n">
        <v>46228</v>
      </c>
      <c r="F111" t="inlineStr">
        <is>
          <t>VÄSTRA GÖTALANDS LÄN</t>
        </is>
      </c>
      <c r="G111" t="inlineStr">
        <is>
          <t>ALE</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45988-2021</t>
        </is>
      </c>
      <c r="B112" t="inlineStr">
        <is>
          <t>avverkningsanmälan</t>
        </is>
      </c>
      <c r="C112" t="inlineStr">
        <is>
          <t>Föryngringsavverkning</t>
        </is>
      </c>
      <c r="D112" s="1" t="n">
        <v>44441</v>
      </c>
      <c r="E112" s="1" t="n">
        <v>46228</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20067-2023</t>
        </is>
      </c>
      <c r="B113" t="inlineStr">
        <is>
          <t>avverkningsanmälan</t>
        </is>
      </c>
      <c r="C113" t="inlineStr">
        <is>
          <t>Föryngringsavverkning</t>
        </is>
      </c>
      <c r="D113" s="1" t="n">
        <v>45054</v>
      </c>
      <c r="E113" s="1" t="n">
        <v>46228</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2414-2026</t>
        </is>
      </c>
      <c r="B114" t="inlineStr">
        <is>
          <t>avverkningsanmälan</t>
        </is>
      </c>
      <c r="C114" t="inlineStr">
        <is>
          <t>Föryngringsavverkning</t>
        </is>
      </c>
      <c r="D114" s="1" t="n">
        <v>46036</v>
      </c>
      <c r="E114" s="1" t="n">
        <v>46228</v>
      </c>
      <c r="F114" t="inlineStr">
        <is>
          <t>VÄSTRA GÖTALANDS LÄN</t>
        </is>
      </c>
      <c r="G114" t="inlineStr">
        <is>
          <t>ALE</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46228</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41309-2024</t>
        </is>
      </c>
      <c r="B116" t="inlineStr">
        <is>
          <t>avverkningsanmälan</t>
        </is>
      </c>
      <c r="C116" t="inlineStr">
        <is>
          <t>Föryngringsavverkning</t>
        </is>
      </c>
      <c r="D116" s="1" t="n">
        <v>45559</v>
      </c>
      <c r="E116" s="1" t="n">
        <v>46228</v>
      </c>
      <c r="F116" t="inlineStr">
        <is>
          <t>VÄSTRA GÖTALANDS LÄN</t>
        </is>
      </c>
      <c r="G116" t="inlineStr">
        <is>
          <t>ALE</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46228</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46228</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8112-2026</t>
        </is>
      </c>
      <c r="B119" t="inlineStr">
        <is>
          <t>avverkningsanmälan</t>
        </is>
      </c>
      <c r="C119" t="inlineStr">
        <is>
          <t>Föryngringsavverkning</t>
        </is>
      </c>
      <c r="D119" s="1" t="n">
        <v>46062</v>
      </c>
      <c r="E119" s="1" t="n">
        <v>46228</v>
      </c>
      <c r="F119" t="inlineStr">
        <is>
          <t>VÄSTRA GÖTALANDS LÄN</t>
        </is>
      </c>
      <c r="G119" t="inlineStr">
        <is>
          <t>ALE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8111-2026</t>
        </is>
      </c>
      <c r="B120" t="inlineStr">
        <is>
          <t>avverkningsanmälan</t>
        </is>
      </c>
      <c r="C120" t="inlineStr">
        <is>
          <t>Föryngringsavverkning</t>
        </is>
      </c>
      <c r="D120" s="1" t="n">
        <v>46062</v>
      </c>
      <c r="E120" s="1" t="n">
        <v>46228</v>
      </c>
      <c r="F120" t="inlineStr">
        <is>
          <t>VÄSTRA GÖTALANDS LÄN</t>
        </is>
      </c>
      <c r="G120" t="inlineStr">
        <is>
          <t>ALE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7807-2023</t>
        </is>
      </c>
      <c r="B121" t="inlineStr">
        <is>
          <t>avverkningsanmälan</t>
        </is>
      </c>
      <c r="C121" t="inlineStr">
        <is>
          <t>Föryngringsavverkning</t>
        </is>
      </c>
      <c r="D121" s="1" t="n">
        <v>44973</v>
      </c>
      <c r="E121" s="1" t="n">
        <v>46228</v>
      </c>
      <c r="F121" t="inlineStr">
        <is>
          <t>VÄSTRA GÖTALANDS LÄN</t>
        </is>
      </c>
      <c r="G121" t="inlineStr">
        <is>
          <t>ALE</t>
        </is>
      </c>
      <c r="I121" t="n">
        <v>10.5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8110-2026</t>
        </is>
      </c>
      <c r="B122" t="inlineStr">
        <is>
          <t>avverkningsanmälan</t>
        </is>
      </c>
      <c r="C122" t="inlineStr">
        <is>
          <t>Föryngringsavverkning</t>
        </is>
      </c>
      <c r="D122" s="1" t="n">
        <v>46062</v>
      </c>
      <c r="E122" s="1" t="n">
        <v>46228</v>
      </c>
      <c r="F122" t="inlineStr">
        <is>
          <t>VÄSTRA GÖTALANDS LÄN</t>
        </is>
      </c>
      <c r="G122" t="inlineStr">
        <is>
          <t>ALE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10459-2026</t>
        </is>
      </c>
      <c r="B123" t="inlineStr">
        <is>
          <t>avverkningsanmälan</t>
        </is>
      </c>
      <c r="C123" t="inlineStr">
        <is>
          <t>Föryngringsavverkning</t>
        </is>
      </c>
      <c r="D123" s="1" t="n">
        <v>46077</v>
      </c>
      <c r="E123" s="1" t="n">
        <v>46228</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35959-2022</t>
        </is>
      </c>
      <c r="B124" t="inlineStr">
        <is>
          <t>avverkningsanmälan</t>
        </is>
      </c>
      <c r="C124" t="inlineStr">
        <is>
          <t>Föryngringsavverkning</t>
        </is>
      </c>
      <c r="D124" s="1" t="n">
        <v>44802</v>
      </c>
      <c r="E124" s="1" t="n">
        <v>46228</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46228</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46228</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46228</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46228</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14458-2024</t>
        </is>
      </c>
      <c r="B129" t="inlineStr">
        <is>
          <t>avverkningsanmälan</t>
        </is>
      </c>
      <c r="C129" t="inlineStr">
        <is>
          <t>Avverkning för annat ändamål</t>
        </is>
      </c>
      <c r="D129" s="1" t="n">
        <v>45394</v>
      </c>
      <c r="E129" s="1" t="n">
        <v>46228</v>
      </c>
      <c r="F129" t="inlineStr">
        <is>
          <t>VÄSTRA GÖTALANDS LÄN</t>
        </is>
      </c>
      <c r="G129" t="inlineStr">
        <is>
          <t>ALE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19613-2026</t>
        </is>
      </c>
      <c r="B130" t="inlineStr">
        <is>
          <t>avverkningsanmälan</t>
        </is>
      </c>
      <c r="C130" t="inlineStr">
        <is>
          <t>Föryngringsavverkning</t>
        </is>
      </c>
      <c r="D130" s="1" t="n">
        <v>46134</v>
      </c>
      <c r="E130" s="1" t="n">
        <v>46228</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42446-2023</t>
        </is>
      </c>
      <c r="B131" t="inlineStr">
        <is>
          <t>avverkningsanmälan</t>
        </is>
      </c>
      <c r="C131" t="inlineStr">
        <is>
          <t>Föryngringsavverkning</t>
        </is>
      </c>
      <c r="D131" s="1" t="n">
        <v>45180</v>
      </c>
      <c r="E131" s="1" t="n">
        <v>46228</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46228</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36763-2022</t>
        </is>
      </c>
      <c r="B133" t="inlineStr">
        <is>
          <t>avverkningsanmälan</t>
        </is>
      </c>
      <c r="C133" t="inlineStr">
        <is>
          <t>Föryngringsavverkning</t>
        </is>
      </c>
      <c r="D133" s="1" t="n">
        <v>44805</v>
      </c>
      <c r="E133" s="1" t="n">
        <v>46228</v>
      </c>
      <c r="F133" t="inlineStr">
        <is>
          <t>VÄSTRA GÖTALANDS LÄN</t>
        </is>
      </c>
      <c r="G133" t="inlineStr">
        <is>
          <t>ALE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3407-2023</t>
        </is>
      </c>
      <c r="B134" t="inlineStr">
        <is>
          <t>avverkningsanmälan</t>
        </is>
      </c>
      <c r="C134" t="inlineStr">
        <is>
          <t>Föryngringsavverkning</t>
        </is>
      </c>
      <c r="D134" s="1" t="n">
        <v>44949</v>
      </c>
      <c r="E134" s="1" t="n">
        <v>46228</v>
      </c>
      <c r="F134" t="inlineStr">
        <is>
          <t>VÄSTRA GÖTALANDS LÄN</t>
        </is>
      </c>
      <c r="G134" t="inlineStr">
        <is>
          <t>ALE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15241-2025</t>
        </is>
      </c>
      <c r="B135" t="inlineStr">
        <is>
          <t>avverkningsanmälan</t>
        </is>
      </c>
      <c r="C135" t="inlineStr">
        <is>
          <t>Föryngringsavverkning</t>
        </is>
      </c>
      <c r="D135" s="1" t="n">
        <v>45744</v>
      </c>
      <c r="E135" s="1" t="n">
        <v>46228</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49680-2024</t>
        </is>
      </c>
      <c r="B136" t="inlineStr">
        <is>
          <t>avverkningsanmälan</t>
        </is>
      </c>
      <c r="C136" t="inlineStr">
        <is>
          <t>Föryngringsavverkning</t>
        </is>
      </c>
      <c r="D136" s="1" t="n">
        <v>45596</v>
      </c>
      <c r="E136" s="1" t="n">
        <v>46228</v>
      </c>
      <c r="F136" t="inlineStr">
        <is>
          <t>VÄSTRA GÖTALANDS LÄN</t>
        </is>
      </c>
      <c r="G136" t="inlineStr">
        <is>
          <t>ALE</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34153-2024</t>
        </is>
      </c>
      <c r="B137" t="inlineStr">
        <is>
          <t>avverkningsanmälan</t>
        </is>
      </c>
      <c r="C137" t="inlineStr">
        <is>
          <t>Föryngringsavverkning</t>
        </is>
      </c>
      <c r="D137" s="1" t="n">
        <v>45524</v>
      </c>
      <c r="E137" s="1" t="n">
        <v>46228</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14731-2022</t>
        </is>
      </c>
      <c r="B138" t="inlineStr">
        <is>
          <t>avverkningsanmälan</t>
        </is>
      </c>
      <c r="C138" t="inlineStr">
        <is>
          <t>Föryngringsavverkning</t>
        </is>
      </c>
      <c r="D138" s="1" t="n">
        <v>44656</v>
      </c>
      <c r="E138" s="1" t="n">
        <v>46228</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4642-2024</t>
        </is>
      </c>
      <c r="B139" t="inlineStr">
        <is>
          <t>avverkningsanmälan</t>
        </is>
      </c>
      <c r="C139" t="inlineStr">
        <is>
          <t>Föryngringsavverkning</t>
        </is>
      </c>
      <c r="D139" s="1" t="n">
        <v>45328</v>
      </c>
      <c r="E139" s="1" t="n">
        <v>46228</v>
      </c>
      <c r="F139" t="inlineStr">
        <is>
          <t>VÄSTRA GÖTALANDS LÄN</t>
        </is>
      </c>
      <c r="G139" t="inlineStr">
        <is>
          <t>ALE</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5916-2023</t>
        </is>
      </c>
      <c r="B140" t="inlineStr">
        <is>
          <t>avverkningsanmälan</t>
        </is>
      </c>
      <c r="C140" t="inlineStr">
        <is>
          <t>Föryngringsavverkning</t>
        </is>
      </c>
      <c r="D140" s="1" t="n">
        <v>44963</v>
      </c>
      <c r="E140" s="1" t="n">
        <v>46228</v>
      </c>
      <c r="F140" t="inlineStr">
        <is>
          <t>VÄSTRA GÖTALANDS LÄN</t>
        </is>
      </c>
      <c r="G140" t="inlineStr">
        <is>
          <t>ALE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46228</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4971-2024</t>
        </is>
      </c>
      <c r="B142" t="inlineStr">
        <is>
          <t>avverkningsanmälan</t>
        </is>
      </c>
      <c r="C142" t="inlineStr">
        <is>
          <t>Föryngringsavverkning</t>
        </is>
      </c>
      <c r="D142" s="1" t="n">
        <v>45329</v>
      </c>
      <c r="E142" s="1" t="n">
        <v>46228</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22946-2025</t>
        </is>
      </c>
      <c r="B143" t="inlineStr">
        <is>
          <t>avverkningsanmälan</t>
        </is>
      </c>
      <c r="C143" t="inlineStr">
        <is>
          <t>Föryngringsavverkning</t>
        </is>
      </c>
      <c r="D143" s="1" t="n">
        <v>45790</v>
      </c>
      <c r="E143" s="1" t="n">
        <v>46228</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46228</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46228</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46228</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46228</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46228</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31533-2025</t>
        </is>
      </c>
      <c r="B149" t="inlineStr">
        <is>
          <t>avverkningsanmälan</t>
        </is>
      </c>
      <c r="C149" t="inlineStr">
        <is>
          <t>Föryngringsavverkning</t>
        </is>
      </c>
      <c r="D149" s="1" t="n">
        <v>45833</v>
      </c>
      <c r="E149" s="1" t="n">
        <v>46228</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46228</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46228</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46228</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2026-07-25T01:50:57Z</dcterms:created>
  <dcterms:modified xmlns:dcterms="http://purl.org/dc/terms/" xmlns:xsi="http://www.w3.org/2001/XMLSchema-instance" xsi:type="dcterms:W3CDTF">2026-07-25T01:50:57Z</dcterms:modified>
</cp:coreProperties>
</file>