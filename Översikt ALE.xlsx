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45975</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45975</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45975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45975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45975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45975</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45975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45975</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37005-2025</t>
        </is>
      </c>
      <c r="B14" s="1" t="n">
        <v>45874.69311342593</v>
      </c>
      <c r="C14" s="1" t="n">
        <v>45975</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32849-2023</t>
        </is>
      </c>
      <c r="B15" s="1" t="n">
        <v>45124</v>
      </c>
      <c r="C15" s="1" t="n">
        <v>45975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40059-2025</t>
        </is>
      </c>
      <c r="B16" s="1" t="n">
        <v>45894.42600694444</v>
      </c>
      <c r="C16" s="1" t="n">
        <v>45975</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45975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45975</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24162-2025</t>
        </is>
      </c>
      <c r="B19" s="1" t="n">
        <v>45796.66684027778</v>
      </c>
      <c r="C19" s="1" t="n">
        <v>45975</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563-2024</t>
        </is>
      </c>
      <c r="B20" s="1" t="n">
        <v>45299</v>
      </c>
      <c r="C20" s="1" t="n">
        <v>45975</v>
      </c>
      <c r="D20" t="inlineStr">
        <is>
          <t>VÄSTRA GÖTALANDS LÄN</t>
        </is>
      </c>
      <c r="E20" t="inlineStr">
        <is>
          <t>ALE</t>
        </is>
      </c>
      <c r="F20" t="inlineStr">
        <is>
          <t>Kyrkan</t>
        </is>
      </c>
      <c r="G20" t="n">
        <v>26</v>
      </c>
      <c r="H20" t="n">
        <v>4</v>
      </c>
      <c r="I20" t="n">
        <v>1</v>
      </c>
      <c r="J20" t="n">
        <v>3</v>
      </c>
      <c r="K20" t="n">
        <v>0</v>
      </c>
      <c r="L20" t="n">
        <v>0</v>
      </c>
      <c r="M20" t="n">
        <v>0</v>
      </c>
      <c r="N20" t="n">
        <v>0</v>
      </c>
      <c r="O20" t="n">
        <v>3</v>
      </c>
      <c r="P20" t="n">
        <v>0</v>
      </c>
      <c r="Q20" t="n">
        <v>6</v>
      </c>
      <c r="R20" s="2" t="inlineStr">
        <is>
          <t>Kortskaftad ärgspik
Spillkråka
Talltita
Björksplintborre
Tjäder
Revlummer</t>
        </is>
      </c>
      <c r="S20">
        <f>HYPERLINK("https://klasma.github.io/Logging_1440/artfynd/A 563-2024 artfynd.xlsx", "A 563-2024")</f>
        <v/>
      </c>
      <c r="T20">
        <f>HYPERLINK("https://klasma.github.io/Logging_1440/kartor/A 563-2024 karta.png", "A 563-2024")</f>
        <v/>
      </c>
      <c r="V20">
        <f>HYPERLINK("https://klasma.github.io/Logging_1440/klagomål/A 563-2024 FSC-klagomål.docx", "A 563-2024")</f>
        <v/>
      </c>
      <c r="W20">
        <f>HYPERLINK("https://klasma.github.io/Logging_1440/klagomålsmail/A 563-2024 FSC-klagomål mail.docx", "A 563-2024")</f>
        <v/>
      </c>
      <c r="X20">
        <f>HYPERLINK("https://klasma.github.io/Logging_1440/tillsyn/A 563-2024 tillsynsbegäran.docx", "A 563-2024")</f>
        <v/>
      </c>
      <c r="Y20">
        <f>HYPERLINK("https://klasma.github.io/Logging_1440/tillsynsmail/A 563-2024 tillsynsbegäran mail.docx", "A 563-2024")</f>
        <v/>
      </c>
      <c r="Z20">
        <f>HYPERLINK("https://klasma.github.io/Logging_1440/fåglar/A 563-2024 prioriterade fågelarter.docx", "A 563-2024")</f>
        <v/>
      </c>
    </row>
    <row r="21" ht="15" customHeight="1">
      <c r="A21" t="inlineStr">
        <is>
          <t>A 19934-2025</t>
        </is>
      </c>
      <c r="B21" s="1" t="n">
        <v>45771</v>
      </c>
      <c r="C21" s="1" t="n">
        <v>45975</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45975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45975</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45975</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45975</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8955-2025</t>
        </is>
      </c>
      <c r="B26" s="1" t="n">
        <v>45713.46528935185</v>
      </c>
      <c r="C26" s="1" t="n">
        <v>45975</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45975</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40931-2025</t>
        </is>
      </c>
      <c r="B28" s="1" t="n">
        <v>45897.64783564815</v>
      </c>
      <c r="C28" s="1" t="n">
        <v>45975</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2270-2025</t>
        </is>
      </c>
      <c r="B29" s="1" t="n">
        <v>45673.54403935185</v>
      </c>
      <c r="C29" s="1" t="n">
        <v>45975</v>
      </c>
      <c r="D29" t="inlineStr">
        <is>
          <t>VÄSTRA GÖTALANDS LÄN</t>
        </is>
      </c>
      <c r="E29" t="inlineStr">
        <is>
          <t>ALE</t>
        </is>
      </c>
      <c r="G29" t="n">
        <v>4.1</v>
      </c>
      <c r="H29" t="n">
        <v>2</v>
      </c>
      <c r="I29" t="n">
        <v>0</v>
      </c>
      <c r="J29" t="n">
        <v>1</v>
      </c>
      <c r="K29" t="n">
        <v>0</v>
      </c>
      <c r="L29" t="n">
        <v>0</v>
      </c>
      <c r="M29" t="n">
        <v>0</v>
      </c>
      <c r="N29" t="n">
        <v>0</v>
      </c>
      <c r="O29" t="n">
        <v>1</v>
      </c>
      <c r="P29" t="n">
        <v>0</v>
      </c>
      <c r="Q29" t="n">
        <v>2</v>
      </c>
      <c r="R29" s="2" t="inlineStr">
        <is>
          <t>Spillkråka
Revlummer</t>
        </is>
      </c>
      <c r="S29">
        <f>HYPERLINK("https://klasma.github.io/Logging_1440/artfynd/A 2270-2025 artfynd.xlsx", "A 2270-2025")</f>
        <v/>
      </c>
      <c r="T29">
        <f>HYPERLINK("https://klasma.github.io/Logging_1440/kartor/A 2270-2025 karta.png", "A 2270-2025")</f>
        <v/>
      </c>
      <c r="V29">
        <f>HYPERLINK("https://klasma.github.io/Logging_1440/klagomål/A 2270-2025 FSC-klagomål.docx", "A 2270-2025")</f>
        <v/>
      </c>
      <c r="W29">
        <f>HYPERLINK("https://klasma.github.io/Logging_1440/klagomålsmail/A 2270-2025 FSC-klagomål mail.docx", "A 2270-2025")</f>
        <v/>
      </c>
      <c r="X29">
        <f>HYPERLINK("https://klasma.github.io/Logging_1440/tillsyn/A 2270-2025 tillsynsbegäran.docx", "A 2270-2025")</f>
        <v/>
      </c>
      <c r="Y29">
        <f>HYPERLINK("https://klasma.github.io/Logging_1440/tillsynsmail/A 2270-2025 tillsynsbegäran mail.docx", "A 2270-2025")</f>
        <v/>
      </c>
      <c r="Z29">
        <f>HYPERLINK("https://klasma.github.io/Logging_1440/fåglar/A 2270-2025 prioriterade fågelarter.docx", "A 2270-2025")</f>
        <v/>
      </c>
    </row>
    <row r="30" ht="15" customHeight="1">
      <c r="A30" t="inlineStr">
        <is>
          <t>A 1503-2024</t>
        </is>
      </c>
      <c r="B30" s="1" t="n">
        <v>45306.35041666667</v>
      </c>
      <c r="C30" s="1" t="n">
        <v>45975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13380-2025</t>
        </is>
      </c>
      <c r="B31" s="1" t="n">
        <v>45735.6765162037</v>
      </c>
      <c r="C31" s="1" t="n">
        <v>45975</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63569-2023</t>
        </is>
      </c>
      <c r="B32" s="1" t="n">
        <v>45275</v>
      </c>
      <c r="C32" s="1" t="n">
        <v>45975</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16534-2025</t>
        </is>
      </c>
      <c r="B33" s="1" t="n">
        <v>45751.65315972222</v>
      </c>
      <c r="C33" s="1" t="n">
        <v>45975</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45975</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45975</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45975</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26677-2025</t>
        </is>
      </c>
      <c r="B38" s="1" t="n">
        <v>45810.42446759259</v>
      </c>
      <c r="C38" s="1" t="n">
        <v>45975</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13902-2025</t>
        </is>
      </c>
      <c r="B39" s="1" t="n">
        <v>45737.63446759259</v>
      </c>
      <c r="C39" s="1" t="n">
        <v>45975</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45975</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45975</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45975</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45975</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45975</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45975</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45975</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45975</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45975</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45975</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45975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45975</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45975</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45975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45975</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45975</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31568-2021</t>
        </is>
      </c>
      <c r="B56" s="1" t="n">
        <v>44369</v>
      </c>
      <c r="C56" s="1" t="n">
        <v>45975</v>
      </c>
      <c r="D56" t="inlineStr">
        <is>
          <t>VÄSTRA GÖTALANDS LÄN</t>
        </is>
      </c>
      <c r="E56" t="inlineStr">
        <is>
          <t>ALE</t>
        </is>
      </c>
      <c r="G56" t="n">
        <v>0.5</v>
      </c>
      <c r="H56" t="n">
        <v>0</v>
      </c>
      <c r="I56" t="n">
        <v>0</v>
      </c>
      <c r="J56" t="n">
        <v>0</v>
      </c>
      <c r="K56" t="n">
        <v>0</v>
      </c>
      <c r="L56" t="n">
        <v>0</v>
      </c>
      <c r="M56" t="n">
        <v>0</v>
      </c>
      <c r="N56" t="n">
        <v>0</v>
      </c>
      <c r="O56" t="n">
        <v>0</v>
      </c>
      <c r="P56" t="n">
        <v>0</v>
      </c>
      <c r="Q56" t="n">
        <v>0</v>
      </c>
      <c r="R56" s="2" t="inlineStr"/>
    </row>
    <row r="57" ht="15" customHeight="1">
      <c r="A57" t="inlineStr">
        <is>
          <t>A 66466-2020</t>
        </is>
      </c>
      <c r="B57" s="1" t="n">
        <v>44176</v>
      </c>
      <c r="C57" s="1" t="n">
        <v>45975</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66893-2021</t>
        </is>
      </c>
      <c r="B58" s="1" t="n">
        <v>44522.49439814815</v>
      </c>
      <c r="C58" s="1" t="n">
        <v>45975</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45975</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45975</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5875-2023</t>
        </is>
      </c>
      <c r="B61" s="1" t="n">
        <v>44963</v>
      </c>
      <c r="C61" s="1" t="n">
        <v>45975</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3407-2023</t>
        </is>
      </c>
      <c r="B62" s="1" t="n">
        <v>44949.54909722223</v>
      </c>
      <c r="C62" s="1" t="n">
        <v>45975</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12445-2022</t>
        </is>
      </c>
      <c r="B63" s="1" t="n">
        <v>44638</v>
      </c>
      <c r="C63" s="1" t="n">
        <v>45975</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53144-2021</t>
        </is>
      </c>
      <c r="B64" s="1" t="n">
        <v>44468</v>
      </c>
      <c r="C64" s="1" t="n">
        <v>45975</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46391-2021</t>
        </is>
      </c>
      <c r="B65" s="1" t="n">
        <v>44443</v>
      </c>
      <c r="C65" s="1" t="n">
        <v>45975</v>
      </c>
      <c r="D65" t="inlineStr">
        <is>
          <t>VÄSTRA GÖTALANDS LÄN</t>
        </is>
      </c>
      <c r="E65" t="inlineStr">
        <is>
          <t>ALE</t>
        </is>
      </c>
      <c r="G65" t="n">
        <v>1.3</v>
      </c>
      <c r="H65" t="n">
        <v>0</v>
      </c>
      <c r="I65" t="n">
        <v>0</v>
      </c>
      <c r="J65" t="n">
        <v>0</v>
      </c>
      <c r="K65" t="n">
        <v>0</v>
      </c>
      <c r="L65" t="n">
        <v>0</v>
      </c>
      <c r="M65" t="n">
        <v>0</v>
      </c>
      <c r="N65" t="n">
        <v>0</v>
      </c>
      <c r="O65" t="n">
        <v>0</v>
      </c>
      <c r="P65" t="n">
        <v>0</v>
      </c>
      <c r="Q65" t="n">
        <v>0</v>
      </c>
      <c r="R65" s="2" t="inlineStr"/>
    </row>
    <row r="66" ht="15" customHeight="1">
      <c r="A66" t="inlineStr">
        <is>
          <t>A 45986-2021</t>
        </is>
      </c>
      <c r="B66" s="1" t="n">
        <v>44441</v>
      </c>
      <c r="C66" s="1" t="n">
        <v>45975</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20285-2022</t>
        </is>
      </c>
      <c r="B67" s="1" t="n">
        <v>44698.76347222222</v>
      </c>
      <c r="C67" s="1" t="n">
        <v>45975</v>
      </c>
      <c r="D67" t="inlineStr">
        <is>
          <t>VÄSTRA GÖTALANDS LÄN</t>
        </is>
      </c>
      <c r="E67" t="inlineStr">
        <is>
          <t>ALE</t>
        </is>
      </c>
      <c r="G67" t="n">
        <v>1.8</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45975</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57473-2022</t>
        </is>
      </c>
      <c r="B69" s="1" t="n">
        <v>44896</v>
      </c>
      <c r="C69" s="1" t="n">
        <v>45975</v>
      </c>
      <c r="D69" t="inlineStr">
        <is>
          <t>VÄSTRA GÖTALANDS LÄN</t>
        </is>
      </c>
      <c r="E69" t="inlineStr">
        <is>
          <t>ALE</t>
        </is>
      </c>
      <c r="G69" t="n">
        <v>0.7</v>
      </c>
      <c r="H69" t="n">
        <v>0</v>
      </c>
      <c r="I69" t="n">
        <v>0</v>
      </c>
      <c r="J69" t="n">
        <v>0</v>
      </c>
      <c r="K69" t="n">
        <v>0</v>
      </c>
      <c r="L69" t="n">
        <v>0</v>
      </c>
      <c r="M69" t="n">
        <v>0</v>
      </c>
      <c r="N69" t="n">
        <v>0</v>
      </c>
      <c r="O69" t="n">
        <v>0</v>
      </c>
      <c r="P69" t="n">
        <v>0</v>
      </c>
      <c r="Q69" t="n">
        <v>0</v>
      </c>
      <c r="R69" s="2" t="inlineStr"/>
    </row>
    <row r="70" ht="15" customHeight="1">
      <c r="A70" t="inlineStr">
        <is>
          <t>A 51564-2023</t>
        </is>
      </c>
      <c r="B70" s="1" t="n">
        <v>45222</v>
      </c>
      <c r="C70" s="1" t="n">
        <v>45975</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53476-2023</t>
        </is>
      </c>
      <c r="B71" s="1" t="n">
        <v>45230.33737268519</v>
      </c>
      <c r="C71" s="1" t="n">
        <v>45975</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7807-2023</t>
        </is>
      </c>
      <c r="B72" s="1" t="n">
        <v>44973</v>
      </c>
      <c r="C72" s="1" t="n">
        <v>45975</v>
      </c>
      <c r="D72" t="inlineStr">
        <is>
          <t>VÄSTRA GÖTALANDS LÄN</t>
        </is>
      </c>
      <c r="E72" t="inlineStr">
        <is>
          <t>ALE</t>
        </is>
      </c>
      <c r="G72" t="n">
        <v>10.5</v>
      </c>
      <c r="H72" t="n">
        <v>0</v>
      </c>
      <c r="I72" t="n">
        <v>0</v>
      </c>
      <c r="J72" t="n">
        <v>0</v>
      </c>
      <c r="K72" t="n">
        <v>0</v>
      </c>
      <c r="L72" t="n">
        <v>0</v>
      </c>
      <c r="M72" t="n">
        <v>0</v>
      </c>
      <c r="N72" t="n">
        <v>0</v>
      </c>
      <c r="O72" t="n">
        <v>0</v>
      </c>
      <c r="P72" t="n">
        <v>0</v>
      </c>
      <c r="Q72" t="n">
        <v>0</v>
      </c>
      <c r="R72" s="2" t="inlineStr"/>
    </row>
    <row r="73" ht="15" customHeight="1">
      <c r="A73" t="inlineStr">
        <is>
          <t>A 55488-2022</t>
        </is>
      </c>
      <c r="B73" s="1" t="n">
        <v>44887</v>
      </c>
      <c r="C73" s="1" t="n">
        <v>45975</v>
      </c>
      <c r="D73" t="inlineStr">
        <is>
          <t>VÄSTRA GÖTALANDS LÄN</t>
        </is>
      </c>
      <c r="E73" t="inlineStr">
        <is>
          <t>ALE</t>
        </is>
      </c>
      <c r="G73" t="n">
        <v>2.5</v>
      </c>
      <c r="H73" t="n">
        <v>0</v>
      </c>
      <c r="I73" t="n">
        <v>0</v>
      </c>
      <c r="J73" t="n">
        <v>0</v>
      </c>
      <c r="K73" t="n">
        <v>0</v>
      </c>
      <c r="L73" t="n">
        <v>0</v>
      </c>
      <c r="M73" t="n">
        <v>0</v>
      </c>
      <c r="N73" t="n">
        <v>0</v>
      </c>
      <c r="O73" t="n">
        <v>0</v>
      </c>
      <c r="P73" t="n">
        <v>0</v>
      </c>
      <c r="Q73" t="n">
        <v>0</v>
      </c>
      <c r="R73" s="2" t="inlineStr"/>
    </row>
    <row r="74" ht="15" customHeight="1">
      <c r="A74" t="inlineStr">
        <is>
          <t>A 42446-2023</t>
        </is>
      </c>
      <c r="B74" s="1" t="n">
        <v>45180</v>
      </c>
      <c r="C74" s="1" t="n">
        <v>45975</v>
      </c>
      <c r="D74" t="inlineStr">
        <is>
          <t>VÄSTRA GÖTALANDS LÄN</t>
        </is>
      </c>
      <c r="E74" t="inlineStr">
        <is>
          <t>ALE</t>
        </is>
      </c>
      <c r="G74" t="n">
        <v>0.8</v>
      </c>
      <c r="H74" t="n">
        <v>0</v>
      </c>
      <c r="I74" t="n">
        <v>0</v>
      </c>
      <c r="J74" t="n">
        <v>0</v>
      </c>
      <c r="K74" t="n">
        <v>0</v>
      </c>
      <c r="L74" t="n">
        <v>0</v>
      </c>
      <c r="M74" t="n">
        <v>0</v>
      </c>
      <c r="N74" t="n">
        <v>0</v>
      </c>
      <c r="O74" t="n">
        <v>0</v>
      </c>
      <c r="P74" t="n">
        <v>0</v>
      </c>
      <c r="Q74" t="n">
        <v>0</v>
      </c>
      <c r="R74" s="2" t="inlineStr"/>
    </row>
    <row r="75" ht="15" customHeight="1">
      <c r="A75" t="inlineStr">
        <is>
          <t>A 67160-2021</t>
        </is>
      </c>
      <c r="B75" s="1" t="n">
        <v>44523</v>
      </c>
      <c r="C75" s="1" t="n">
        <v>45975</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16344-2023</t>
        </is>
      </c>
      <c r="B76" s="1" t="n">
        <v>45028</v>
      </c>
      <c r="C76" s="1" t="n">
        <v>45975</v>
      </c>
      <c r="D76" t="inlineStr">
        <is>
          <t>VÄSTRA GÖTALANDS LÄN</t>
        </is>
      </c>
      <c r="E76" t="inlineStr">
        <is>
          <t>ALE</t>
        </is>
      </c>
      <c r="G76" t="n">
        <v>6.6</v>
      </c>
      <c r="H76" t="n">
        <v>0</v>
      </c>
      <c r="I76" t="n">
        <v>0</v>
      </c>
      <c r="J76" t="n">
        <v>0</v>
      </c>
      <c r="K76" t="n">
        <v>0</v>
      </c>
      <c r="L76" t="n">
        <v>0</v>
      </c>
      <c r="M76" t="n">
        <v>0</v>
      </c>
      <c r="N76" t="n">
        <v>0</v>
      </c>
      <c r="O76" t="n">
        <v>0</v>
      </c>
      <c r="P76" t="n">
        <v>0</v>
      </c>
      <c r="Q76" t="n">
        <v>0</v>
      </c>
      <c r="R76" s="2" t="inlineStr"/>
    </row>
    <row r="77" ht="15" customHeight="1">
      <c r="A77" t="inlineStr">
        <is>
          <t>A 32762-2023</t>
        </is>
      </c>
      <c r="B77" s="1" t="n">
        <v>45123.46649305556</v>
      </c>
      <c r="C77" s="1" t="n">
        <v>45975</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41598-2022</t>
        </is>
      </c>
      <c r="B78" s="1" t="n">
        <v>44827.4609837963</v>
      </c>
      <c r="C78" s="1" t="n">
        <v>45975</v>
      </c>
      <c r="D78" t="inlineStr">
        <is>
          <t>VÄSTRA GÖTALANDS LÄN</t>
        </is>
      </c>
      <c r="E78" t="inlineStr">
        <is>
          <t>ALE</t>
        </is>
      </c>
      <c r="G78" t="n">
        <v>2</v>
      </c>
      <c r="H78" t="n">
        <v>0</v>
      </c>
      <c r="I78" t="n">
        <v>0</v>
      </c>
      <c r="J78" t="n">
        <v>0</v>
      </c>
      <c r="K78" t="n">
        <v>0</v>
      </c>
      <c r="L78" t="n">
        <v>0</v>
      </c>
      <c r="M78" t="n">
        <v>0</v>
      </c>
      <c r="N78" t="n">
        <v>0</v>
      </c>
      <c r="O78" t="n">
        <v>0</v>
      </c>
      <c r="P78" t="n">
        <v>0</v>
      </c>
      <c r="Q78" t="n">
        <v>0</v>
      </c>
      <c r="R78" s="2" t="inlineStr"/>
    </row>
    <row r="79" ht="15" customHeight="1">
      <c r="A79" t="inlineStr">
        <is>
          <t>A 14458-2024</t>
        </is>
      </c>
      <c r="B79" s="1" t="n">
        <v>45394</v>
      </c>
      <c r="C79" s="1" t="n">
        <v>45975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41607-2022</t>
        </is>
      </c>
      <c r="B80" s="1" t="n">
        <v>44827.46658564815</v>
      </c>
      <c r="C80" s="1" t="n">
        <v>45975</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4363-2024</t>
        </is>
      </c>
      <c r="B81" s="1" t="n">
        <v>45325</v>
      </c>
      <c r="C81" s="1" t="n">
        <v>45975</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45975</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26157-2023</t>
        </is>
      </c>
      <c r="B83" s="1" t="n">
        <v>45091.50479166667</v>
      </c>
      <c r="C83" s="1" t="n">
        <v>45975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16601-2025</t>
        </is>
      </c>
      <c r="B84" s="1" t="n">
        <v>45753.53189814815</v>
      </c>
      <c r="C84" s="1" t="n">
        <v>45975</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47087-2023</t>
        </is>
      </c>
      <c r="B85" s="1" t="n">
        <v>45196</v>
      </c>
      <c r="C85" s="1" t="n">
        <v>45975</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4642-2024</t>
        </is>
      </c>
      <c r="B86" s="1" t="n">
        <v>45328.43502314815</v>
      </c>
      <c r="C86" s="1" t="n">
        <v>45975</v>
      </c>
      <c r="D86" t="inlineStr">
        <is>
          <t>VÄSTRA GÖTALANDS LÄN</t>
        </is>
      </c>
      <c r="E86" t="inlineStr">
        <is>
          <t>ALE</t>
        </is>
      </c>
      <c r="G86" t="n">
        <v>7.1</v>
      </c>
      <c r="H86" t="n">
        <v>0</v>
      </c>
      <c r="I86" t="n">
        <v>0</v>
      </c>
      <c r="J86" t="n">
        <v>0</v>
      </c>
      <c r="K86" t="n">
        <v>0</v>
      </c>
      <c r="L86" t="n">
        <v>0</v>
      </c>
      <c r="M86" t="n">
        <v>0</v>
      </c>
      <c r="N86" t="n">
        <v>0</v>
      </c>
      <c r="O86" t="n">
        <v>0</v>
      </c>
      <c r="P86" t="n">
        <v>0</v>
      </c>
      <c r="Q86" t="n">
        <v>0</v>
      </c>
      <c r="R86" s="2" t="inlineStr"/>
    </row>
    <row r="87" ht="15" customHeight="1">
      <c r="A87" t="inlineStr">
        <is>
          <t>A 55405-2021</t>
        </is>
      </c>
      <c r="B87" s="1" t="n">
        <v>44475.53733796296</v>
      </c>
      <c r="C87" s="1" t="n">
        <v>45975</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14493-2024</t>
        </is>
      </c>
      <c r="B88" s="1" t="n">
        <v>45394.58491898148</v>
      </c>
      <c r="C88" s="1" t="n">
        <v>45975</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20067-2023</t>
        </is>
      </c>
      <c r="B89" s="1" t="n">
        <v>45054</v>
      </c>
      <c r="C89" s="1" t="n">
        <v>45975</v>
      </c>
      <c r="D89" t="inlineStr">
        <is>
          <t>VÄSTRA GÖTALANDS LÄN</t>
        </is>
      </c>
      <c r="E89" t="inlineStr">
        <is>
          <t>ALE</t>
        </is>
      </c>
      <c r="G89" t="n">
        <v>0.4</v>
      </c>
      <c r="H89" t="n">
        <v>0</v>
      </c>
      <c r="I89" t="n">
        <v>0</v>
      </c>
      <c r="J89" t="n">
        <v>0</v>
      </c>
      <c r="K89" t="n">
        <v>0</v>
      </c>
      <c r="L89" t="n">
        <v>0</v>
      </c>
      <c r="M89" t="n">
        <v>0</v>
      </c>
      <c r="N89" t="n">
        <v>0</v>
      </c>
      <c r="O89" t="n">
        <v>0</v>
      </c>
      <c r="P89" t="n">
        <v>0</v>
      </c>
      <c r="Q89" t="n">
        <v>0</v>
      </c>
      <c r="R89" s="2" t="inlineStr"/>
    </row>
    <row r="90" ht="15" customHeight="1">
      <c r="A90" t="inlineStr">
        <is>
          <t>A 14731-2022</t>
        </is>
      </c>
      <c r="B90" s="1" t="n">
        <v>44656</v>
      </c>
      <c r="C90" s="1" t="n">
        <v>45975</v>
      </c>
      <c r="D90" t="inlineStr">
        <is>
          <t>VÄSTRA GÖTALANDS LÄN</t>
        </is>
      </c>
      <c r="E90" t="inlineStr">
        <is>
          <t>ALE</t>
        </is>
      </c>
      <c r="G90" t="n">
        <v>1.8</v>
      </c>
      <c r="H90" t="n">
        <v>0</v>
      </c>
      <c r="I90" t="n">
        <v>0</v>
      </c>
      <c r="J90" t="n">
        <v>0</v>
      </c>
      <c r="K90" t="n">
        <v>0</v>
      </c>
      <c r="L90" t="n">
        <v>0</v>
      </c>
      <c r="M90" t="n">
        <v>0</v>
      </c>
      <c r="N90" t="n">
        <v>0</v>
      </c>
      <c r="O90" t="n">
        <v>0</v>
      </c>
      <c r="P90" t="n">
        <v>0</v>
      </c>
      <c r="Q90" t="n">
        <v>0</v>
      </c>
      <c r="R90" s="2" t="inlineStr"/>
    </row>
    <row r="91" ht="15" customHeight="1">
      <c r="A91" t="inlineStr">
        <is>
          <t>A 36763-2022</t>
        </is>
      </c>
      <c r="B91" s="1" t="n">
        <v>44805</v>
      </c>
      <c r="C91" s="1" t="n">
        <v>45975</v>
      </c>
      <c r="D91" t="inlineStr">
        <is>
          <t>VÄSTRA GÖTALANDS LÄN</t>
        </is>
      </c>
      <c r="E91" t="inlineStr">
        <is>
          <t>ALE</t>
        </is>
      </c>
      <c r="G91" t="n">
        <v>6.1</v>
      </c>
      <c r="H91" t="n">
        <v>0</v>
      </c>
      <c r="I91" t="n">
        <v>0</v>
      </c>
      <c r="J91" t="n">
        <v>0</v>
      </c>
      <c r="K91" t="n">
        <v>0</v>
      </c>
      <c r="L91" t="n">
        <v>0</v>
      </c>
      <c r="M91" t="n">
        <v>0</v>
      </c>
      <c r="N91" t="n">
        <v>0</v>
      </c>
      <c r="O91" t="n">
        <v>0</v>
      </c>
      <c r="P91" t="n">
        <v>0</v>
      </c>
      <c r="Q91" t="n">
        <v>0</v>
      </c>
      <c r="R91" s="2" t="inlineStr"/>
    </row>
    <row r="92" ht="15" customHeight="1">
      <c r="A92" t="inlineStr">
        <is>
          <t>A 3520-2022</t>
        </is>
      </c>
      <c r="B92" s="1" t="n">
        <v>44585.72818287037</v>
      </c>
      <c r="C92" s="1" t="n">
        <v>45975</v>
      </c>
      <c r="D92" t="inlineStr">
        <is>
          <t>VÄSTRA GÖTALANDS LÄN</t>
        </is>
      </c>
      <c r="E92" t="inlineStr">
        <is>
          <t>ALE</t>
        </is>
      </c>
      <c r="G92" t="n">
        <v>2.3</v>
      </c>
      <c r="H92" t="n">
        <v>0</v>
      </c>
      <c r="I92" t="n">
        <v>0</v>
      </c>
      <c r="J92" t="n">
        <v>0</v>
      </c>
      <c r="K92" t="n">
        <v>0</v>
      </c>
      <c r="L92" t="n">
        <v>0</v>
      </c>
      <c r="M92" t="n">
        <v>0</v>
      </c>
      <c r="N92" t="n">
        <v>0</v>
      </c>
      <c r="O92" t="n">
        <v>0</v>
      </c>
      <c r="P92" t="n">
        <v>0</v>
      </c>
      <c r="Q92" t="n">
        <v>0</v>
      </c>
      <c r="R92" s="2" t="inlineStr"/>
    </row>
    <row r="93" ht="15" customHeight="1">
      <c r="A93" t="inlineStr">
        <is>
          <t>A 1500-2024</t>
        </is>
      </c>
      <c r="B93" s="1" t="n">
        <v>45306</v>
      </c>
      <c r="C93" s="1" t="n">
        <v>45975</v>
      </c>
      <c r="D93" t="inlineStr">
        <is>
          <t>VÄSTRA GÖTALANDS LÄN</t>
        </is>
      </c>
      <c r="E93" t="inlineStr">
        <is>
          <t>ALE</t>
        </is>
      </c>
      <c r="G93" t="n">
        <v>1.3</v>
      </c>
      <c r="H93" t="n">
        <v>0</v>
      </c>
      <c r="I93" t="n">
        <v>0</v>
      </c>
      <c r="J93" t="n">
        <v>0</v>
      </c>
      <c r="K93" t="n">
        <v>0</v>
      </c>
      <c r="L93" t="n">
        <v>0</v>
      </c>
      <c r="M93" t="n">
        <v>0</v>
      </c>
      <c r="N93" t="n">
        <v>0</v>
      </c>
      <c r="O93" t="n">
        <v>0</v>
      </c>
      <c r="P93" t="n">
        <v>0</v>
      </c>
      <c r="Q93" t="n">
        <v>0</v>
      </c>
      <c r="R93" s="2" t="inlineStr"/>
    </row>
    <row r="94" ht="15" customHeight="1">
      <c r="A94" t="inlineStr">
        <is>
          <t>A 66551-2020</t>
        </is>
      </c>
      <c r="B94" s="1" t="n">
        <v>44179</v>
      </c>
      <c r="C94" s="1" t="n">
        <v>45975</v>
      </c>
      <c r="D94" t="inlineStr">
        <is>
          <t>VÄSTRA GÖTALANDS LÄN</t>
        </is>
      </c>
      <c r="E94" t="inlineStr">
        <is>
          <t>ALE</t>
        </is>
      </c>
      <c r="G94" t="n">
        <v>4.5</v>
      </c>
      <c r="H94" t="n">
        <v>0</v>
      </c>
      <c r="I94" t="n">
        <v>0</v>
      </c>
      <c r="J94" t="n">
        <v>0</v>
      </c>
      <c r="K94" t="n">
        <v>0</v>
      </c>
      <c r="L94" t="n">
        <v>0</v>
      </c>
      <c r="M94" t="n">
        <v>0</v>
      </c>
      <c r="N94" t="n">
        <v>0</v>
      </c>
      <c r="O94" t="n">
        <v>0</v>
      </c>
      <c r="P94" t="n">
        <v>0</v>
      </c>
      <c r="Q94" t="n">
        <v>0</v>
      </c>
      <c r="R94" s="2" t="inlineStr"/>
    </row>
    <row r="95" ht="15" customHeight="1">
      <c r="A95" t="inlineStr">
        <is>
          <t>A 33237-2024</t>
        </is>
      </c>
      <c r="B95" s="1" t="n">
        <v>45518.59173611111</v>
      </c>
      <c r="C95" s="1" t="n">
        <v>45975</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56493-2021</t>
        </is>
      </c>
      <c r="B96" s="1" t="n">
        <v>44480.57173611111</v>
      </c>
      <c r="C96" s="1" t="n">
        <v>45975</v>
      </c>
      <c r="D96" t="inlineStr">
        <is>
          <t>VÄSTRA GÖTALANDS LÄN</t>
        </is>
      </c>
      <c r="E96" t="inlineStr">
        <is>
          <t>ALE</t>
        </is>
      </c>
      <c r="G96" t="n">
        <v>1.7</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45975</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24642-2022</t>
        </is>
      </c>
      <c r="B98" s="1" t="n">
        <v>44727.59578703704</v>
      </c>
      <c r="C98" s="1" t="n">
        <v>45975</v>
      </c>
      <c r="D98" t="inlineStr">
        <is>
          <t>VÄSTRA GÖTALANDS LÄN</t>
        </is>
      </c>
      <c r="E98" t="inlineStr">
        <is>
          <t>ALE</t>
        </is>
      </c>
      <c r="G98" t="n">
        <v>10</v>
      </c>
      <c r="H98" t="n">
        <v>0</v>
      </c>
      <c r="I98" t="n">
        <v>0</v>
      </c>
      <c r="J98" t="n">
        <v>0</v>
      </c>
      <c r="K98" t="n">
        <v>0</v>
      </c>
      <c r="L98" t="n">
        <v>0</v>
      </c>
      <c r="M98" t="n">
        <v>0</v>
      </c>
      <c r="N98" t="n">
        <v>0</v>
      </c>
      <c r="O98" t="n">
        <v>0</v>
      </c>
      <c r="P98" t="n">
        <v>0</v>
      </c>
      <c r="Q98" t="n">
        <v>0</v>
      </c>
      <c r="R98" s="2" t="inlineStr"/>
    </row>
    <row r="99" ht="15" customHeight="1">
      <c r="A99" t="inlineStr">
        <is>
          <t>A 44429-2023</t>
        </is>
      </c>
      <c r="B99" s="1" t="n">
        <v>45189.35101851852</v>
      </c>
      <c r="C99" s="1" t="n">
        <v>45975</v>
      </c>
      <c r="D99" t="inlineStr">
        <is>
          <t>VÄSTRA GÖTALANDS LÄN</t>
        </is>
      </c>
      <c r="E99" t="inlineStr">
        <is>
          <t>ALE</t>
        </is>
      </c>
      <c r="G99" t="n">
        <v>0.1</v>
      </c>
      <c r="H99" t="n">
        <v>0</v>
      </c>
      <c r="I99" t="n">
        <v>0</v>
      </c>
      <c r="J99" t="n">
        <v>0</v>
      </c>
      <c r="K99" t="n">
        <v>0</v>
      </c>
      <c r="L99" t="n">
        <v>0</v>
      </c>
      <c r="M99" t="n">
        <v>0</v>
      </c>
      <c r="N99" t="n">
        <v>0</v>
      </c>
      <c r="O99" t="n">
        <v>0</v>
      </c>
      <c r="P99" t="n">
        <v>0</v>
      </c>
      <c r="Q99" t="n">
        <v>0</v>
      </c>
      <c r="R99" s="2" t="inlineStr"/>
    </row>
    <row r="100" ht="15" customHeight="1">
      <c r="A100" t="inlineStr">
        <is>
          <t>A 7892-2024</t>
        </is>
      </c>
      <c r="B100" s="1" t="n">
        <v>45350.40921296296</v>
      </c>
      <c r="C100" s="1" t="n">
        <v>45975</v>
      </c>
      <c r="D100" t="inlineStr">
        <is>
          <t>VÄSTRA GÖTALANDS LÄN</t>
        </is>
      </c>
      <c r="E100" t="inlineStr">
        <is>
          <t>ALE</t>
        </is>
      </c>
      <c r="G100" t="n">
        <v>3.6</v>
      </c>
      <c r="H100" t="n">
        <v>0</v>
      </c>
      <c r="I100" t="n">
        <v>0</v>
      </c>
      <c r="J100" t="n">
        <v>0</v>
      </c>
      <c r="K100" t="n">
        <v>0</v>
      </c>
      <c r="L100" t="n">
        <v>0</v>
      </c>
      <c r="M100" t="n">
        <v>0</v>
      </c>
      <c r="N100" t="n">
        <v>0</v>
      </c>
      <c r="O100" t="n">
        <v>0</v>
      </c>
      <c r="P100" t="n">
        <v>0</v>
      </c>
      <c r="Q100" t="n">
        <v>0</v>
      </c>
      <c r="R100" s="2" t="inlineStr"/>
    </row>
    <row r="101" ht="15" customHeight="1">
      <c r="A101" t="inlineStr">
        <is>
          <t>A 51164-2024</t>
        </is>
      </c>
      <c r="B101" s="1" t="n">
        <v>45603.5830787037</v>
      </c>
      <c r="C101" s="1" t="n">
        <v>45975</v>
      </c>
      <c r="D101" t="inlineStr">
        <is>
          <t>VÄSTRA GÖTALANDS LÄN</t>
        </is>
      </c>
      <c r="E101" t="inlineStr">
        <is>
          <t>ALE</t>
        </is>
      </c>
      <c r="G101" t="n">
        <v>1.1</v>
      </c>
      <c r="H101" t="n">
        <v>0</v>
      </c>
      <c r="I101" t="n">
        <v>0</v>
      </c>
      <c r="J101" t="n">
        <v>0</v>
      </c>
      <c r="K101" t="n">
        <v>0</v>
      </c>
      <c r="L101" t="n">
        <v>0</v>
      </c>
      <c r="M101" t="n">
        <v>0</v>
      </c>
      <c r="N101" t="n">
        <v>0</v>
      </c>
      <c r="O101" t="n">
        <v>0</v>
      </c>
      <c r="P101" t="n">
        <v>0</v>
      </c>
      <c r="Q101" t="n">
        <v>0</v>
      </c>
      <c r="R101" s="2" t="inlineStr"/>
    </row>
    <row r="102" ht="15" customHeight="1">
      <c r="A102" t="inlineStr">
        <is>
          <t>A 6916-2023</t>
        </is>
      </c>
      <c r="B102" s="1" t="n">
        <v>44967.53349537037</v>
      </c>
      <c r="C102" s="1" t="n">
        <v>45975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45975</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49955-2021</t>
        </is>
      </c>
      <c r="B104" s="1" t="n">
        <v>44456</v>
      </c>
      <c r="C104" s="1" t="n">
        <v>45975</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4444-2024</t>
        </is>
      </c>
      <c r="B105" s="1" t="n">
        <v>45327</v>
      </c>
      <c r="C105" s="1" t="n">
        <v>45975</v>
      </c>
      <c r="D105" t="inlineStr">
        <is>
          <t>VÄSTRA GÖTALANDS LÄN</t>
        </is>
      </c>
      <c r="E105" t="inlineStr">
        <is>
          <t>ALE</t>
        </is>
      </c>
      <c r="G105" t="n">
        <v>0.6</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45975</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26083-2023</t>
        </is>
      </c>
      <c r="B107" s="1" t="n">
        <v>45091</v>
      </c>
      <c r="C107" s="1" t="n">
        <v>45975</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15582-2025</t>
        </is>
      </c>
      <c r="B108" s="1" t="n">
        <v>45747.81394675926</v>
      </c>
      <c r="C108" s="1" t="n">
        <v>45975</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8956-2025</t>
        </is>
      </c>
      <c r="B109" s="1" t="n">
        <v>45713.46825231481</v>
      </c>
      <c r="C109" s="1" t="n">
        <v>45975</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40074-2025</t>
        </is>
      </c>
      <c r="B110" s="1" t="n">
        <v>45894.44685185186</v>
      </c>
      <c r="C110" s="1" t="n">
        <v>45975</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22946-2025</t>
        </is>
      </c>
      <c r="B111" s="1" t="n">
        <v>45790.48229166667</v>
      </c>
      <c r="C111" s="1" t="n">
        <v>45975</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4971-2024</t>
        </is>
      </c>
      <c r="B112" s="1" t="n">
        <v>45329</v>
      </c>
      <c r="C112" s="1" t="n">
        <v>45975</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48213-2025</t>
        </is>
      </c>
      <c r="B113" s="1" t="n">
        <v>45933</v>
      </c>
      <c r="C113" s="1" t="n">
        <v>45975</v>
      </c>
      <c r="D113" t="inlineStr">
        <is>
          <t>VÄSTRA GÖTALANDS LÄN</t>
        </is>
      </c>
      <c r="E113" t="inlineStr">
        <is>
          <t>ALE</t>
        </is>
      </c>
      <c r="G113" t="n">
        <v>3.3</v>
      </c>
      <c r="H113" t="n">
        <v>0</v>
      </c>
      <c r="I113" t="n">
        <v>0</v>
      </c>
      <c r="J113" t="n">
        <v>0</v>
      </c>
      <c r="K113" t="n">
        <v>0</v>
      </c>
      <c r="L113" t="n">
        <v>0</v>
      </c>
      <c r="M113" t="n">
        <v>0</v>
      </c>
      <c r="N113" t="n">
        <v>0</v>
      </c>
      <c r="O113" t="n">
        <v>0</v>
      </c>
      <c r="P113" t="n">
        <v>0</v>
      </c>
      <c r="Q113" t="n">
        <v>0</v>
      </c>
      <c r="R113" s="2" t="inlineStr"/>
    </row>
    <row r="114" ht="15" customHeight="1">
      <c r="A114" t="inlineStr">
        <is>
          <t>A 48218-2025</t>
        </is>
      </c>
      <c r="B114" s="1" t="n">
        <v>45933</v>
      </c>
      <c r="C114" s="1" t="n">
        <v>45975</v>
      </c>
      <c r="D114" t="inlineStr">
        <is>
          <t>VÄSTRA GÖTALANDS LÄN</t>
        </is>
      </c>
      <c r="E114" t="inlineStr">
        <is>
          <t>ALE</t>
        </is>
      </c>
      <c r="G114" t="n">
        <v>1.4</v>
      </c>
      <c r="H114" t="n">
        <v>0</v>
      </c>
      <c r="I114" t="n">
        <v>0</v>
      </c>
      <c r="J114" t="n">
        <v>0</v>
      </c>
      <c r="K114" t="n">
        <v>0</v>
      </c>
      <c r="L114" t="n">
        <v>0</v>
      </c>
      <c r="M114" t="n">
        <v>0</v>
      </c>
      <c r="N114" t="n">
        <v>0</v>
      </c>
      <c r="O114" t="n">
        <v>0</v>
      </c>
      <c r="P114" t="n">
        <v>0</v>
      </c>
      <c r="Q114" t="n">
        <v>0</v>
      </c>
      <c r="R114" s="2" t="inlineStr"/>
    </row>
    <row r="115" ht="15" customHeight="1">
      <c r="A115" t="inlineStr">
        <is>
          <t>A 37461-2024</t>
        </is>
      </c>
      <c r="B115" s="1" t="n">
        <v>45540.72516203704</v>
      </c>
      <c r="C115" s="1" t="n">
        <v>45975</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44802.57002314815</v>
      </c>
      <c r="C116" s="1" t="n">
        <v>45975</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200-2022</t>
        </is>
      </c>
      <c r="B117" s="1" t="n">
        <v>44564</v>
      </c>
      <c r="C117" s="1" t="n">
        <v>45975</v>
      </c>
      <c r="D117" t="inlineStr">
        <is>
          <t>VÄSTRA GÖTALANDS LÄN</t>
        </is>
      </c>
      <c r="E117" t="inlineStr">
        <is>
          <t>ALE</t>
        </is>
      </c>
      <c r="G117" t="n">
        <v>6.8</v>
      </c>
      <c r="H117" t="n">
        <v>0</v>
      </c>
      <c r="I117" t="n">
        <v>0</v>
      </c>
      <c r="J117" t="n">
        <v>0</v>
      </c>
      <c r="K117" t="n">
        <v>0</v>
      </c>
      <c r="L117" t="n">
        <v>0</v>
      </c>
      <c r="M117" t="n">
        <v>0</v>
      </c>
      <c r="N117" t="n">
        <v>0</v>
      </c>
      <c r="O117" t="n">
        <v>0</v>
      </c>
      <c r="P117" t="n">
        <v>0</v>
      </c>
      <c r="Q117" t="n">
        <v>0</v>
      </c>
      <c r="R117" s="2" t="inlineStr"/>
    </row>
    <row r="118" ht="15" customHeight="1">
      <c r="A118" t="inlineStr">
        <is>
          <t>A 1822-2024</t>
        </is>
      </c>
      <c r="B118" s="1" t="n">
        <v>45307.6205787037</v>
      </c>
      <c r="C118" s="1" t="n">
        <v>45975</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15241-2025</t>
        </is>
      </c>
      <c r="B119" s="1" t="n">
        <v>45744.61255787037</v>
      </c>
      <c r="C119" s="1" t="n">
        <v>45975</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17044-2025</t>
        </is>
      </c>
      <c r="B120" s="1" t="n">
        <v>45755.58891203703</v>
      </c>
      <c r="C120" s="1" t="n">
        <v>45975</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50189-2025</t>
        </is>
      </c>
      <c r="B121" s="1" t="n">
        <v>45943.63476851852</v>
      </c>
      <c r="C121" s="1" t="n">
        <v>45975</v>
      </c>
      <c r="D121" t="inlineStr">
        <is>
          <t>VÄSTRA GÖTALANDS LÄN</t>
        </is>
      </c>
      <c r="E121" t="inlineStr">
        <is>
          <t>ALE</t>
        </is>
      </c>
      <c r="G121" t="n">
        <v>3</v>
      </c>
      <c r="H121" t="n">
        <v>0</v>
      </c>
      <c r="I121" t="n">
        <v>0</v>
      </c>
      <c r="J121" t="n">
        <v>0</v>
      </c>
      <c r="K121" t="n">
        <v>0</v>
      </c>
      <c r="L121" t="n">
        <v>0</v>
      </c>
      <c r="M121" t="n">
        <v>0</v>
      </c>
      <c r="N121" t="n">
        <v>0</v>
      </c>
      <c r="O121" t="n">
        <v>0</v>
      </c>
      <c r="P121" t="n">
        <v>0</v>
      </c>
      <c r="Q121" t="n">
        <v>0</v>
      </c>
      <c r="R121" s="2" t="inlineStr"/>
    </row>
    <row r="122" ht="15" customHeight="1">
      <c r="A122" t="inlineStr">
        <is>
          <t>A 25849-2025</t>
        </is>
      </c>
      <c r="B122" s="1" t="n">
        <v>45804</v>
      </c>
      <c r="C122" s="1" t="n">
        <v>45975</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25848-2025</t>
        </is>
      </c>
      <c r="B123" s="1" t="n">
        <v>45804</v>
      </c>
      <c r="C123" s="1" t="n">
        <v>45975</v>
      </c>
      <c r="D123" t="inlineStr">
        <is>
          <t>VÄSTRA GÖTALANDS LÄN</t>
        </is>
      </c>
      <c r="E123" t="inlineStr">
        <is>
          <t>ALE</t>
        </is>
      </c>
      <c r="G123" t="n">
        <v>1.1</v>
      </c>
      <c r="H123" t="n">
        <v>0</v>
      </c>
      <c r="I123" t="n">
        <v>0</v>
      </c>
      <c r="J123" t="n">
        <v>0</v>
      </c>
      <c r="K123" t="n">
        <v>0</v>
      </c>
      <c r="L123" t="n">
        <v>0</v>
      </c>
      <c r="M123" t="n">
        <v>0</v>
      </c>
      <c r="N123" t="n">
        <v>0</v>
      </c>
      <c r="O123" t="n">
        <v>0</v>
      </c>
      <c r="P123" t="n">
        <v>0</v>
      </c>
      <c r="Q123" t="n">
        <v>0</v>
      </c>
      <c r="R123" s="2" t="inlineStr"/>
    </row>
    <row r="124" ht="15" customHeight="1">
      <c r="A124" t="inlineStr">
        <is>
          <t>A 25840-2025</t>
        </is>
      </c>
      <c r="B124" s="1" t="n">
        <v>45804</v>
      </c>
      <c r="C124" s="1" t="n">
        <v>45975</v>
      </c>
      <c r="D124" t="inlineStr">
        <is>
          <t>VÄSTRA GÖTALANDS LÄN</t>
        </is>
      </c>
      <c r="E124" t="inlineStr">
        <is>
          <t>ALE</t>
        </is>
      </c>
      <c r="G124" t="n">
        <v>3.8</v>
      </c>
      <c r="H124" t="n">
        <v>0</v>
      </c>
      <c r="I124" t="n">
        <v>0</v>
      </c>
      <c r="J124" t="n">
        <v>0</v>
      </c>
      <c r="K124" t="n">
        <v>0</v>
      </c>
      <c r="L124" t="n">
        <v>0</v>
      </c>
      <c r="M124" t="n">
        <v>0</v>
      </c>
      <c r="N124" t="n">
        <v>0</v>
      </c>
      <c r="O124" t="n">
        <v>0</v>
      </c>
      <c r="P124" t="n">
        <v>0</v>
      </c>
      <c r="Q124" t="n">
        <v>0</v>
      </c>
      <c r="R124" s="2" t="inlineStr"/>
    </row>
    <row r="125" ht="15" customHeight="1">
      <c r="A125" t="inlineStr">
        <is>
          <t>A 6947-2024</t>
        </is>
      </c>
      <c r="B125" s="1" t="n">
        <v>45343</v>
      </c>
      <c r="C125" s="1" t="n">
        <v>45975</v>
      </c>
      <c r="D125" t="inlineStr">
        <is>
          <t>VÄSTRA GÖTALANDS LÄN</t>
        </is>
      </c>
      <c r="E125" t="inlineStr">
        <is>
          <t>ALE</t>
        </is>
      </c>
      <c r="G125" t="n">
        <v>3.7</v>
      </c>
      <c r="H125" t="n">
        <v>0</v>
      </c>
      <c r="I125" t="n">
        <v>0</v>
      </c>
      <c r="J125" t="n">
        <v>0</v>
      </c>
      <c r="K125" t="n">
        <v>0</v>
      </c>
      <c r="L125" t="n">
        <v>0</v>
      </c>
      <c r="M125" t="n">
        <v>0</v>
      </c>
      <c r="N125" t="n">
        <v>0</v>
      </c>
      <c r="O125" t="n">
        <v>0</v>
      </c>
      <c r="P125" t="n">
        <v>0</v>
      </c>
      <c r="Q125" t="n">
        <v>0</v>
      </c>
      <c r="R125" s="2" t="inlineStr"/>
    </row>
    <row r="126" ht="15" customHeight="1">
      <c r="A126" t="inlineStr">
        <is>
          <t>A 34104-2024</t>
        </is>
      </c>
      <c r="B126" s="1" t="n">
        <v>45523.79202546296</v>
      </c>
      <c r="C126" s="1" t="n">
        <v>45975</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50973-2025</t>
        </is>
      </c>
      <c r="B127" s="1" t="n">
        <v>45947.31263888889</v>
      </c>
      <c r="C127" s="1" t="n">
        <v>45975</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13426-2025</t>
        </is>
      </c>
      <c r="B128" s="1" t="n">
        <v>45736.32780092592</v>
      </c>
      <c r="C128" s="1" t="n">
        <v>45975</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48257-2022</t>
        </is>
      </c>
      <c r="B129" s="1" t="n">
        <v>44858.47591435185</v>
      </c>
      <c r="C129" s="1" t="n">
        <v>45975</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18999-2021</t>
        </is>
      </c>
      <c r="B130" s="1" t="n">
        <v>44308</v>
      </c>
      <c r="C130" s="1" t="n">
        <v>45975</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8659-2025</t>
        </is>
      </c>
      <c r="B131" s="1" t="n">
        <v>45712</v>
      </c>
      <c r="C131" s="1" t="n">
        <v>45975</v>
      </c>
      <c r="D131" t="inlineStr">
        <is>
          <t>VÄSTRA GÖTALANDS LÄN</t>
        </is>
      </c>
      <c r="E131" t="inlineStr">
        <is>
          <t>ALE</t>
        </is>
      </c>
      <c r="G131" t="n">
        <v>5.7</v>
      </c>
      <c r="H131" t="n">
        <v>0</v>
      </c>
      <c r="I131" t="n">
        <v>0</v>
      </c>
      <c r="J131" t="n">
        <v>0</v>
      </c>
      <c r="K131" t="n">
        <v>0</v>
      </c>
      <c r="L131" t="n">
        <v>0</v>
      </c>
      <c r="M131" t="n">
        <v>0</v>
      </c>
      <c r="N131" t="n">
        <v>0</v>
      </c>
      <c r="O131" t="n">
        <v>0</v>
      </c>
      <c r="P131" t="n">
        <v>0</v>
      </c>
      <c r="Q131" t="n">
        <v>0</v>
      </c>
      <c r="R131" s="2" t="inlineStr"/>
    </row>
    <row r="132" ht="15" customHeight="1">
      <c r="A132" t="inlineStr">
        <is>
          <t>A 5344-2024</t>
        </is>
      </c>
      <c r="B132" s="1" t="n">
        <v>45331</v>
      </c>
      <c r="C132" s="1" t="n">
        <v>45975</v>
      </c>
      <c r="D132" t="inlineStr">
        <is>
          <t>VÄSTRA GÖTALANDS LÄN</t>
        </is>
      </c>
      <c r="E132" t="inlineStr">
        <is>
          <t>ALE</t>
        </is>
      </c>
      <c r="G132" t="n">
        <v>2.5</v>
      </c>
      <c r="H132" t="n">
        <v>0</v>
      </c>
      <c r="I132" t="n">
        <v>0</v>
      </c>
      <c r="J132" t="n">
        <v>0</v>
      </c>
      <c r="K132" t="n">
        <v>0</v>
      </c>
      <c r="L132" t="n">
        <v>0</v>
      </c>
      <c r="M132" t="n">
        <v>0</v>
      </c>
      <c r="N132" t="n">
        <v>0</v>
      </c>
      <c r="O132" t="n">
        <v>0</v>
      </c>
      <c r="P132" t="n">
        <v>0</v>
      </c>
      <c r="Q132" t="n">
        <v>0</v>
      </c>
      <c r="R132" s="2" t="inlineStr"/>
    </row>
    <row r="133" ht="15" customHeight="1">
      <c r="A133" t="inlineStr">
        <is>
          <t>A 51976-2025</t>
        </is>
      </c>
      <c r="B133" s="1" t="n">
        <v>45952.56412037037</v>
      </c>
      <c r="C133" s="1" t="n">
        <v>45975</v>
      </c>
      <c r="D133" t="inlineStr">
        <is>
          <t>VÄSTRA GÖTALANDS LÄN</t>
        </is>
      </c>
      <c r="E133" t="inlineStr">
        <is>
          <t>ALE</t>
        </is>
      </c>
      <c r="G133" t="n">
        <v>5.2</v>
      </c>
      <c r="H133" t="n">
        <v>0</v>
      </c>
      <c r="I133" t="n">
        <v>0</v>
      </c>
      <c r="J133" t="n">
        <v>0</v>
      </c>
      <c r="K133" t="n">
        <v>0</v>
      </c>
      <c r="L133" t="n">
        <v>0</v>
      </c>
      <c r="M133" t="n">
        <v>0</v>
      </c>
      <c r="N133" t="n">
        <v>0</v>
      </c>
      <c r="O133" t="n">
        <v>0</v>
      </c>
      <c r="P133" t="n">
        <v>0</v>
      </c>
      <c r="Q133" t="n">
        <v>0</v>
      </c>
      <c r="R133" s="2" t="inlineStr"/>
    </row>
    <row r="134" ht="15" customHeight="1">
      <c r="A134" t="inlineStr">
        <is>
          <t>A 18637-2023</t>
        </is>
      </c>
      <c r="B134" s="1" t="n">
        <v>45043</v>
      </c>
      <c r="C134" s="1" t="n">
        <v>45975</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59933-2023</t>
        </is>
      </c>
      <c r="B135" s="1" t="n">
        <v>45257</v>
      </c>
      <c r="C135" s="1" t="n">
        <v>45975</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1687-2024</t>
        </is>
      </c>
      <c r="B136" s="1" t="n">
        <v>45306</v>
      </c>
      <c r="C136" s="1" t="n">
        <v>45975</v>
      </c>
      <c r="D136" t="inlineStr">
        <is>
          <t>VÄSTRA GÖTALANDS LÄN</t>
        </is>
      </c>
      <c r="E136" t="inlineStr">
        <is>
          <t>ALE</t>
        </is>
      </c>
      <c r="G136" t="n">
        <v>3.4</v>
      </c>
      <c r="H136" t="n">
        <v>0</v>
      </c>
      <c r="I136" t="n">
        <v>0</v>
      </c>
      <c r="J136" t="n">
        <v>0</v>
      </c>
      <c r="K136" t="n">
        <v>0</v>
      </c>
      <c r="L136" t="n">
        <v>0</v>
      </c>
      <c r="M136" t="n">
        <v>0</v>
      </c>
      <c r="N136" t="n">
        <v>0</v>
      </c>
      <c r="O136" t="n">
        <v>0</v>
      </c>
      <c r="P136" t="n">
        <v>0</v>
      </c>
      <c r="Q136" t="n">
        <v>0</v>
      </c>
      <c r="R136" s="2" t="inlineStr"/>
    </row>
    <row r="137" ht="15" customHeight="1">
      <c r="A137" t="inlineStr">
        <is>
          <t>A 52391-2025</t>
        </is>
      </c>
      <c r="B137" s="1" t="n">
        <v>45954.34305555555</v>
      </c>
      <c r="C137" s="1" t="n">
        <v>45975</v>
      </c>
      <c r="D137" t="inlineStr">
        <is>
          <t>VÄSTRA GÖTALANDS LÄN</t>
        </is>
      </c>
      <c r="E137" t="inlineStr">
        <is>
          <t>ALE</t>
        </is>
      </c>
      <c r="G137" t="n">
        <v>10.6</v>
      </c>
      <c r="H137" t="n">
        <v>0</v>
      </c>
      <c r="I137" t="n">
        <v>0</v>
      </c>
      <c r="J137" t="n">
        <v>0</v>
      </c>
      <c r="K137" t="n">
        <v>0</v>
      </c>
      <c r="L137" t="n">
        <v>0</v>
      </c>
      <c r="M137" t="n">
        <v>0</v>
      </c>
      <c r="N137" t="n">
        <v>0</v>
      </c>
      <c r="O137" t="n">
        <v>0</v>
      </c>
      <c r="P137" t="n">
        <v>0</v>
      </c>
      <c r="Q137" t="n">
        <v>0</v>
      </c>
      <c r="R137" s="2" t="inlineStr"/>
    </row>
    <row r="138" ht="15" customHeight="1">
      <c r="A138" t="inlineStr">
        <is>
          <t>A 29373-2025</t>
        </is>
      </c>
      <c r="B138" s="1" t="n">
        <v>45824.579375</v>
      </c>
      <c r="C138" s="1" t="n">
        <v>45975</v>
      </c>
      <c r="D138" t="inlineStr">
        <is>
          <t>VÄSTRA GÖTALANDS LÄN</t>
        </is>
      </c>
      <c r="E138" t="inlineStr">
        <is>
          <t>ALE</t>
        </is>
      </c>
      <c r="G138" t="n">
        <v>4.6</v>
      </c>
      <c r="H138" t="n">
        <v>0</v>
      </c>
      <c r="I138" t="n">
        <v>0</v>
      </c>
      <c r="J138" t="n">
        <v>0</v>
      </c>
      <c r="K138" t="n">
        <v>0</v>
      </c>
      <c r="L138" t="n">
        <v>0</v>
      </c>
      <c r="M138" t="n">
        <v>0</v>
      </c>
      <c r="N138" t="n">
        <v>0</v>
      </c>
      <c r="O138" t="n">
        <v>0</v>
      </c>
      <c r="P138" t="n">
        <v>0</v>
      </c>
      <c r="Q138" t="n">
        <v>0</v>
      </c>
      <c r="R138" s="2" t="inlineStr"/>
    </row>
    <row r="139" ht="15" customHeight="1">
      <c r="A139" t="inlineStr">
        <is>
          <t>A 52423-2025</t>
        </is>
      </c>
      <c r="B139" s="1" t="n">
        <v>45954.37650462963</v>
      </c>
      <c r="C139" s="1" t="n">
        <v>45975</v>
      </c>
      <c r="D139" t="inlineStr">
        <is>
          <t>VÄSTRA GÖTALANDS LÄN</t>
        </is>
      </c>
      <c r="E139" t="inlineStr">
        <is>
          <t>ALE</t>
        </is>
      </c>
      <c r="G139" t="n">
        <v>4.1</v>
      </c>
      <c r="H139" t="n">
        <v>0</v>
      </c>
      <c r="I139" t="n">
        <v>0</v>
      </c>
      <c r="J139" t="n">
        <v>0</v>
      </c>
      <c r="K139" t="n">
        <v>0</v>
      </c>
      <c r="L139" t="n">
        <v>0</v>
      </c>
      <c r="M139" t="n">
        <v>0</v>
      </c>
      <c r="N139" t="n">
        <v>0</v>
      </c>
      <c r="O139" t="n">
        <v>0</v>
      </c>
      <c r="P139" t="n">
        <v>0</v>
      </c>
      <c r="Q139" t="n">
        <v>0</v>
      </c>
      <c r="R139" s="2" t="inlineStr"/>
    </row>
    <row r="140" ht="15" customHeight="1">
      <c r="A140" t="inlineStr">
        <is>
          <t>A 50451-2024</t>
        </is>
      </c>
      <c r="B140" s="1" t="n">
        <v>45601.44248842593</v>
      </c>
      <c r="C140" s="1" t="n">
        <v>45975</v>
      </c>
      <c r="D140" t="inlineStr">
        <is>
          <t>VÄSTRA GÖTALANDS LÄN</t>
        </is>
      </c>
      <c r="E140" t="inlineStr">
        <is>
          <t>ALE</t>
        </is>
      </c>
      <c r="G140" t="n">
        <v>2.9</v>
      </c>
      <c r="H140" t="n">
        <v>0</v>
      </c>
      <c r="I140" t="n">
        <v>0</v>
      </c>
      <c r="J140" t="n">
        <v>0</v>
      </c>
      <c r="K140" t="n">
        <v>0</v>
      </c>
      <c r="L140" t="n">
        <v>0</v>
      </c>
      <c r="M140" t="n">
        <v>0</v>
      </c>
      <c r="N140" t="n">
        <v>0</v>
      </c>
      <c r="O140" t="n">
        <v>0</v>
      </c>
      <c r="P140" t="n">
        <v>0</v>
      </c>
      <c r="Q140" t="n">
        <v>0</v>
      </c>
      <c r="R140" s="2" t="inlineStr"/>
    </row>
    <row r="141" ht="15" customHeight="1">
      <c r="A141" t="inlineStr">
        <is>
          <t>A 49680-2024</t>
        </is>
      </c>
      <c r="B141" s="1" t="n">
        <v>45596.66880787037</v>
      </c>
      <c r="C141" s="1" t="n">
        <v>45975</v>
      </c>
      <c r="D141" t="inlineStr">
        <is>
          <t>VÄSTRA GÖTALANDS LÄN</t>
        </is>
      </c>
      <c r="E141" t="inlineStr">
        <is>
          <t>ALE</t>
        </is>
      </c>
      <c r="G141" t="n">
        <v>3.7</v>
      </c>
      <c r="H141" t="n">
        <v>0</v>
      </c>
      <c r="I141" t="n">
        <v>0</v>
      </c>
      <c r="J141" t="n">
        <v>0</v>
      </c>
      <c r="K141" t="n">
        <v>0</v>
      </c>
      <c r="L141" t="n">
        <v>0</v>
      </c>
      <c r="M141" t="n">
        <v>0</v>
      </c>
      <c r="N141" t="n">
        <v>0</v>
      </c>
      <c r="O141" t="n">
        <v>0</v>
      </c>
      <c r="P141" t="n">
        <v>0</v>
      </c>
      <c r="Q141" t="n">
        <v>0</v>
      </c>
      <c r="R141" s="2" t="inlineStr"/>
    </row>
    <row r="142" ht="15" customHeight="1">
      <c r="A142" t="inlineStr">
        <is>
          <t>A 34153-2024</t>
        </is>
      </c>
      <c r="B142" s="1" t="n">
        <v>45524.38400462963</v>
      </c>
      <c r="C142" s="1" t="n">
        <v>45975</v>
      </c>
      <c r="D142" t="inlineStr">
        <is>
          <t>VÄSTRA GÖTALANDS LÄN</t>
        </is>
      </c>
      <c r="E142" t="inlineStr">
        <is>
          <t>ALE</t>
        </is>
      </c>
      <c r="G142" t="n">
        <v>0.8</v>
      </c>
      <c r="H142" t="n">
        <v>0</v>
      </c>
      <c r="I142" t="n">
        <v>0</v>
      </c>
      <c r="J142" t="n">
        <v>0</v>
      </c>
      <c r="K142" t="n">
        <v>0</v>
      </c>
      <c r="L142" t="n">
        <v>0</v>
      </c>
      <c r="M142" t="n">
        <v>0</v>
      </c>
      <c r="N142" t="n">
        <v>0</v>
      </c>
      <c r="O142" t="n">
        <v>0</v>
      </c>
      <c r="P142" t="n">
        <v>0</v>
      </c>
      <c r="Q142" t="n">
        <v>0</v>
      </c>
      <c r="R142" s="2" t="inlineStr"/>
    </row>
    <row r="143" ht="15" customHeight="1">
      <c r="A143" t="inlineStr">
        <is>
          <t>A 41309-2024</t>
        </is>
      </c>
      <c r="B143" s="1" t="n">
        <v>45559</v>
      </c>
      <c r="C143" s="1" t="n">
        <v>45975</v>
      </c>
      <c r="D143" t="inlineStr">
        <is>
          <t>VÄSTRA GÖTALANDS LÄN</t>
        </is>
      </c>
      <c r="E143" t="inlineStr">
        <is>
          <t>ALE</t>
        </is>
      </c>
      <c r="G143" t="n">
        <v>8.4</v>
      </c>
      <c r="H143" t="n">
        <v>0</v>
      </c>
      <c r="I143" t="n">
        <v>0</v>
      </c>
      <c r="J143" t="n">
        <v>0</v>
      </c>
      <c r="K143" t="n">
        <v>0</v>
      </c>
      <c r="L143" t="n">
        <v>0</v>
      </c>
      <c r="M143" t="n">
        <v>0</v>
      </c>
      <c r="N143" t="n">
        <v>0</v>
      </c>
      <c r="O143" t="n">
        <v>0</v>
      </c>
      <c r="P143" t="n">
        <v>0</v>
      </c>
      <c r="Q143" t="n">
        <v>0</v>
      </c>
      <c r="R143" s="2" t="inlineStr"/>
    </row>
    <row r="144" ht="15" customHeight="1">
      <c r="A144" t="inlineStr">
        <is>
          <t>A 13382-2025</t>
        </is>
      </c>
      <c r="B144" s="1" t="n">
        <v>45735.67928240741</v>
      </c>
      <c r="C144" s="1" t="n">
        <v>45975</v>
      </c>
      <c r="D144" t="inlineStr">
        <is>
          <t>VÄSTRA GÖTALANDS LÄN</t>
        </is>
      </c>
      <c r="E144" t="inlineStr">
        <is>
          <t>ALE</t>
        </is>
      </c>
      <c r="G144" t="n">
        <v>0.9</v>
      </c>
      <c r="H144" t="n">
        <v>0</v>
      </c>
      <c r="I144" t="n">
        <v>0</v>
      </c>
      <c r="J144" t="n">
        <v>0</v>
      </c>
      <c r="K144" t="n">
        <v>0</v>
      </c>
      <c r="L144" t="n">
        <v>0</v>
      </c>
      <c r="M144" t="n">
        <v>0</v>
      </c>
      <c r="N144" t="n">
        <v>0</v>
      </c>
      <c r="O144" t="n">
        <v>0</v>
      </c>
      <c r="P144" t="n">
        <v>0</v>
      </c>
      <c r="Q144" t="n">
        <v>0</v>
      </c>
      <c r="R144" s="2" t="inlineStr"/>
    </row>
    <row r="145" ht="15" customHeight="1">
      <c r="A145" t="inlineStr">
        <is>
          <t>A 13903-2025</t>
        </is>
      </c>
      <c r="B145" s="1" t="n">
        <v>45737.63481481482</v>
      </c>
      <c r="C145" s="1" t="n">
        <v>45975</v>
      </c>
      <c r="D145" t="inlineStr">
        <is>
          <t>VÄSTRA GÖTALANDS LÄN</t>
        </is>
      </c>
      <c r="E145" t="inlineStr">
        <is>
          <t>ALE</t>
        </is>
      </c>
      <c r="G145" t="n">
        <v>0.5</v>
      </c>
      <c r="H145" t="n">
        <v>0</v>
      </c>
      <c r="I145" t="n">
        <v>0</v>
      </c>
      <c r="J145" t="n">
        <v>0</v>
      </c>
      <c r="K145" t="n">
        <v>0</v>
      </c>
      <c r="L145" t="n">
        <v>0</v>
      </c>
      <c r="M145" t="n">
        <v>0</v>
      </c>
      <c r="N145" t="n">
        <v>0</v>
      </c>
      <c r="O145" t="n">
        <v>0</v>
      </c>
      <c r="P145" t="n">
        <v>0</v>
      </c>
      <c r="Q145" t="n">
        <v>0</v>
      </c>
      <c r="R145" s="2" t="inlineStr"/>
    </row>
    <row r="146" ht="15" customHeight="1">
      <c r="A146" t="inlineStr">
        <is>
          <t>A 15499-2022</t>
        </is>
      </c>
      <c r="B146" s="1" t="n">
        <v>44662</v>
      </c>
      <c r="C146" s="1" t="n">
        <v>45975</v>
      </c>
      <c r="D146" t="inlineStr">
        <is>
          <t>VÄSTRA GÖTALANDS LÄN</t>
        </is>
      </c>
      <c r="E146" t="inlineStr">
        <is>
          <t>ALE</t>
        </is>
      </c>
      <c r="G146" t="n">
        <v>4.7</v>
      </c>
      <c r="H146" t="n">
        <v>0</v>
      </c>
      <c r="I146" t="n">
        <v>0</v>
      </c>
      <c r="J146" t="n">
        <v>0</v>
      </c>
      <c r="K146" t="n">
        <v>0</v>
      </c>
      <c r="L146" t="n">
        <v>0</v>
      </c>
      <c r="M146" t="n">
        <v>0</v>
      </c>
      <c r="N146" t="n">
        <v>0</v>
      </c>
      <c r="O146" t="n">
        <v>0</v>
      </c>
      <c r="P146" t="n">
        <v>0</v>
      </c>
      <c r="Q146" t="n">
        <v>0</v>
      </c>
      <c r="R146" s="2" t="inlineStr"/>
    </row>
    <row r="147" ht="15" customHeight="1">
      <c r="A147" t="inlineStr">
        <is>
          <t>A 31407-2025</t>
        </is>
      </c>
      <c r="B147" s="1" t="n">
        <v>45833</v>
      </c>
      <c r="C147" s="1" t="n">
        <v>45975</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31409-2025</t>
        </is>
      </c>
      <c r="B148" s="1" t="n">
        <v>45833</v>
      </c>
      <c r="C148" s="1" t="n">
        <v>45975</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31533-2025</t>
        </is>
      </c>
      <c r="B149" s="1" t="n">
        <v>45833</v>
      </c>
      <c r="C149" s="1" t="n">
        <v>45975</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31488-2025</t>
        </is>
      </c>
      <c r="B150" s="1" t="n">
        <v>45833</v>
      </c>
      <c r="C150" s="1" t="n">
        <v>45975</v>
      </c>
      <c r="D150" t="inlineStr">
        <is>
          <t>VÄSTRA GÖTALANDS LÄN</t>
        </is>
      </c>
      <c r="E150" t="inlineStr">
        <is>
          <t>ALE</t>
        </is>
      </c>
      <c r="G150" t="n">
        <v>1.8</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45975</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27314-2021</t>
        </is>
      </c>
      <c r="B152" s="1" t="n">
        <v>44351.36537037037</v>
      </c>
      <c r="C152" s="1" t="n">
        <v>45975</v>
      </c>
      <c r="D152" t="inlineStr">
        <is>
          <t>VÄSTRA GÖTALANDS LÄN</t>
        </is>
      </c>
      <c r="E152" t="inlineStr">
        <is>
          <t>ALE</t>
        </is>
      </c>
      <c r="G152" t="n">
        <v>11.3</v>
      </c>
      <c r="H152" t="n">
        <v>0</v>
      </c>
      <c r="I152" t="n">
        <v>0</v>
      </c>
      <c r="J152" t="n">
        <v>0</v>
      </c>
      <c r="K152" t="n">
        <v>0</v>
      </c>
      <c r="L152" t="n">
        <v>0</v>
      </c>
      <c r="M152" t="n">
        <v>0</v>
      </c>
      <c r="N152" t="n">
        <v>0</v>
      </c>
      <c r="O152" t="n">
        <v>0</v>
      </c>
      <c r="P152" t="n">
        <v>0</v>
      </c>
      <c r="Q152" t="n">
        <v>0</v>
      </c>
      <c r="R152" s="2" t="inlineStr"/>
    </row>
    <row r="153" ht="15" customHeight="1">
      <c r="A153" t="inlineStr">
        <is>
          <t>A 46227-2025</t>
        </is>
      </c>
      <c r="B153" s="1" t="n">
        <v>45924.90386574074</v>
      </c>
      <c r="C153" s="1" t="n">
        <v>45975</v>
      </c>
      <c r="D153" t="inlineStr">
        <is>
          <t>VÄSTRA GÖTALANDS LÄN</t>
        </is>
      </c>
      <c r="E153" t="inlineStr">
        <is>
          <t>ALE</t>
        </is>
      </c>
      <c r="G153" t="n">
        <v>0.3</v>
      </c>
      <c r="H153" t="n">
        <v>0</v>
      </c>
      <c r="I153" t="n">
        <v>0</v>
      </c>
      <c r="J153" t="n">
        <v>0</v>
      </c>
      <c r="K153" t="n">
        <v>0</v>
      </c>
      <c r="L153" t="n">
        <v>0</v>
      </c>
      <c r="M153" t="n">
        <v>0</v>
      </c>
      <c r="N153" t="n">
        <v>0</v>
      </c>
      <c r="O153" t="n">
        <v>0</v>
      </c>
      <c r="P153" t="n">
        <v>0</v>
      </c>
      <c r="Q153" t="n">
        <v>0</v>
      </c>
      <c r="R153" s="2" t="inlineStr"/>
    </row>
    <row r="154" ht="15" customHeight="1">
      <c r="A154" t="inlineStr">
        <is>
          <t>A 46226-2025</t>
        </is>
      </c>
      <c r="B154" s="1" t="n">
        <v>45924</v>
      </c>
      <c r="C154" s="1" t="n">
        <v>45975</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47330-2025</t>
        </is>
      </c>
      <c r="B155" s="1" t="n">
        <v>45930.56170138889</v>
      </c>
      <c r="C155" s="1" t="n">
        <v>45975</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45975</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47592-2025</t>
        </is>
      </c>
      <c r="B157" s="1" t="n">
        <v>45931.44649305556</v>
      </c>
      <c r="C157" s="1" t="n">
        <v>45975</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3418-2023</t>
        </is>
      </c>
      <c r="B158" s="1" t="n">
        <v>44949.56182870371</v>
      </c>
      <c r="C158" s="1" t="n">
        <v>45975</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65226-2021</t>
        </is>
      </c>
      <c r="B159" s="1" t="n">
        <v>44515</v>
      </c>
      <c r="C159" s="1" t="n">
        <v>45975</v>
      </c>
      <c r="D159" t="inlineStr">
        <is>
          <t>VÄSTRA GÖTALANDS LÄN</t>
        </is>
      </c>
      <c r="E159" t="inlineStr">
        <is>
          <t>ALE</t>
        </is>
      </c>
      <c r="G159" t="n">
        <v>0.7</v>
      </c>
      <c r="H159" t="n">
        <v>0</v>
      </c>
      <c r="I159" t="n">
        <v>0</v>
      </c>
      <c r="J159" t="n">
        <v>0</v>
      </c>
      <c r="K159" t="n">
        <v>0</v>
      </c>
      <c r="L159" t="n">
        <v>0</v>
      </c>
      <c r="M159" t="n">
        <v>0</v>
      </c>
      <c r="N159" t="n">
        <v>0</v>
      </c>
      <c r="O159" t="n">
        <v>0</v>
      </c>
      <c r="P159" t="n">
        <v>0</v>
      </c>
      <c r="Q159" t="n">
        <v>0</v>
      </c>
      <c r="R159" s="2" t="inlineStr"/>
    </row>
    <row r="160" ht="15" customHeight="1">
      <c r="A160" t="inlineStr">
        <is>
          <t>A 47593-2025</t>
        </is>
      </c>
      <c r="B160" s="1" t="n">
        <v>45931.4480787037</v>
      </c>
      <c r="C160" s="1" t="n">
        <v>45975</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47728-2025</t>
        </is>
      </c>
      <c r="B161" s="1" t="n">
        <v>45931.63186342592</v>
      </c>
      <c r="C161" s="1" t="n">
        <v>45975</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12055-2022</t>
        </is>
      </c>
      <c r="B162" s="1" t="n">
        <v>44636</v>
      </c>
      <c r="C162" s="1" t="n">
        <v>45975</v>
      </c>
      <c r="D162" t="inlineStr">
        <is>
          <t>VÄSTRA GÖTALANDS LÄN</t>
        </is>
      </c>
      <c r="E162" t="inlineStr">
        <is>
          <t>ALE</t>
        </is>
      </c>
      <c r="G162" t="n">
        <v>0.2</v>
      </c>
      <c r="H162" t="n">
        <v>0</v>
      </c>
      <c r="I162" t="n">
        <v>0</v>
      </c>
      <c r="J162" t="n">
        <v>0</v>
      </c>
      <c r="K162" t="n">
        <v>0</v>
      </c>
      <c r="L162" t="n">
        <v>0</v>
      </c>
      <c r="M162" t="n">
        <v>0</v>
      </c>
      <c r="N162" t="n">
        <v>0</v>
      </c>
      <c r="O162" t="n">
        <v>0</v>
      </c>
      <c r="P162" t="n">
        <v>0</v>
      </c>
      <c r="Q162" t="n">
        <v>0</v>
      </c>
      <c r="R162" s="2" t="inlineStr"/>
    </row>
    <row r="163" ht="15" customHeight="1">
      <c r="A163" t="inlineStr">
        <is>
          <t>A 3457-2022</t>
        </is>
      </c>
      <c r="B163" s="1" t="n">
        <v>44585</v>
      </c>
      <c r="C163" s="1" t="n">
        <v>45975</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69325-2020</t>
        </is>
      </c>
      <c r="B164" s="1" t="n">
        <v>44193</v>
      </c>
      <c r="C164" s="1" t="n">
        <v>45975</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c r="A165" t="inlineStr">
        <is>
          <t>A 5916-2023</t>
        </is>
      </c>
      <c r="B165" s="1" t="n">
        <v>44963</v>
      </c>
      <c r="C165" s="1" t="n">
        <v>45975</v>
      </c>
      <c r="D165" t="inlineStr">
        <is>
          <t>VÄSTRA GÖTALANDS LÄN</t>
        </is>
      </c>
      <c r="E165" t="inlineStr">
        <is>
          <t>ALE</t>
        </is>
      </c>
      <c r="G165" t="n">
        <v>4.2</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2025-11-14T10:11:51Z</dcterms:created>
  <dcterms:modified xmlns:dcterms="http://purl.org/dc/terms/" xmlns:xsi="http://www.w3.org/2001/XMLSchema-instance" xsi:type="dcterms:W3CDTF">2025-11-14T10:11:51Z</dcterms:modified>
</cp:coreProperties>
</file>