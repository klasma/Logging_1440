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45895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45895</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45895</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45895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45895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45895</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45895</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45895</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45895</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45895</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45895</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45895</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45895</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45895</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37005-2025</t>
        </is>
      </c>
      <c r="B18" s="1" t="n">
        <v>45874.69311342593</v>
      </c>
      <c r="C18" s="1" t="n">
        <v>45895</v>
      </c>
      <c r="D18" t="inlineStr">
        <is>
          <t>VÄSTRA GÖTALANDS LÄN</t>
        </is>
      </c>
      <c r="E18" t="inlineStr">
        <is>
          <t>ALE</t>
        </is>
      </c>
      <c r="G18" t="n">
        <v>1.9</v>
      </c>
      <c r="H18" t="n">
        <v>3</v>
      </c>
      <c r="I18" t="n">
        <v>0</v>
      </c>
      <c r="J18" t="n">
        <v>1</v>
      </c>
      <c r="K18" t="n">
        <v>0</v>
      </c>
      <c r="L18" t="n">
        <v>0</v>
      </c>
      <c r="M18" t="n">
        <v>0</v>
      </c>
      <c r="N18" t="n">
        <v>0</v>
      </c>
      <c r="O18" t="n">
        <v>1</v>
      </c>
      <c r="P18" t="n">
        <v>0</v>
      </c>
      <c r="Q18" t="n">
        <v>3</v>
      </c>
      <c r="R18" s="2" t="inlineStr">
        <is>
          <t>Spillkråka
Kungsfågel
Revlummer</t>
        </is>
      </c>
      <c r="S18">
        <f>HYPERLINK("https://klasma.github.io/Logging_1440/artfynd/A 37005-2025 artfynd.xlsx", "A 37005-2025")</f>
        <v/>
      </c>
      <c r="T18">
        <f>HYPERLINK("https://klasma.github.io/Logging_1440/kartor/A 37005-2025 karta.png", "A 37005-2025")</f>
        <v/>
      </c>
      <c r="V18">
        <f>HYPERLINK("https://klasma.github.io/Logging_1440/klagomål/A 37005-2025 FSC-klagomål.docx", "A 37005-2025")</f>
        <v/>
      </c>
      <c r="W18">
        <f>HYPERLINK("https://klasma.github.io/Logging_1440/klagomålsmail/A 37005-2025 FSC-klagomål mail.docx", "A 37005-2025")</f>
        <v/>
      </c>
      <c r="X18">
        <f>HYPERLINK("https://klasma.github.io/Logging_1440/tillsyn/A 37005-2025 tillsynsbegäran.docx", "A 37005-2025")</f>
        <v/>
      </c>
      <c r="Y18">
        <f>HYPERLINK("https://klasma.github.io/Logging_1440/tillsynsmail/A 37005-2025 tillsynsbegäran mail.docx", "A 37005-2025")</f>
        <v/>
      </c>
      <c r="Z18">
        <f>HYPERLINK("https://klasma.github.io/Logging_1440/fåglar/A 37005-2025 prioriterade fågelarter.docx", "A 37005-2025")</f>
        <v/>
      </c>
    </row>
    <row r="19" ht="15" customHeight="1">
      <c r="A19" t="inlineStr">
        <is>
          <t>A 8955-2025</t>
        </is>
      </c>
      <c r="B19" s="1" t="n">
        <v>45713.46528935185</v>
      </c>
      <c r="C19" s="1" t="n">
        <v>45895</v>
      </c>
      <c r="D19" t="inlineStr">
        <is>
          <t>VÄSTRA GÖTALANDS LÄN</t>
        </is>
      </c>
      <c r="E19" t="inlineStr">
        <is>
          <t>ALE</t>
        </is>
      </c>
      <c r="G19" t="n">
        <v>1</v>
      </c>
      <c r="H19" t="n">
        <v>2</v>
      </c>
      <c r="I19" t="n">
        <v>0</v>
      </c>
      <c r="J19" t="n">
        <v>1</v>
      </c>
      <c r="K19" t="n">
        <v>0</v>
      </c>
      <c r="L19" t="n">
        <v>0</v>
      </c>
      <c r="M19" t="n">
        <v>0</v>
      </c>
      <c r="N19" t="n">
        <v>0</v>
      </c>
      <c r="O19" t="n">
        <v>1</v>
      </c>
      <c r="P19" t="n">
        <v>0</v>
      </c>
      <c r="Q19" t="n">
        <v>2</v>
      </c>
      <c r="R19" s="2" t="inlineStr">
        <is>
          <t>Spillkråka
Revlummer</t>
        </is>
      </c>
      <c r="S19">
        <f>HYPERLINK("https://klasma.github.io/Logging_1440/artfynd/A 8955-2025 artfynd.xlsx", "A 8955-2025")</f>
        <v/>
      </c>
      <c r="T19">
        <f>HYPERLINK("https://klasma.github.io/Logging_1440/kartor/A 8955-2025 karta.png", "A 8955-2025")</f>
        <v/>
      </c>
      <c r="V19">
        <f>HYPERLINK("https://klasma.github.io/Logging_1440/klagomål/A 8955-2025 FSC-klagomål.docx", "A 8955-2025")</f>
        <v/>
      </c>
      <c r="W19">
        <f>HYPERLINK("https://klasma.github.io/Logging_1440/klagomålsmail/A 8955-2025 FSC-klagomål mail.docx", "A 8955-2025")</f>
        <v/>
      </c>
      <c r="X19">
        <f>HYPERLINK("https://klasma.github.io/Logging_1440/tillsyn/A 8955-2025 tillsynsbegäran.docx", "A 8955-2025")</f>
        <v/>
      </c>
      <c r="Y19">
        <f>HYPERLINK("https://klasma.github.io/Logging_1440/tillsynsmail/A 8955-2025 tillsynsbegäran mail.docx", "A 8955-2025")</f>
        <v/>
      </c>
      <c r="Z19">
        <f>HYPERLINK("https://klasma.github.io/Logging_1440/fåglar/A 8955-2025 prioriterade fågelarter.docx", "A 8955-2025")</f>
        <v/>
      </c>
    </row>
    <row r="20" ht="15" customHeight="1">
      <c r="A20" t="inlineStr">
        <is>
          <t>A 58954-2022</t>
        </is>
      </c>
      <c r="B20" s="1" t="n">
        <v>44903</v>
      </c>
      <c r="C20" s="1" t="n">
        <v>45895</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380-2025</t>
        </is>
      </c>
      <c r="B21" s="1" t="n">
        <v>45662.43456018518</v>
      </c>
      <c r="C21" s="1" t="n">
        <v>45895</v>
      </c>
      <c r="D21" t="inlineStr">
        <is>
          <t>VÄSTRA GÖTALANDS LÄN</t>
        </is>
      </c>
      <c r="E21" t="inlineStr">
        <is>
          <t>ALE</t>
        </is>
      </c>
      <c r="G21" t="n">
        <v>8.6</v>
      </c>
      <c r="H21" t="n">
        <v>1</v>
      </c>
      <c r="I21" t="n">
        <v>1</v>
      </c>
      <c r="J21" t="n">
        <v>1</v>
      </c>
      <c r="K21" t="n">
        <v>0</v>
      </c>
      <c r="L21" t="n">
        <v>0</v>
      </c>
      <c r="M21" t="n">
        <v>0</v>
      </c>
      <c r="N21" t="n">
        <v>0</v>
      </c>
      <c r="O21" t="n">
        <v>1</v>
      </c>
      <c r="P21" t="n">
        <v>0</v>
      </c>
      <c r="Q21" t="n">
        <v>2</v>
      </c>
      <c r="R21" s="2" t="inlineStr">
        <is>
          <t>Spillkråka
Blåmossa</t>
        </is>
      </c>
      <c r="S21">
        <f>HYPERLINK("https://klasma.github.io/Logging_1440/artfynd/A 380-2025 artfynd.xlsx", "A 380-2025")</f>
        <v/>
      </c>
      <c r="T21">
        <f>HYPERLINK("https://klasma.github.io/Logging_1440/kartor/A 380-2025 karta.png", "A 380-2025")</f>
        <v/>
      </c>
      <c r="V21">
        <f>HYPERLINK("https://klasma.github.io/Logging_1440/klagomål/A 380-2025 FSC-klagomål.docx", "A 380-2025")</f>
        <v/>
      </c>
      <c r="W21">
        <f>HYPERLINK("https://klasma.github.io/Logging_1440/klagomålsmail/A 380-2025 FSC-klagomål mail.docx", "A 380-2025")</f>
        <v/>
      </c>
      <c r="X21">
        <f>HYPERLINK("https://klasma.github.io/Logging_1440/tillsyn/A 380-2025 tillsynsbegäran.docx", "A 380-2025")</f>
        <v/>
      </c>
      <c r="Y21">
        <f>HYPERLINK("https://klasma.github.io/Logging_1440/tillsynsmail/A 380-2025 tillsynsbegäran mail.docx", "A 380-2025")</f>
        <v/>
      </c>
      <c r="Z21">
        <f>HYPERLINK("https://klasma.github.io/Logging_1440/fåglar/A 380-2025 prioriterade fågelarter.docx", "A 380-2025")</f>
        <v/>
      </c>
    </row>
    <row r="22" ht="15" customHeight="1">
      <c r="A22" t="inlineStr">
        <is>
          <t>A 2270-2025</t>
        </is>
      </c>
      <c r="B22" s="1" t="n">
        <v>45673.54403935185</v>
      </c>
      <c r="C22" s="1" t="n">
        <v>45895</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45895</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20586-2023</t>
        </is>
      </c>
      <c r="B24" s="1" t="n">
        <v>45057</v>
      </c>
      <c r="C24" s="1" t="n">
        <v>45895</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20586-2023 artfynd.xlsx", "A 20586-2023")</f>
        <v/>
      </c>
      <c r="T24">
        <f>HYPERLINK("https://klasma.github.io/Logging_1440/kartor/A 20586-2023 karta.png", "A 20586-2023")</f>
        <v/>
      </c>
      <c r="V24">
        <f>HYPERLINK("https://klasma.github.io/Logging_1440/klagomål/A 20586-2023 FSC-klagomål.docx", "A 20586-2023")</f>
        <v/>
      </c>
      <c r="W24">
        <f>HYPERLINK("https://klasma.github.io/Logging_1440/klagomålsmail/A 20586-2023 FSC-klagomål mail.docx", "A 20586-2023")</f>
        <v/>
      </c>
      <c r="X24">
        <f>HYPERLINK("https://klasma.github.io/Logging_1440/tillsyn/A 20586-2023 tillsynsbegäran.docx", "A 20586-2023")</f>
        <v/>
      </c>
      <c r="Y24">
        <f>HYPERLINK("https://klasma.github.io/Logging_1440/tillsynsmail/A 20586-2023 tillsynsbegäran mail.docx", "A 20586-2023")</f>
        <v/>
      </c>
      <c r="Z24">
        <f>HYPERLINK("https://klasma.github.io/Logging_1440/fåglar/A 20586-2023 prioriterade fågelarter.docx", "A 20586-2023")</f>
        <v/>
      </c>
    </row>
    <row r="25" ht="15" customHeight="1">
      <c r="A25" t="inlineStr">
        <is>
          <t>A 13380-2025</t>
        </is>
      </c>
      <c r="B25" s="1" t="n">
        <v>45735.6765162037</v>
      </c>
      <c r="C25" s="1" t="n">
        <v>45895</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45751.65315972222</v>
      </c>
      <c r="C26" s="1" t="n">
        <v>45895</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63569-2023</t>
        </is>
      </c>
      <c r="B27" s="1" t="n">
        <v>45275</v>
      </c>
      <c r="C27" s="1" t="n">
        <v>45895</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26493-2024</t>
        </is>
      </c>
      <c r="B28" s="1" t="n">
        <v>45469</v>
      </c>
      <c r="C28" s="1" t="n">
        <v>45895</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12084-2025</t>
        </is>
      </c>
      <c r="B29" s="1" t="n">
        <v>45728.95387731482</v>
      </c>
      <c r="C29" s="1" t="n">
        <v>45895</v>
      </c>
      <c r="D29" t="inlineStr">
        <is>
          <t>VÄSTRA GÖTALANDS LÄN</t>
        </is>
      </c>
      <c r="E29" t="inlineStr">
        <is>
          <t>ALE</t>
        </is>
      </c>
      <c r="G29" t="n">
        <v>2.4</v>
      </c>
      <c r="H29" t="n">
        <v>1</v>
      </c>
      <c r="I29" t="n">
        <v>0</v>
      </c>
      <c r="J29" t="n">
        <v>1</v>
      </c>
      <c r="K29" t="n">
        <v>0</v>
      </c>
      <c r="L29" t="n">
        <v>0</v>
      </c>
      <c r="M29" t="n">
        <v>0</v>
      </c>
      <c r="N29" t="n">
        <v>0</v>
      </c>
      <c r="O29" t="n">
        <v>1</v>
      </c>
      <c r="P29" t="n">
        <v>0</v>
      </c>
      <c r="Q29" t="n">
        <v>1</v>
      </c>
      <c r="R29" s="2" t="inlineStr">
        <is>
          <t>Spillkråka</t>
        </is>
      </c>
      <c r="S29">
        <f>HYPERLINK("https://klasma.github.io/Logging_1440/artfynd/A 12084-2025 artfynd.xlsx", "A 12084-2025")</f>
        <v/>
      </c>
      <c r="T29">
        <f>HYPERLINK("https://klasma.github.io/Logging_1440/kartor/A 12084-2025 karta.png", "A 12084-2025")</f>
        <v/>
      </c>
      <c r="V29">
        <f>HYPERLINK("https://klasma.github.io/Logging_1440/klagomål/A 12084-2025 FSC-klagomål.docx", "A 12084-2025")</f>
        <v/>
      </c>
      <c r="W29">
        <f>HYPERLINK("https://klasma.github.io/Logging_1440/klagomålsmail/A 12084-2025 FSC-klagomål mail.docx", "A 12084-2025")</f>
        <v/>
      </c>
      <c r="X29">
        <f>HYPERLINK("https://klasma.github.io/Logging_1440/tillsyn/A 12084-2025 tillsynsbegäran.docx", "A 12084-2025")</f>
        <v/>
      </c>
      <c r="Y29">
        <f>HYPERLINK("https://klasma.github.io/Logging_1440/tillsynsmail/A 12084-2025 tillsynsbegäran mail.docx", "A 12084-2025")</f>
        <v/>
      </c>
      <c r="Z29">
        <f>HYPERLINK("https://klasma.github.io/Logging_1440/fåglar/A 12084-2025 prioriterade fågelarter.docx", "A 12084-2025")</f>
        <v/>
      </c>
    </row>
    <row r="30" ht="15" customHeight="1">
      <c r="A30" t="inlineStr">
        <is>
          <t>A 26677-2025</t>
        </is>
      </c>
      <c r="B30" s="1" t="n">
        <v>45810.42446759259</v>
      </c>
      <c r="C30" s="1" t="n">
        <v>45895</v>
      </c>
      <c r="D30" t="inlineStr">
        <is>
          <t>VÄSTRA GÖTALANDS LÄN</t>
        </is>
      </c>
      <c r="E30" t="inlineStr">
        <is>
          <t>ALE</t>
        </is>
      </c>
      <c r="G30" t="n">
        <v>1.2</v>
      </c>
      <c r="H30" t="n">
        <v>0</v>
      </c>
      <c r="I30" t="n">
        <v>1</v>
      </c>
      <c r="J30" t="n">
        <v>0</v>
      </c>
      <c r="K30" t="n">
        <v>0</v>
      </c>
      <c r="L30" t="n">
        <v>0</v>
      </c>
      <c r="M30" t="n">
        <v>0</v>
      </c>
      <c r="N30" t="n">
        <v>0</v>
      </c>
      <c r="O30" t="n">
        <v>0</v>
      </c>
      <c r="P30" t="n">
        <v>0</v>
      </c>
      <c r="Q30" t="n">
        <v>1</v>
      </c>
      <c r="R30" s="2" t="inlineStr">
        <is>
          <t>Västlig hakmossa</t>
        </is>
      </c>
      <c r="S30">
        <f>HYPERLINK("https://klasma.github.io/Logging_1440/artfynd/A 26677-2025 artfynd.xlsx", "A 26677-2025")</f>
        <v/>
      </c>
      <c r="T30">
        <f>HYPERLINK("https://klasma.github.io/Logging_1440/kartor/A 26677-2025 karta.png", "A 26677-2025")</f>
        <v/>
      </c>
      <c r="V30">
        <f>HYPERLINK("https://klasma.github.io/Logging_1440/klagomål/A 26677-2025 FSC-klagomål.docx", "A 26677-2025")</f>
        <v/>
      </c>
      <c r="W30">
        <f>HYPERLINK("https://klasma.github.io/Logging_1440/klagomålsmail/A 26677-2025 FSC-klagomål mail.docx", "A 26677-2025")</f>
        <v/>
      </c>
      <c r="X30">
        <f>HYPERLINK("https://klasma.github.io/Logging_1440/tillsyn/A 26677-2025 tillsynsbegäran.docx", "A 26677-2025")</f>
        <v/>
      </c>
      <c r="Y30">
        <f>HYPERLINK("https://klasma.github.io/Logging_1440/tillsynsmail/A 26677-2025 tillsynsbegäran mail.docx", "A 26677-2025")</f>
        <v/>
      </c>
    </row>
    <row r="31" ht="15" customHeight="1">
      <c r="A31" t="inlineStr">
        <is>
          <t>A 13902-2025</t>
        </is>
      </c>
      <c r="B31" s="1" t="n">
        <v>45737.63446759259</v>
      </c>
      <c r="C31" s="1" t="n">
        <v>45895</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12982-2024</t>
        </is>
      </c>
      <c r="B32" s="1" t="n">
        <v>45385.53569444444</v>
      </c>
      <c r="C32" s="1" t="n">
        <v>45895</v>
      </c>
      <c r="D32" t="inlineStr">
        <is>
          <t>VÄSTRA GÖTALANDS LÄN</t>
        </is>
      </c>
      <c r="E32" t="inlineStr">
        <is>
          <t>ALE</t>
        </is>
      </c>
      <c r="G32" t="n">
        <v>3.3</v>
      </c>
      <c r="H32" t="n">
        <v>1</v>
      </c>
      <c r="I32" t="n">
        <v>0</v>
      </c>
      <c r="J32" t="n">
        <v>0</v>
      </c>
      <c r="K32" t="n">
        <v>0</v>
      </c>
      <c r="L32" t="n">
        <v>0</v>
      </c>
      <c r="M32" t="n">
        <v>0</v>
      </c>
      <c r="N32" t="n">
        <v>0</v>
      </c>
      <c r="O32" t="n">
        <v>0</v>
      </c>
      <c r="P32" t="n">
        <v>0</v>
      </c>
      <c r="Q32" t="n">
        <v>1</v>
      </c>
      <c r="R32" s="2" t="inlineStr">
        <is>
          <t>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row>
    <row r="33" ht="15" customHeight="1">
      <c r="A33" t="inlineStr">
        <is>
          <t>A 21281-2021</t>
        </is>
      </c>
      <c r="B33" s="1" t="n">
        <v>44320.61850694445</v>
      </c>
      <c r="C33" s="1" t="n">
        <v>45895</v>
      </c>
      <c r="D33" t="inlineStr">
        <is>
          <t>VÄSTRA GÖTALANDS LÄN</t>
        </is>
      </c>
      <c r="E33" t="inlineStr">
        <is>
          <t>ALE</t>
        </is>
      </c>
      <c r="G33" t="n">
        <v>1.4</v>
      </c>
      <c r="H33" t="n">
        <v>0</v>
      </c>
      <c r="I33" t="n">
        <v>0</v>
      </c>
      <c r="J33" t="n">
        <v>0</v>
      </c>
      <c r="K33" t="n">
        <v>0</v>
      </c>
      <c r="L33" t="n">
        <v>0</v>
      </c>
      <c r="M33" t="n">
        <v>0</v>
      </c>
      <c r="N33" t="n">
        <v>0</v>
      </c>
      <c r="O33" t="n">
        <v>0</v>
      </c>
      <c r="P33" t="n">
        <v>0</v>
      </c>
      <c r="Q33" t="n">
        <v>0</v>
      </c>
      <c r="R33" s="2" t="inlineStr"/>
    </row>
    <row r="34" ht="15" customHeight="1">
      <c r="A34" t="inlineStr">
        <is>
          <t>A 14517-2021</t>
        </is>
      </c>
      <c r="B34" s="1" t="n">
        <v>44279.64517361111</v>
      </c>
      <c r="C34" s="1" t="n">
        <v>45895</v>
      </c>
      <c r="D34" t="inlineStr">
        <is>
          <t>VÄSTRA GÖTALANDS LÄN</t>
        </is>
      </c>
      <c r="E34" t="inlineStr">
        <is>
          <t>ALE</t>
        </is>
      </c>
      <c r="G34" t="n">
        <v>1.1</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45895</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2003-2021</t>
        </is>
      </c>
      <c r="B36" s="1" t="n">
        <v>44210</v>
      </c>
      <c r="C36" s="1" t="n">
        <v>45895</v>
      </c>
      <c r="D36" t="inlineStr">
        <is>
          <t>VÄSTRA GÖTALANDS LÄN</t>
        </is>
      </c>
      <c r="E36" t="inlineStr">
        <is>
          <t>ALE</t>
        </is>
      </c>
      <c r="F36" t="inlineStr">
        <is>
          <t>Kommuner</t>
        </is>
      </c>
      <c r="G36" t="n">
        <v>0.6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45895</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45895</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67165-2021</t>
        </is>
      </c>
      <c r="B39" s="1" t="n">
        <v>44523</v>
      </c>
      <c r="C39" s="1" t="n">
        <v>45895</v>
      </c>
      <c r="D39" t="inlineStr">
        <is>
          <t>VÄSTRA GÖTALANDS LÄN</t>
        </is>
      </c>
      <c r="E39" t="inlineStr">
        <is>
          <t>ALE</t>
        </is>
      </c>
      <c r="G39" t="n">
        <v>0.5</v>
      </c>
      <c r="H39" t="n">
        <v>0</v>
      </c>
      <c r="I39" t="n">
        <v>0</v>
      </c>
      <c r="J39" t="n">
        <v>0</v>
      </c>
      <c r="K39" t="n">
        <v>0</v>
      </c>
      <c r="L39" t="n">
        <v>0</v>
      </c>
      <c r="M39" t="n">
        <v>0</v>
      </c>
      <c r="N39" t="n">
        <v>0</v>
      </c>
      <c r="O39" t="n">
        <v>0</v>
      </c>
      <c r="P39" t="n">
        <v>0</v>
      </c>
      <c r="Q39" t="n">
        <v>0</v>
      </c>
      <c r="R39" s="2" t="inlineStr"/>
    </row>
    <row r="40" ht="15" customHeight="1">
      <c r="A40" t="inlineStr">
        <is>
          <t>A 49955-2021</t>
        </is>
      </c>
      <c r="B40" s="1" t="n">
        <v>44456</v>
      </c>
      <c r="C40" s="1" t="n">
        <v>45895</v>
      </c>
      <c r="D40" t="inlineStr">
        <is>
          <t>VÄSTRA GÖTALANDS LÄN</t>
        </is>
      </c>
      <c r="E40" t="inlineStr">
        <is>
          <t>ALE</t>
        </is>
      </c>
      <c r="G40" t="n">
        <v>2.2</v>
      </c>
      <c r="H40" t="n">
        <v>0</v>
      </c>
      <c r="I40" t="n">
        <v>0</v>
      </c>
      <c r="J40" t="n">
        <v>0</v>
      </c>
      <c r="K40" t="n">
        <v>0</v>
      </c>
      <c r="L40" t="n">
        <v>0</v>
      </c>
      <c r="M40" t="n">
        <v>0</v>
      </c>
      <c r="N40" t="n">
        <v>0</v>
      </c>
      <c r="O40" t="n">
        <v>0</v>
      </c>
      <c r="P40" t="n">
        <v>0</v>
      </c>
      <c r="Q40" t="n">
        <v>0</v>
      </c>
      <c r="R40" s="2" t="inlineStr"/>
    </row>
    <row r="41" ht="15" customHeight="1">
      <c r="A41" t="inlineStr">
        <is>
          <t>A 36394-2021</t>
        </is>
      </c>
      <c r="B41" s="1" t="n">
        <v>44389</v>
      </c>
      <c r="C41" s="1" t="n">
        <v>45895</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66467-2020</t>
        </is>
      </c>
      <c r="B42" s="1" t="n">
        <v>44176.78424768519</v>
      </c>
      <c r="C42" s="1" t="n">
        <v>45895</v>
      </c>
      <c r="D42" t="inlineStr">
        <is>
          <t>VÄSTRA GÖTALANDS LÄN</t>
        </is>
      </c>
      <c r="E42" t="inlineStr">
        <is>
          <t>ALE</t>
        </is>
      </c>
      <c r="G42" t="n">
        <v>0.6</v>
      </c>
      <c r="H42" t="n">
        <v>0</v>
      </c>
      <c r="I42" t="n">
        <v>0</v>
      </c>
      <c r="J42" t="n">
        <v>0</v>
      </c>
      <c r="K42" t="n">
        <v>0</v>
      </c>
      <c r="L42" t="n">
        <v>0</v>
      </c>
      <c r="M42" t="n">
        <v>0</v>
      </c>
      <c r="N42" t="n">
        <v>0</v>
      </c>
      <c r="O42" t="n">
        <v>0</v>
      </c>
      <c r="P42" t="n">
        <v>0</v>
      </c>
      <c r="Q42" t="n">
        <v>0</v>
      </c>
      <c r="R42" s="2" t="inlineStr"/>
    </row>
    <row r="43" ht="15" customHeight="1">
      <c r="A43" t="inlineStr">
        <is>
          <t>A 3179-2022</t>
        </is>
      </c>
      <c r="B43" s="1" t="n">
        <v>44582.61788194445</v>
      </c>
      <c r="C43" s="1" t="n">
        <v>45895</v>
      </c>
      <c r="D43" t="inlineStr">
        <is>
          <t>VÄSTRA GÖTALANDS LÄN</t>
        </is>
      </c>
      <c r="E43" t="inlineStr">
        <is>
          <t>ALE</t>
        </is>
      </c>
      <c r="G43" t="n">
        <v>2.9</v>
      </c>
      <c r="H43" t="n">
        <v>0</v>
      </c>
      <c r="I43" t="n">
        <v>0</v>
      </c>
      <c r="J43" t="n">
        <v>0</v>
      </c>
      <c r="K43" t="n">
        <v>0</v>
      </c>
      <c r="L43" t="n">
        <v>0</v>
      </c>
      <c r="M43" t="n">
        <v>0</v>
      </c>
      <c r="N43" t="n">
        <v>0</v>
      </c>
      <c r="O43" t="n">
        <v>0</v>
      </c>
      <c r="P43" t="n">
        <v>0</v>
      </c>
      <c r="Q43" t="n">
        <v>0</v>
      </c>
      <c r="R43" s="2" t="inlineStr"/>
    </row>
    <row r="44" ht="15" customHeight="1">
      <c r="A44" t="inlineStr">
        <is>
          <t>A 58099-2020</t>
        </is>
      </c>
      <c r="B44" s="1" t="n">
        <v>44144</v>
      </c>
      <c r="C44" s="1" t="n">
        <v>45895</v>
      </c>
      <c r="D44" t="inlineStr">
        <is>
          <t>VÄSTRA GÖTALANDS LÄN</t>
        </is>
      </c>
      <c r="E44" t="inlineStr">
        <is>
          <t>ALE</t>
        </is>
      </c>
      <c r="G44" t="n">
        <v>4.6</v>
      </c>
      <c r="H44" t="n">
        <v>0</v>
      </c>
      <c r="I44" t="n">
        <v>0</v>
      </c>
      <c r="J44" t="n">
        <v>0</v>
      </c>
      <c r="K44" t="n">
        <v>0</v>
      </c>
      <c r="L44" t="n">
        <v>0</v>
      </c>
      <c r="M44" t="n">
        <v>0</v>
      </c>
      <c r="N44" t="n">
        <v>0</v>
      </c>
      <c r="O44" t="n">
        <v>0</v>
      </c>
      <c r="P44" t="n">
        <v>0</v>
      </c>
      <c r="Q44" t="n">
        <v>0</v>
      </c>
      <c r="R44" s="2" t="inlineStr"/>
    </row>
    <row r="45" ht="15" customHeight="1">
      <c r="A45" t="inlineStr">
        <is>
          <t>A 31568-2021</t>
        </is>
      </c>
      <c r="B45" s="1" t="n">
        <v>44369</v>
      </c>
      <c r="C45" s="1" t="n">
        <v>45895</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66466-2020</t>
        </is>
      </c>
      <c r="B46" s="1" t="n">
        <v>44176</v>
      </c>
      <c r="C46" s="1" t="n">
        <v>45895</v>
      </c>
      <c r="D46" t="inlineStr">
        <is>
          <t>VÄSTRA GÖTALANDS LÄN</t>
        </is>
      </c>
      <c r="E46" t="inlineStr">
        <is>
          <t>ALE</t>
        </is>
      </c>
      <c r="G46" t="n">
        <v>1.7</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45895</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45895</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45895</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45895</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45895</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45895</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45895</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45895</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45895</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45895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45895</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45895</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45895</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57473-2022</t>
        </is>
      </c>
      <c r="B60" s="1" t="n">
        <v>44896</v>
      </c>
      <c r="C60" s="1" t="n">
        <v>45895</v>
      </c>
      <c r="D60" t="inlineStr">
        <is>
          <t>VÄSTRA GÖTALANDS LÄN</t>
        </is>
      </c>
      <c r="E60" t="inlineStr">
        <is>
          <t>ALE</t>
        </is>
      </c>
      <c r="G60" t="n">
        <v>0.7</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45895</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45895</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7807-2023</t>
        </is>
      </c>
      <c r="B63" s="1" t="n">
        <v>44973</v>
      </c>
      <c r="C63" s="1" t="n">
        <v>45895</v>
      </c>
      <c r="D63" t="inlineStr">
        <is>
          <t>VÄSTRA GÖTALANDS LÄN</t>
        </is>
      </c>
      <c r="E63" t="inlineStr">
        <is>
          <t>ALE</t>
        </is>
      </c>
      <c r="G63" t="n">
        <v>10.5</v>
      </c>
      <c r="H63" t="n">
        <v>0</v>
      </c>
      <c r="I63" t="n">
        <v>0</v>
      </c>
      <c r="J63" t="n">
        <v>0</v>
      </c>
      <c r="K63" t="n">
        <v>0</v>
      </c>
      <c r="L63" t="n">
        <v>0</v>
      </c>
      <c r="M63" t="n">
        <v>0</v>
      </c>
      <c r="N63" t="n">
        <v>0</v>
      </c>
      <c r="O63" t="n">
        <v>0</v>
      </c>
      <c r="P63" t="n">
        <v>0</v>
      </c>
      <c r="Q63" t="n">
        <v>0</v>
      </c>
      <c r="R63" s="2" t="inlineStr"/>
    </row>
    <row r="64" ht="15" customHeight="1">
      <c r="A64" t="inlineStr">
        <is>
          <t>A 55488-2022</t>
        </is>
      </c>
      <c r="B64" s="1" t="n">
        <v>44887</v>
      </c>
      <c r="C64" s="1" t="n">
        <v>45895</v>
      </c>
      <c r="D64" t="inlineStr">
        <is>
          <t>VÄSTRA GÖTALANDS LÄN</t>
        </is>
      </c>
      <c r="E64" t="inlineStr">
        <is>
          <t>ALE</t>
        </is>
      </c>
      <c r="G64" t="n">
        <v>2.5</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45895</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42660-2024</t>
        </is>
      </c>
      <c r="B66" s="1" t="n">
        <v>45566.33841435185</v>
      </c>
      <c r="C66" s="1" t="n">
        <v>45895</v>
      </c>
      <c r="D66" t="inlineStr">
        <is>
          <t>VÄSTRA GÖTALANDS LÄN</t>
        </is>
      </c>
      <c r="E66" t="inlineStr">
        <is>
          <t>ALE</t>
        </is>
      </c>
      <c r="G66" t="n">
        <v>2.5</v>
      </c>
      <c r="H66" t="n">
        <v>0</v>
      </c>
      <c r="I66" t="n">
        <v>0</v>
      </c>
      <c r="J66" t="n">
        <v>0</v>
      </c>
      <c r="K66" t="n">
        <v>0</v>
      </c>
      <c r="L66" t="n">
        <v>0</v>
      </c>
      <c r="M66" t="n">
        <v>0</v>
      </c>
      <c r="N66" t="n">
        <v>0</v>
      </c>
      <c r="O66" t="n">
        <v>0</v>
      </c>
      <c r="P66" t="n">
        <v>0</v>
      </c>
      <c r="Q66" t="n">
        <v>0</v>
      </c>
      <c r="R66" s="2" t="inlineStr"/>
    </row>
    <row r="67" ht="15" customHeight="1">
      <c r="A67" t="inlineStr">
        <is>
          <t>A 42446-2023</t>
        </is>
      </c>
      <c r="B67" s="1" t="n">
        <v>45180</v>
      </c>
      <c r="C67" s="1" t="n">
        <v>45895</v>
      </c>
      <c r="D67" t="inlineStr">
        <is>
          <t>VÄSTRA GÖTALANDS LÄN</t>
        </is>
      </c>
      <c r="E67" t="inlineStr">
        <is>
          <t>ALE</t>
        </is>
      </c>
      <c r="G67" t="n">
        <v>0.8</v>
      </c>
      <c r="H67" t="n">
        <v>0</v>
      </c>
      <c r="I67" t="n">
        <v>0</v>
      </c>
      <c r="J67" t="n">
        <v>0</v>
      </c>
      <c r="K67" t="n">
        <v>0</v>
      </c>
      <c r="L67" t="n">
        <v>0</v>
      </c>
      <c r="M67" t="n">
        <v>0</v>
      </c>
      <c r="N67" t="n">
        <v>0</v>
      </c>
      <c r="O67" t="n">
        <v>0</v>
      </c>
      <c r="P67" t="n">
        <v>0</v>
      </c>
      <c r="Q67" t="n">
        <v>0</v>
      </c>
      <c r="R67" s="2" t="inlineStr"/>
    </row>
    <row r="68" ht="15" customHeight="1">
      <c r="A68" t="inlineStr">
        <is>
          <t>A 15582-2025</t>
        </is>
      </c>
      <c r="B68" s="1" t="n">
        <v>45747.81394675926</v>
      </c>
      <c r="C68" s="1" t="n">
        <v>45895</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67160-2021</t>
        </is>
      </c>
      <c r="B69" s="1" t="n">
        <v>44523</v>
      </c>
      <c r="C69" s="1" t="n">
        <v>45895</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14493-2024</t>
        </is>
      </c>
      <c r="B70" s="1" t="n">
        <v>45394.58491898148</v>
      </c>
      <c r="C70" s="1" t="n">
        <v>45895</v>
      </c>
      <c r="D70" t="inlineStr">
        <is>
          <t>VÄSTRA GÖTALANDS LÄN</t>
        </is>
      </c>
      <c r="E70" t="inlineStr">
        <is>
          <t>ALE</t>
        </is>
      </c>
      <c r="G70" t="n">
        <v>2.3</v>
      </c>
      <c r="H70" t="n">
        <v>0</v>
      </c>
      <c r="I70" t="n">
        <v>0</v>
      </c>
      <c r="J70" t="n">
        <v>0</v>
      </c>
      <c r="K70" t="n">
        <v>0</v>
      </c>
      <c r="L70" t="n">
        <v>0</v>
      </c>
      <c r="M70" t="n">
        <v>0</v>
      </c>
      <c r="N70" t="n">
        <v>0</v>
      </c>
      <c r="O70" t="n">
        <v>0</v>
      </c>
      <c r="P70" t="n">
        <v>0</v>
      </c>
      <c r="Q70" t="n">
        <v>0</v>
      </c>
      <c r="R70" s="2" t="inlineStr"/>
    </row>
    <row r="71" ht="15" customHeight="1">
      <c r="A71" t="inlineStr">
        <is>
          <t>A 16344-2023</t>
        </is>
      </c>
      <c r="B71" s="1" t="n">
        <v>45028</v>
      </c>
      <c r="C71" s="1" t="n">
        <v>45895</v>
      </c>
      <c r="D71" t="inlineStr">
        <is>
          <t>VÄSTRA GÖTALANDS LÄN</t>
        </is>
      </c>
      <c r="E71" t="inlineStr">
        <is>
          <t>ALE</t>
        </is>
      </c>
      <c r="G71" t="n">
        <v>6.6</v>
      </c>
      <c r="H71" t="n">
        <v>0</v>
      </c>
      <c r="I71" t="n">
        <v>0</v>
      </c>
      <c r="J71" t="n">
        <v>0</v>
      </c>
      <c r="K71" t="n">
        <v>0</v>
      </c>
      <c r="L71" t="n">
        <v>0</v>
      </c>
      <c r="M71" t="n">
        <v>0</v>
      </c>
      <c r="N71" t="n">
        <v>0</v>
      </c>
      <c r="O71" t="n">
        <v>0</v>
      </c>
      <c r="P71" t="n">
        <v>0</v>
      </c>
      <c r="Q71" t="n">
        <v>0</v>
      </c>
      <c r="R71" s="2" t="inlineStr"/>
    </row>
    <row r="72" ht="15" customHeight="1">
      <c r="A72" t="inlineStr">
        <is>
          <t>A 32762-2023</t>
        </is>
      </c>
      <c r="B72" s="1" t="n">
        <v>45123.46649305556</v>
      </c>
      <c r="C72" s="1" t="n">
        <v>45895</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41598-2022</t>
        </is>
      </c>
      <c r="B73" s="1" t="n">
        <v>44827.4609837963</v>
      </c>
      <c r="C73" s="1" t="n">
        <v>45895</v>
      </c>
      <c r="D73" t="inlineStr">
        <is>
          <t>VÄSTRA GÖTALANDS LÄN</t>
        </is>
      </c>
      <c r="E73" t="inlineStr">
        <is>
          <t>ALE</t>
        </is>
      </c>
      <c r="G73" t="n">
        <v>2</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45895</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14458-2024</t>
        </is>
      </c>
      <c r="B75" s="1" t="n">
        <v>45394</v>
      </c>
      <c r="C75" s="1" t="n">
        <v>45895</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45895</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45895</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45895</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53121-2024</t>
        </is>
      </c>
      <c r="B79" s="1" t="n">
        <v>45611</v>
      </c>
      <c r="C79" s="1" t="n">
        <v>45895</v>
      </c>
      <c r="D79" t="inlineStr">
        <is>
          <t>VÄSTRA GÖTALANDS LÄN</t>
        </is>
      </c>
      <c r="E79" t="inlineStr">
        <is>
          <t>ALE</t>
        </is>
      </c>
      <c r="G79" t="n">
        <v>3.4</v>
      </c>
      <c r="H79" t="n">
        <v>0</v>
      </c>
      <c r="I79" t="n">
        <v>0</v>
      </c>
      <c r="J79" t="n">
        <v>0</v>
      </c>
      <c r="K79" t="n">
        <v>0</v>
      </c>
      <c r="L79" t="n">
        <v>0</v>
      </c>
      <c r="M79" t="n">
        <v>0</v>
      </c>
      <c r="N79" t="n">
        <v>0</v>
      </c>
      <c r="O79" t="n">
        <v>0</v>
      </c>
      <c r="P79" t="n">
        <v>0</v>
      </c>
      <c r="Q79" t="n">
        <v>0</v>
      </c>
      <c r="R79" s="2" t="inlineStr"/>
    </row>
    <row r="80" ht="15" customHeight="1">
      <c r="A80" t="inlineStr">
        <is>
          <t>A 47087-2023</t>
        </is>
      </c>
      <c r="B80" s="1" t="n">
        <v>45196</v>
      </c>
      <c r="C80" s="1" t="n">
        <v>45895</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4642-2024</t>
        </is>
      </c>
      <c r="B81" s="1" t="n">
        <v>45328.43502314815</v>
      </c>
      <c r="C81" s="1" t="n">
        <v>45895</v>
      </c>
      <c r="D81" t="inlineStr">
        <is>
          <t>VÄSTRA GÖTALANDS LÄN</t>
        </is>
      </c>
      <c r="E81" t="inlineStr">
        <is>
          <t>ALE</t>
        </is>
      </c>
      <c r="G81" t="n">
        <v>7.1</v>
      </c>
      <c r="H81" t="n">
        <v>0</v>
      </c>
      <c r="I81" t="n">
        <v>0</v>
      </c>
      <c r="J81" t="n">
        <v>0</v>
      </c>
      <c r="K81" t="n">
        <v>0</v>
      </c>
      <c r="L81" t="n">
        <v>0</v>
      </c>
      <c r="M81" t="n">
        <v>0</v>
      </c>
      <c r="N81" t="n">
        <v>0</v>
      </c>
      <c r="O81" t="n">
        <v>0</v>
      </c>
      <c r="P81" t="n">
        <v>0</v>
      </c>
      <c r="Q81" t="n">
        <v>0</v>
      </c>
      <c r="R81" s="2" t="inlineStr"/>
    </row>
    <row r="82" ht="15" customHeight="1">
      <c r="A82" t="inlineStr">
        <is>
          <t>A 3407-2023</t>
        </is>
      </c>
      <c r="B82" s="1" t="n">
        <v>44949.54909722223</v>
      </c>
      <c r="C82" s="1" t="n">
        <v>45895</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14731-2022</t>
        </is>
      </c>
      <c r="B83" s="1" t="n">
        <v>44656</v>
      </c>
      <c r="C83" s="1" t="n">
        <v>45895</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22946-2025</t>
        </is>
      </c>
      <c r="B84" s="1" t="n">
        <v>45790.48229166667</v>
      </c>
      <c r="C84" s="1" t="n">
        <v>45895</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51564-2023</t>
        </is>
      </c>
      <c r="B85" s="1" t="n">
        <v>45222</v>
      </c>
      <c r="C85" s="1" t="n">
        <v>45895</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3520-2022</t>
        </is>
      </c>
      <c r="B86" s="1" t="n">
        <v>44585.72818287037</v>
      </c>
      <c r="C86" s="1" t="n">
        <v>45895</v>
      </c>
      <c r="D86" t="inlineStr">
        <is>
          <t>VÄSTRA GÖTALANDS LÄN</t>
        </is>
      </c>
      <c r="E86" t="inlineStr">
        <is>
          <t>ALE</t>
        </is>
      </c>
      <c r="G86" t="n">
        <v>2.3</v>
      </c>
      <c r="H86" t="n">
        <v>0</v>
      </c>
      <c r="I86" t="n">
        <v>0</v>
      </c>
      <c r="J86" t="n">
        <v>0</v>
      </c>
      <c r="K86" t="n">
        <v>0</v>
      </c>
      <c r="L86" t="n">
        <v>0</v>
      </c>
      <c r="M86" t="n">
        <v>0</v>
      </c>
      <c r="N86" t="n">
        <v>0</v>
      </c>
      <c r="O86" t="n">
        <v>0</v>
      </c>
      <c r="P86" t="n">
        <v>0</v>
      </c>
      <c r="Q86" t="n">
        <v>0</v>
      </c>
      <c r="R86" s="2" t="inlineStr"/>
    </row>
    <row r="87" ht="15" customHeight="1">
      <c r="A87" t="inlineStr">
        <is>
          <t>A 4971-2024</t>
        </is>
      </c>
      <c r="B87" s="1" t="n">
        <v>45329</v>
      </c>
      <c r="C87" s="1" t="n">
        <v>45895</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66551-2020</t>
        </is>
      </c>
      <c r="B88" s="1" t="n">
        <v>44179</v>
      </c>
      <c r="C88" s="1" t="n">
        <v>45895</v>
      </c>
      <c r="D88" t="inlineStr">
        <is>
          <t>VÄSTRA GÖTALANDS LÄN</t>
        </is>
      </c>
      <c r="E88" t="inlineStr">
        <is>
          <t>ALE</t>
        </is>
      </c>
      <c r="G88" t="n">
        <v>4.5</v>
      </c>
      <c r="H88" t="n">
        <v>0</v>
      </c>
      <c r="I88" t="n">
        <v>0</v>
      </c>
      <c r="J88" t="n">
        <v>0</v>
      </c>
      <c r="K88" t="n">
        <v>0</v>
      </c>
      <c r="L88" t="n">
        <v>0</v>
      </c>
      <c r="M88" t="n">
        <v>0</v>
      </c>
      <c r="N88" t="n">
        <v>0</v>
      </c>
      <c r="O88" t="n">
        <v>0</v>
      </c>
      <c r="P88" t="n">
        <v>0</v>
      </c>
      <c r="Q88" t="n">
        <v>0</v>
      </c>
      <c r="R88" s="2" t="inlineStr"/>
    </row>
    <row r="89" ht="15" customHeight="1">
      <c r="A89" t="inlineStr">
        <is>
          <t>A 33237-2024</t>
        </is>
      </c>
      <c r="B89" s="1" t="n">
        <v>45518.59173611111</v>
      </c>
      <c r="C89" s="1" t="n">
        <v>45895</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37461-2024</t>
        </is>
      </c>
      <c r="B90" s="1" t="n">
        <v>45540.72516203704</v>
      </c>
      <c r="C90" s="1" t="n">
        <v>45895</v>
      </c>
      <c r="D90" t="inlineStr">
        <is>
          <t>VÄSTRA GÖTALANDS LÄN</t>
        </is>
      </c>
      <c r="E90" t="inlineStr">
        <is>
          <t>ALE</t>
        </is>
      </c>
      <c r="G90" t="n">
        <v>1.6</v>
      </c>
      <c r="H90" t="n">
        <v>0</v>
      </c>
      <c r="I90" t="n">
        <v>0</v>
      </c>
      <c r="J90" t="n">
        <v>0</v>
      </c>
      <c r="K90" t="n">
        <v>0</v>
      </c>
      <c r="L90" t="n">
        <v>0</v>
      </c>
      <c r="M90" t="n">
        <v>0</v>
      </c>
      <c r="N90" t="n">
        <v>0</v>
      </c>
      <c r="O90" t="n">
        <v>0</v>
      </c>
      <c r="P90" t="n">
        <v>0</v>
      </c>
      <c r="Q90" t="n">
        <v>0</v>
      </c>
      <c r="R90" s="2" t="inlineStr"/>
    </row>
    <row r="91" ht="15" customHeight="1">
      <c r="A91" t="inlineStr">
        <is>
          <t>A 44429-2023</t>
        </is>
      </c>
      <c r="B91" s="1" t="n">
        <v>45189.35101851852</v>
      </c>
      <c r="C91" s="1" t="n">
        <v>45895</v>
      </c>
      <c r="D91" t="inlineStr">
        <is>
          <t>VÄSTRA GÖTALANDS LÄN</t>
        </is>
      </c>
      <c r="E91" t="inlineStr">
        <is>
          <t>ALE</t>
        </is>
      </c>
      <c r="G91" t="n">
        <v>0.1</v>
      </c>
      <c r="H91" t="n">
        <v>0</v>
      </c>
      <c r="I91" t="n">
        <v>0</v>
      </c>
      <c r="J91" t="n">
        <v>0</v>
      </c>
      <c r="K91" t="n">
        <v>0</v>
      </c>
      <c r="L91" t="n">
        <v>0</v>
      </c>
      <c r="M91" t="n">
        <v>0</v>
      </c>
      <c r="N91" t="n">
        <v>0</v>
      </c>
      <c r="O91" t="n">
        <v>0</v>
      </c>
      <c r="P91" t="n">
        <v>0</v>
      </c>
      <c r="Q91" t="n">
        <v>0</v>
      </c>
      <c r="R91" s="2" t="inlineStr"/>
    </row>
    <row r="92" ht="15" customHeight="1">
      <c r="A92" t="inlineStr">
        <is>
          <t>A 7892-2024</t>
        </is>
      </c>
      <c r="B92" s="1" t="n">
        <v>45350.40921296296</v>
      </c>
      <c r="C92" s="1" t="n">
        <v>45895</v>
      </c>
      <c r="D92" t="inlineStr">
        <is>
          <t>VÄSTRA GÖTALANDS LÄN</t>
        </is>
      </c>
      <c r="E92" t="inlineStr">
        <is>
          <t>ALE</t>
        </is>
      </c>
      <c r="G92" t="n">
        <v>3.6</v>
      </c>
      <c r="H92" t="n">
        <v>0</v>
      </c>
      <c r="I92" t="n">
        <v>0</v>
      </c>
      <c r="J92" t="n">
        <v>0</v>
      </c>
      <c r="K92" t="n">
        <v>0</v>
      </c>
      <c r="L92" t="n">
        <v>0</v>
      </c>
      <c r="M92" t="n">
        <v>0</v>
      </c>
      <c r="N92" t="n">
        <v>0</v>
      </c>
      <c r="O92" t="n">
        <v>0</v>
      </c>
      <c r="P92" t="n">
        <v>0</v>
      </c>
      <c r="Q92" t="n">
        <v>0</v>
      </c>
      <c r="R92" s="2" t="inlineStr"/>
    </row>
    <row r="93" ht="15" customHeight="1">
      <c r="A93" t="inlineStr">
        <is>
          <t>A 51164-2024</t>
        </is>
      </c>
      <c r="B93" s="1" t="n">
        <v>45603.5830787037</v>
      </c>
      <c r="C93" s="1" t="n">
        <v>45895</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4444-2024</t>
        </is>
      </c>
      <c r="B94" s="1" t="n">
        <v>45327</v>
      </c>
      <c r="C94" s="1" t="n">
        <v>45895</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36403-2024</t>
        </is>
      </c>
      <c r="B95" s="1" t="n">
        <v>45535.69445601852</v>
      </c>
      <c r="C95" s="1" t="n">
        <v>45895</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45895</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55405-2021</t>
        </is>
      </c>
      <c r="B97" s="1" t="n">
        <v>44475.53733796296</v>
      </c>
      <c r="C97" s="1" t="n">
        <v>45895</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8956-2025</t>
        </is>
      </c>
      <c r="B98" s="1" t="n">
        <v>45713.46825231481</v>
      </c>
      <c r="C98" s="1" t="n">
        <v>45895</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25849-2025</t>
        </is>
      </c>
      <c r="B99" s="1" t="n">
        <v>45804</v>
      </c>
      <c r="C99" s="1" t="n">
        <v>45895</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25848-2025</t>
        </is>
      </c>
      <c r="B100" s="1" t="n">
        <v>45804</v>
      </c>
      <c r="C100" s="1" t="n">
        <v>45895</v>
      </c>
      <c r="D100" t="inlineStr">
        <is>
          <t>VÄSTRA GÖTALANDS LÄN</t>
        </is>
      </c>
      <c r="E100" t="inlineStr">
        <is>
          <t>ALE</t>
        </is>
      </c>
      <c r="G100" t="n">
        <v>1.1</v>
      </c>
      <c r="H100" t="n">
        <v>0</v>
      </c>
      <c r="I100" t="n">
        <v>0</v>
      </c>
      <c r="J100" t="n">
        <v>0</v>
      </c>
      <c r="K100" t="n">
        <v>0</v>
      </c>
      <c r="L100" t="n">
        <v>0</v>
      </c>
      <c r="M100" t="n">
        <v>0</v>
      </c>
      <c r="N100" t="n">
        <v>0</v>
      </c>
      <c r="O100" t="n">
        <v>0</v>
      </c>
      <c r="P100" t="n">
        <v>0</v>
      </c>
      <c r="Q100" t="n">
        <v>0</v>
      </c>
      <c r="R100" s="2" t="inlineStr"/>
    </row>
    <row r="101" ht="15" customHeight="1">
      <c r="A101" t="inlineStr">
        <is>
          <t>A 25840-2025</t>
        </is>
      </c>
      <c r="B101" s="1" t="n">
        <v>45804</v>
      </c>
      <c r="C101" s="1" t="n">
        <v>45895</v>
      </c>
      <c r="D101" t="inlineStr">
        <is>
          <t>VÄSTRA GÖTALANDS LÄN</t>
        </is>
      </c>
      <c r="E101" t="inlineStr">
        <is>
          <t>ALE</t>
        </is>
      </c>
      <c r="G101" t="n">
        <v>3.8</v>
      </c>
      <c r="H101" t="n">
        <v>0</v>
      </c>
      <c r="I101" t="n">
        <v>0</v>
      </c>
      <c r="J101" t="n">
        <v>0</v>
      </c>
      <c r="K101" t="n">
        <v>0</v>
      </c>
      <c r="L101" t="n">
        <v>0</v>
      </c>
      <c r="M101" t="n">
        <v>0</v>
      </c>
      <c r="N101" t="n">
        <v>0</v>
      </c>
      <c r="O101" t="n">
        <v>0</v>
      </c>
      <c r="P101" t="n">
        <v>0</v>
      </c>
      <c r="Q101" t="n">
        <v>0</v>
      </c>
      <c r="R101" s="2" t="inlineStr"/>
    </row>
    <row r="102" ht="15" customHeight="1">
      <c r="A102" t="inlineStr">
        <is>
          <t>A 24642-2022</t>
        </is>
      </c>
      <c r="B102" s="1" t="n">
        <v>44727.59578703704</v>
      </c>
      <c r="C102" s="1" t="n">
        <v>45895</v>
      </c>
      <c r="D102" t="inlineStr">
        <is>
          <t>VÄSTRA GÖTALANDS LÄN</t>
        </is>
      </c>
      <c r="E102" t="inlineStr">
        <is>
          <t>ALE</t>
        </is>
      </c>
      <c r="G102" t="n">
        <v>10</v>
      </c>
      <c r="H102" t="n">
        <v>0</v>
      </c>
      <c r="I102" t="n">
        <v>0</v>
      </c>
      <c r="J102" t="n">
        <v>0</v>
      </c>
      <c r="K102" t="n">
        <v>0</v>
      </c>
      <c r="L102" t="n">
        <v>0</v>
      </c>
      <c r="M102" t="n">
        <v>0</v>
      </c>
      <c r="N102" t="n">
        <v>0</v>
      </c>
      <c r="O102" t="n">
        <v>0</v>
      </c>
      <c r="P102" t="n">
        <v>0</v>
      </c>
      <c r="Q102" t="n">
        <v>0</v>
      </c>
      <c r="R102" s="2" t="inlineStr"/>
    </row>
    <row r="103" ht="15" customHeight="1">
      <c r="A103" t="inlineStr">
        <is>
          <t>A 1822-2024</t>
        </is>
      </c>
      <c r="B103" s="1" t="n">
        <v>45307.6205787037</v>
      </c>
      <c r="C103" s="1" t="n">
        <v>45895</v>
      </c>
      <c r="D103" t="inlineStr">
        <is>
          <t>VÄSTRA GÖTALANDS LÄN</t>
        </is>
      </c>
      <c r="E103" t="inlineStr">
        <is>
          <t>ALE</t>
        </is>
      </c>
      <c r="G103" t="n">
        <v>2</v>
      </c>
      <c r="H103" t="n">
        <v>0</v>
      </c>
      <c r="I103" t="n">
        <v>0</v>
      </c>
      <c r="J103" t="n">
        <v>0</v>
      </c>
      <c r="K103" t="n">
        <v>0</v>
      </c>
      <c r="L103" t="n">
        <v>0</v>
      </c>
      <c r="M103" t="n">
        <v>0</v>
      </c>
      <c r="N103" t="n">
        <v>0</v>
      </c>
      <c r="O103" t="n">
        <v>0</v>
      </c>
      <c r="P103" t="n">
        <v>0</v>
      </c>
      <c r="Q103" t="n">
        <v>0</v>
      </c>
      <c r="R103" s="2" t="inlineStr"/>
    </row>
    <row r="104" ht="15" customHeight="1">
      <c r="A104" t="inlineStr">
        <is>
          <t>A 9193-2025</t>
        </is>
      </c>
      <c r="B104" s="1" t="n">
        <v>45714</v>
      </c>
      <c r="C104" s="1" t="n">
        <v>45895</v>
      </c>
      <c r="D104" t="inlineStr">
        <is>
          <t>VÄSTRA GÖTALANDS LÄN</t>
        </is>
      </c>
      <c r="E104" t="inlineStr">
        <is>
          <t>ALE</t>
        </is>
      </c>
      <c r="G104" t="n">
        <v>7.1</v>
      </c>
      <c r="H104" t="n">
        <v>0</v>
      </c>
      <c r="I104" t="n">
        <v>0</v>
      </c>
      <c r="J104" t="n">
        <v>0</v>
      </c>
      <c r="K104" t="n">
        <v>0</v>
      </c>
      <c r="L104" t="n">
        <v>0</v>
      </c>
      <c r="M104" t="n">
        <v>0</v>
      </c>
      <c r="N104" t="n">
        <v>0</v>
      </c>
      <c r="O104" t="n">
        <v>0</v>
      </c>
      <c r="P104" t="n">
        <v>0</v>
      </c>
      <c r="Q104" t="n">
        <v>0</v>
      </c>
      <c r="R104" s="2" t="inlineStr"/>
    </row>
    <row r="105" ht="15" customHeight="1">
      <c r="A105" t="inlineStr">
        <is>
          <t>A 15241-2025</t>
        </is>
      </c>
      <c r="B105" s="1" t="n">
        <v>45744.61255787037</v>
      </c>
      <c r="C105" s="1" t="n">
        <v>45895</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26083-2023</t>
        </is>
      </c>
      <c r="B106" s="1" t="n">
        <v>45091</v>
      </c>
      <c r="C106" s="1" t="n">
        <v>45895</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8659-2025</t>
        </is>
      </c>
      <c r="B107" s="1" t="n">
        <v>45712</v>
      </c>
      <c r="C107" s="1" t="n">
        <v>45895</v>
      </c>
      <c r="D107" t="inlineStr">
        <is>
          <t>VÄSTRA GÖTALANDS LÄN</t>
        </is>
      </c>
      <c r="E107" t="inlineStr">
        <is>
          <t>ALE</t>
        </is>
      </c>
      <c r="G107" t="n">
        <v>5.7</v>
      </c>
      <c r="H107" t="n">
        <v>0</v>
      </c>
      <c r="I107" t="n">
        <v>0</v>
      </c>
      <c r="J107" t="n">
        <v>0</v>
      </c>
      <c r="K107" t="n">
        <v>0</v>
      </c>
      <c r="L107" t="n">
        <v>0</v>
      </c>
      <c r="M107" t="n">
        <v>0</v>
      </c>
      <c r="N107" t="n">
        <v>0</v>
      </c>
      <c r="O107" t="n">
        <v>0</v>
      </c>
      <c r="P107" t="n">
        <v>0</v>
      </c>
      <c r="Q107" t="n">
        <v>0</v>
      </c>
      <c r="R107" s="2" t="inlineStr"/>
    </row>
    <row r="108" ht="15" customHeight="1">
      <c r="A108" t="inlineStr">
        <is>
          <t>A 63575-2023</t>
        </is>
      </c>
      <c r="B108" s="1" t="n">
        <v>45275.39715277778</v>
      </c>
      <c r="C108" s="1" t="n">
        <v>45895</v>
      </c>
      <c r="D108" t="inlineStr">
        <is>
          <t>VÄSTRA GÖTALANDS LÄN</t>
        </is>
      </c>
      <c r="E108" t="inlineStr">
        <is>
          <t>ALE</t>
        </is>
      </c>
      <c r="G108" t="n">
        <v>1.2</v>
      </c>
      <c r="H108" t="n">
        <v>0</v>
      </c>
      <c r="I108" t="n">
        <v>0</v>
      </c>
      <c r="J108" t="n">
        <v>0</v>
      </c>
      <c r="K108" t="n">
        <v>0</v>
      </c>
      <c r="L108" t="n">
        <v>0</v>
      </c>
      <c r="M108" t="n">
        <v>0</v>
      </c>
      <c r="N108" t="n">
        <v>0</v>
      </c>
      <c r="O108" t="n">
        <v>0</v>
      </c>
      <c r="P108" t="n">
        <v>0</v>
      </c>
      <c r="Q108" t="n">
        <v>0</v>
      </c>
      <c r="R108" s="2" t="inlineStr"/>
    </row>
    <row r="109" ht="15" customHeight="1">
      <c r="A109" t="inlineStr">
        <is>
          <t>A 5344-2024</t>
        </is>
      </c>
      <c r="B109" s="1" t="n">
        <v>45331</v>
      </c>
      <c r="C109" s="1" t="n">
        <v>45895</v>
      </c>
      <c r="D109" t="inlineStr">
        <is>
          <t>VÄSTRA GÖTALANDS LÄN</t>
        </is>
      </c>
      <c r="E109" t="inlineStr">
        <is>
          <t>ALE</t>
        </is>
      </c>
      <c r="G109" t="n">
        <v>2.5</v>
      </c>
      <c r="H109" t="n">
        <v>0</v>
      </c>
      <c r="I109" t="n">
        <v>0</v>
      </c>
      <c r="J109" t="n">
        <v>0</v>
      </c>
      <c r="K109" t="n">
        <v>0</v>
      </c>
      <c r="L109" t="n">
        <v>0</v>
      </c>
      <c r="M109" t="n">
        <v>0</v>
      </c>
      <c r="N109" t="n">
        <v>0</v>
      </c>
      <c r="O109" t="n">
        <v>0</v>
      </c>
      <c r="P109" t="n">
        <v>0</v>
      </c>
      <c r="Q109" t="n">
        <v>0</v>
      </c>
      <c r="R109" s="2" t="inlineStr"/>
    </row>
    <row r="110" ht="15" customHeight="1">
      <c r="A110" t="inlineStr">
        <is>
          <t>A 6947-2024</t>
        </is>
      </c>
      <c r="B110" s="1" t="n">
        <v>45343</v>
      </c>
      <c r="C110" s="1" t="n">
        <v>45895</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18637-2023</t>
        </is>
      </c>
      <c r="B111" s="1" t="n">
        <v>45043</v>
      </c>
      <c r="C111" s="1" t="n">
        <v>45895</v>
      </c>
      <c r="D111" t="inlineStr">
        <is>
          <t>VÄSTRA GÖTALANDS LÄN</t>
        </is>
      </c>
      <c r="E111" t="inlineStr">
        <is>
          <t>ALE</t>
        </is>
      </c>
      <c r="G111" t="n">
        <v>3.6</v>
      </c>
      <c r="H111" t="n">
        <v>0</v>
      </c>
      <c r="I111" t="n">
        <v>0</v>
      </c>
      <c r="J111" t="n">
        <v>0</v>
      </c>
      <c r="K111" t="n">
        <v>0</v>
      </c>
      <c r="L111" t="n">
        <v>0</v>
      </c>
      <c r="M111" t="n">
        <v>0</v>
      </c>
      <c r="N111" t="n">
        <v>0</v>
      </c>
      <c r="O111" t="n">
        <v>0</v>
      </c>
      <c r="P111" t="n">
        <v>0</v>
      </c>
      <c r="Q111" t="n">
        <v>0</v>
      </c>
      <c r="R111" s="2" t="inlineStr"/>
    </row>
    <row r="112" ht="15" customHeight="1">
      <c r="A112" t="inlineStr">
        <is>
          <t>A 59933-2023</t>
        </is>
      </c>
      <c r="B112" s="1" t="n">
        <v>45257</v>
      </c>
      <c r="C112" s="1" t="n">
        <v>45895</v>
      </c>
      <c r="D112" t="inlineStr">
        <is>
          <t>VÄSTRA GÖTALANDS LÄN</t>
        </is>
      </c>
      <c r="E112" t="inlineStr">
        <is>
          <t>ALE</t>
        </is>
      </c>
      <c r="G112" t="n">
        <v>2.7</v>
      </c>
      <c r="H112" t="n">
        <v>0</v>
      </c>
      <c r="I112" t="n">
        <v>0</v>
      </c>
      <c r="J112" t="n">
        <v>0</v>
      </c>
      <c r="K112" t="n">
        <v>0</v>
      </c>
      <c r="L112" t="n">
        <v>0</v>
      </c>
      <c r="M112" t="n">
        <v>0</v>
      </c>
      <c r="N112" t="n">
        <v>0</v>
      </c>
      <c r="O112" t="n">
        <v>0</v>
      </c>
      <c r="P112" t="n">
        <v>0</v>
      </c>
      <c r="Q112" t="n">
        <v>0</v>
      </c>
      <c r="R112" s="2" t="inlineStr"/>
    </row>
    <row r="113" ht="15" customHeight="1">
      <c r="A113" t="inlineStr">
        <is>
          <t>A 60232-2024</t>
        </is>
      </c>
      <c r="B113" s="1" t="n">
        <v>45642</v>
      </c>
      <c r="C113" s="1" t="n">
        <v>45895</v>
      </c>
      <c r="D113" t="inlineStr">
        <is>
          <t>VÄSTRA GÖTALANDS LÄN</t>
        </is>
      </c>
      <c r="E113" t="inlineStr">
        <is>
          <t>ALE</t>
        </is>
      </c>
      <c r="G113" t="n">
        <v>5</v>
      </c>
      <c r="H113" t="n">
        <v>0</v>
      </c>
      <c r="I113" t="n">
        <v>0</v>
      </c>
      <c r="J113" t="n">
        <v>0</v>
      </c>
      <c r="K113" t="n">
        <v>0</v>
      </c>
      <c r="L113" t="n">
        <v>0</v>
      </c>
      <c r="M113" t="n">
        <v>0</v>
      </c>
      <c r="N113" t="n">
        <v>0</v>
      </c>
      <c r="O113" t="n">
        <v>0</v>
      </c>
      <c r="P113" t="n">
        <v>0</v>
      </c>
      <c r="Q113" t="n">
        <v>0</v>
      </c>
      <c r="R113" s="2" t="inlineStr"/>
    </row>
    <row r="114" ht="15" customHeight="1">
      <c r="A114" t="inlineStr">
        <is>
          <t>A 60233-2024</t>
        </is>
      </c>
      <c r="B114" s="1" t="n">
        <v>45642.74851851852</v>
      </c>
      <c r="C114" s="1" t="n">
        <v>45895</v>
      </c>
      <c r="D114" t="inlineStr">
        <is>
          <t>VÄSTRA GÖTALANDS LÄN</t>
        </is>
      </c>
      <c r="E114" t="inlineStr">
        <is>
          <t>ALE</t>
        </is>
      </c>
      <c r="G114" t="n">
        <v>0.8</v>
      </c>
      <c r="H114" t="n">
        <v>0</v>
      </c>
      <c r="I114" t="n">
        <v>0</v>
      </c>
      <c r="J114" t="n">
        <v>0</v>
      </c>
      <c r="K114" t="n">
        <v>0</v>
      </c>
      <c r="L114" t="n">
        <v>0</v>
      </c>
      <c r="M114" t="n">
        <v>0</v>
      </c>
      <c r="N114" t="n">
        <v>0</v>
      </c>
      <c r="O114" t="n">
        <v>0</v>
      </c>
      <c r="P114" t="n">
        <v>0</v>
      </c>
      <c r="Q114" t="n">
        <v>0</v>
      </c>
      <c r="R114" s="2" t="inlineStr"/>
    </row>
    <row r="115" ht="15" customHeight="1">
      <c r="A115" t="inlineStr">
        <is>
          <t>A 29373-2025</t>
        </is>
      </c>
      <c r="B115" s="1" t="n">
        <v>45824.579375</v>
      </c>
      <c r="C115" s="1" t="n">
        <v>45895</v>
      </c>
      <c r="D115" t="inlineStr">
        <is>
          <t>VÄSTRA GÖTALANDS LÄN</t>
        </is>
      </c>
      <c r="E115" t="inlineStr">
        <is>
          <t>ALE</t>
        </is>
      </c>
      <c r="G115" t="n">
        <v>4.6</v>
      </c>
      <c r="H115" t="n">
        <v>0</v>
      </c>
      <c r="I115" t="n">
        <v>0</v>
      </c>
      <c r="J115" t="n">
        <v>0</v>
      </c>
      <c r="K115" t="n">
        <v>0</v>
      </c>
      <c r="L115" t="n">
        <v>0</v>
      </c>
      <c r="M115" t="n">
        <v>0</v>
      </c>
      <c r="N115" t="n">
        <v>0</v>
      </c>
      <c r="O115" t="n">
        <v>0</v>
      </c>
      <c r="P115" t="n">
        <v>0</v>
      </c>
      <c r="Q115" t="n">
        <v>0</v>
      </c>
      <c r="R115" s="2" t="inlineStr"/>
    </row>
    <row r="116" ht="15" customHeight="1">
      <c r="A116" t="inlineStr">
        <is>
          <t>A 13382-2025</t>
        </is>
      </c>
      <c r="B116" s="1" t="n">
        <v>45735.67928240741</v>
      </c>
      <c r="C116" s="1" t="n">
        <v>45895</v>
      </c>
      <c r="D116" t="inlineStr">
        <is>
          <t>VÄSTRA GÖTALANDS LÄN</t>
        </is>
      </c>
      <c r="E116" t="inlineStr">
        <is>
          <t>ALE</t>
        </is>
      </c>
      <c r="G116" t="n">
        <v>0.9</v>
      </c>
      <c r="H116" t="n">
        <v>0</v>
      </c>
      <c r="I116" t="n">
        <v>0</v>
      </c>
      <c r="J116" t="n">
        <v>0</v>
      </c>
      <c r="K116" t="n">
        <v>0</v>
      </c>
      <c r="L116" t="n">
        <v>0</v>
      </c>
      <c r="M116" t="n">
        <v>0</v>
      </c>
      <c r="N116" t="n">
        <v>0</v>
      </c>
      <c r="O116" t="n">
        <v>0</v>
      </c>
      <c r="P116" t="n">
        <v>0</v>
      </c>
      <c r="Q116" t="n">
        <v>0</v>
      </c>
      <c r="R116" s="2" t="inlineStr"/>
    </row>
    <row r="117" ht="15" customHeight="1">
      <c r="A117" t="inlineStr">
        <is>
          <t>A 13426-2025</t>
        </is>
      </c>
      <c r="B117" s="1" t="n">
        <v>45736.32780092592</v>
      </c>
      <c r="C117" s="1" t="n">
        <v>45895</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13903-2025</t>
        </is>
      </c>
      <c r="B118" s="1" t="n">
        <v>45737.63481481482</v>
      </c>
      <c r="C118" s="1" t="n">
        <v>45895</v>
      </c>
      <c r="D118" t="inlineStr">
        <is>
          <t>VÄSTRA GÖTALANDS LÄN</t>
        </is>
      </c>
      <c r="E118" t="inlineStr">
        <is>
          <t>ALE</t>
        </is>
      </c>
      <c r="G118" t="n">
        <v>0.5</v>
      </c>
      <c r="H118" t="n">
        <v>0</v>
      </c>
      <c r="I118" t="n">
        <v>0</v>
      </c>
      <c r="J118" t="n">
        <v>0</v>
      </c>
      <c r="K118" t="n">
        <v>0</v>
      </c>
      <c r="L118" t="n">
        <v>0</v>
      </c>
      <c r="M118" t="n">
        <v>0</v>
      </c>
      <c r="N118" t="n">
        <v>0</v>
      </c>
      <c r="O118" t="n">
        <v>0</v>
      </c>
      <c r="P118" t="n">
        <v>0</v>
      </c>
      <c r="Q118" t="n">
        <v>0</v>
      </c>
      <c r="R118" s="2" t="inlineStr"/>
    </row>
    <row r="119" ht="15" customHeight="1">
      <c r="A119" t="inlineStr">
        <is>
          <t>A 34153-2024</t>
        </is>
      </c>
      <c r="B119" s="1" t="n">
        <v>45524.38400462963</v>
      </c>
      <c r="C119" s="1" t="n">
        <v>45895</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44802.57002314815</v>
      </c>
      <c r="C120" s="1" t="n">
        <v>45895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200-2022</t>
        </is>
      </c>
      <c r="B121" s="1" t="n">
        <v>44564</v>
      </c>
      <c r="C121" s="1" t="n">
        <v>45895</v>
      </c>
      <c r="D121" t="inlineStr">
        <is>
          <t>VÄSTRA GÖTALANDS LÄN</t>
        </is>
      </c>
      <c r="E121" t="inlineStr">
        <is>
          <t>ALE</t>
        </is>
      </c>
      <c r="G121" t="n">
        <v>6.8</v>
      </c>
      <c r="H121" t="n">
        <v>0</v>
      </c>
      <c r="I121" t="n">
        <v>0</v>
      </c>
      <c r="J121" t="n">
        <v>0</v>
      </c>
      <c r="K121" t="n">
        <v>0</v>
      </c>
      <c r="L121" t="n">
        <v>0</v>
      </c>
      <c r="M121" t="n">
        <v>0</v>
      </c>
      <c r="N121" t="n">
        <v>0</v>
      </c>
      <c r="O121" t="n">
        <v>0</v>
      </c>
      <c r="P121" t="n">
        <v>0</v>
      </c>
      <c r="Q121" t="n">
        <v>0</v>
      </c>
      <c r="R121" s="2" t="inlineStr"/>
    </row>
    <row r="122" ht="15" customHeight="1">
      <c r="A122" t="inlineStr">
        <is>
          <t>A 41309-2024</t>
        </is>
      </c>
      <c r="B122" s="1" t="n">
        <v>45559</v>
      </c>
      <c r="C122" s="1" t="n">
        <v>45895</v>
      </c>
      <c r="D122" t="inlineStr">
        <is>
          <t>VÄSTRA GÖTALANDS LÄN</t>
        </is>
      </c>
      <c r="E122" t="inlineStr">
        <is>
          <t>ALE</t>
        </is>
      </c>
      <c r="G122" t="n">
        <v>8.4</v>
      </c>
      <c r="H122" t="n">
        <v>0</v>
      </c>
      <c r="I122" t="n">
        <v>0</v>
      </c>
      <c r="J122" t="n">
        <v>0</v>
      </c>
      <c r="K122" t="n">
        <v>0</v>
      </c>
      <c r="L122" t="n">
        <v>0</v>
      </c>
      <c r="M122" t="n">
        <v>0</v>
      </c>
      <c r="N122" t="n">
        <v>0</v>
      </c>
      <c r="O122" t="n">
        <v>0</v>
      </c>
      <c r="P122" t="n">
        <v>0</v>
      </c>
      <c r="Q122" t="n">
        <v>0</v>
      </c>
      <c r="R122" s="2" t="inlineStr"/>
    </row>
    <row r="123" ht="15" customHeight="1">
      <c r="A123" t="inlineStr">
        <is>
          <t>A 31407-2025</t>
        </is>
      </c>
      <c r="B123" s="1" t="n">
        <v>45833</v>
      </c>
      <c r="C123" s="1" t="n">
        <v>45895</v>
      </c>
      <c r="D123" t="inlineStr">
        <is>
          <t>VÄSTRA GÖTALANDS LÄN</t>
        </is>
      </c>
      <c r="E123" t="inlineStr">
        <is>
          <t>ALE</t>
        </is>
      </c>
      <c r="G123" t="n">
        <v>0.8</v>
      </c>
      <c r="H123" t="n">
        <v>0</v>
      </c>
      <c r="I123" t="n">
        <v>0</v>
      </c>
      <c r="J123" t="n">
        <v>0</v>
      </c>
      <c r="K123" t="n">
        <v>0</v>
      </c>
      <c r="L123" t="n">
        <v>0</v>
      </c>
      <c r="M123" t="n">
        <v>0</v>
      </c>
      <c r="N123" t="n">
        <v>0</v>
      </c>
      <c r="O123" t="n">
        <v>0</v>
      </c>
      <c r="P123" t="n">
        <v>0</v>
      </c>
      <c r="Q123" t="n">
        <v>0</v>
      </c>
      <c r="R123" s="2" t="inlineStr"/>
    </row>
    <row r="124" ht="15" customHeight="1">
      <c r="A124" t="inlineStr">
        <is>
          <t>A 31409-2025</t>
        </is>
      </c>
      <c r="B124" s="1" t="n">
        <v>45833</v>
      </c>
      <c r="C124" s="1" t="n">
        <v>45895</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31533-2025</t>
        </is>
      </c>
      <c r="B125" s="1" t="n">
        <v>45833</v>
      </c>
      <c r="C125" s="1" t="n">
        <v>45895</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31488-2025</t>
        </is>
      </c>
      <c r="B126" s="1" t="n">
        <v>45833</v>
      </c>
      <c r="C126" s="1" t="n">
        <v>45895</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15499-2022</t>
        </is>
      </c>
      <c r="B127" s="1" t="n">
        <v>44662</v>
      </c>
      <c r="C127" s="1" t="n">
        <v>45895</v>
      </c>
      <c r="D127" t="inlineStr">
        <is>
          <t>VÄSTRA GÖTALANDS LÄN</t>
        </is>
      </c>
      <c r="E127" t="inlineStr">
        <is>
          <t>ALE</t>
        </is>
      </c>
      <c r="G127" t="n">
        <v>4.7</v>
      </c>
      <c r="H127" t="n">
        <v>0</v>
      </c>
      <c r="I127" t="n">
        <v>0</v>
      </c>
      <c r="J127" t="n">
        <v>0</v>
      </c>
      <c r="K127" t="n">
        <v>0</v>
      </c>
      <c r="L127" t="n">
        <v>0</v>
      </c>
      <c r="M127" t="n">
        <v>0</v>
      </c>
      <c r="N127" t="n">
        <v>0</v>
      </c>
      <c r="O127" t="n">
        <v>0</v>
      </c>
      <c r="P127" t="n">
        <v>0</v>
      </c>
      <c r="Q127" t="n">
        <v>0</v>
      </c>
      <c r="R127" s="2" t="inlineStr"/>
    </row>
    <row r="128" ht="15" customHeight="1">
      <c r="A128" t="inlineStr">
        <is>
          <t>A 17044-2025</t>
        </is>
      </c>
      <c r="B128" s="1" t="n">
        <v>45755.58891203703</v>
      </c>
      <c r="C128" s="1" t="n">
        <v>45895</v>
      </c>
      <c r="D128" t="inlineStr">
        <is>
          <t>VÄSTRA GÖTALANDS LÄN</t>
        </is>
      </c>
      <c r="E128" t="inlineStr">
        <is>
          <t>ALE</t>
        </is>
      </c>
      <c r="G128" t="n">
        <v>1.5</v>
      </c>
      <c r="H128" t="n">
        <v>0</v>
      </c>
      <c r="I128" t="n">
        <v>0</v>
      </c>
      <c r="J128" t="n">
        <v>0</v>
      </c>
      <c r="K128" t="n">
        <v>0</v>
      </c>
      <c r="L128" t="n">
        <v>0</v>
      </c>
      <c r="M128" t="n">
        <v>0</v>
      </c>
      <c r="N128" t="n">
        <v>0</v>
      </c>
      <c r="O128" t="n">
        <v>0</v>
      </c>
      <c r="P128" t="n">
        <v>0</v>
      </c>
      <c r="Q128" t="n">
        <v>0</v>
      </c>
      <c r="R128" s="2" t="inlineStr"/>
    </row>
    <row r="129" ht="15" customHeight="1">
      <c r="A129" t="inlineStr">
        <is>
          <t>A 35905-2025</t>
        </is>
      </c>
      <c r="B129" s="1" t="n">
        <v>45862</v>
      </c>
      <c r="C129" s="1" t="n">
        <v>45895</v>
      </c>
      <c r="D129" t="inlineStr">
        <is>
          <t>VÄSTRA GÖTALANDS LÄN</t>
        </is>
      </c>
      <c r="E129" t="inlineStr">
        <is>
          <t>ALE</t>
        </is>
      </c>
      <c r="G129" t="n">
        <v>4.2</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45895</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27314-2021</t>
        </is>
      </c>
      <c r="B131" s="1" t="n">
        <v>44351.36537037037</v>
      </c>
      <c r="C131" s="1" t="n">
        <v>45895</v>
      </c>
      <c r="D131" t="inlineStr">
        <is>
          <t>VÄSTRA GÖTALANDS LÄN</t>
        </is>
      </c>
      <c r="E131" t="inlineStr">
        <is>
          <t>ALE</t>
        </is>
      </c>
      <c r="G131" t="n">
        <v>11.3</v>
      </c>
      <c r="H131" t="n">
        <v>0</v>
      </c>
      <c r="I131" t="n">
        <v>0</v>
      </c>
      <c r="J131" t="n">
        <v>0</v>
      </c>
      <c r="K131" t="n">
        <v>0</v>
      </c>
      <c r="L131" t="n">
        <v>0</v>
      </c>
      <c r="M131" t="n">
        <v>0</v>
      </c>
      <c r="N131" t="n">
        <v>0</v>
      </c>
      <c r="O131" t="n">
        <v>0</v>
      </c>
      <c r="P131" t="n">
        <v>0</v>
      </c>
      <c r="Q131" t="n">
        <v>0</v>
      </c>
      <c r="R131" s="2" t="inlineStr"/>
    </row>
    <row r="132" ht="15" customHeight="1">
      <c r="A132" t="inlineStr">
        <is>
          <t>A 32394-2025</t>
        </is>
      </c>
      <c r="B132" s="1" t="n">
        <v>45837.91665509259</v>
      </c>
      <c r="C132" s="1" t="n">
        <v>45895</v>
      </c>
      <c r="D132" t="inlineStr">
        <is>
          <t>VÄSTRA GÖTALANDS LÄN</t>
        </is>
      </c>
      <c r="E132" t="inlineStr">
        <is>
          <t>ALE</t>
        </is>
      </c>
      <c r="G132" t="n">
        <v>3.4</v>
      </c>
      <c r="H132" t="n">
        <v>0</v>
      </c>
      <c r="I132" t="n">
        <v>0</v>
      </c>
      <c r="J132" t="n">
        <v>0</v>
      </c>
      <c r="K132" t="n">
        <v>0</v>
      </c>
      <c r="L132" t="n">
        <v>0</v>
      </c>
      <c r="M132" t="n">
        <v>0</v>
      </c>
      <c r="N132" t="n">
        <v>0</v>
      </c>
      <c r="O132" t="n">
        <v>0</v>
      </c>
      <c r="P132" t="n">
        <v>0</v>
      </c>
      <c r="Q132" t="n">
        <v>0</v>
      </c>
      <c r="R132" s="2" t="inlineStr"/>
    </row>
    <row r="133" ht="15" customHeight="1">
      <c r="A133" t="inlineStr">
        <is>
          <t>A 1960-2024</t>
        </is>
      </c>
      <c r="B133" s="1" t="n">
        <v>45308.50962962963</v>
      </c>
      <c r="C133" s="1" t="n">
        <v>45895</v>
      </c>
      <c r="D133" t="inlineStr">
        <is>
          <t>VÄSTRA GÖTALANDS LÄN</t>
        </is>
      </c>
      <c r="E133" t="inlineStr">
        <is>
          <t>ALE</t>
        </is>
      </c>
      <c r="G133" t="n">
        <v>1.9</v>
      </c>
      <c r="H133" t="n">
        <v>0</v>
      </c>
      <c r="I133" t="n">
        <v>0</v>
      </c>
      <c r="J133" t="n">
        <v>0</v>
      </c>
      <c r="K133" t="n">
        <v>0</v>
      </c>
      <c r="L133" t="n">
        <v>0</v>
      </c>
      <c r="M133" t="n">
        <v>0</v>
      </c>
      <c r="N133" t="n">
        <v>0</v>
      </c>
      <c r="O133" t="n">
        <v>0</v>
      </c>
      <c r="P133" t="n">
        <v>0</v>
      </c>
      <c r="Q133" t="n">
        <v>0</v>
      </c>
      <c r="R133" s="2" t="inlineStr"/>
    </row>
    <row r="134" ht="15" customHeight="1">
      <c r="A134" t="inlineStr">
        <is>
          <t>A 3418-2023</t>
        </is>
      </c>
      <c r="B134" s="1" t="n">
        <v>44949.56182870371</v>
      </c>
      <c r="C134" s="1" t="n">
        <v>45895</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65226-2021</t>
        </is>
      </c>
      <c r="B135" s="1" t="n">
        <v>44515</v>
      </c>
      <c r="C135" s="1" t="n">
        <v>45895</v>
      </c>
      <c r="D135" t="inlineStr">
        <is>
          <t>VÄSTRA GÖTALANDS LÄN</t>
        </is>
      </c>
      <c r="E135" t="inlineStr">
        <is>
          <t>ALE</t>
        </is>
      </c>
      <c r="G135" t="n">
        <v>0.7</v>
      </c>
      <c r="H135" t="n">
        <v>0</v>
      </c>
      <c r="I135" t="n">
        <v>0</v>
      </c>
      <c r="J135" t="n">
        <v>0</v>
      </c>
      <c r="K135" t="n">
        <v>0</v>
      </c>
      <c r="L135" t="n">
        <v>0</v>
      </c>
      <c r="M135" t="n">
        <v>0</v>
      </c>
      <c r="N135" t="n">
        <v>0</v>
      </c>
      <c r="O135" t="n">
        <v>0</v>
      </c>
      <c r="P135" t="n">
        <v>0</v>
      </c>
      <c r="Q135" t="n">
        <v>0</v>
      </c>
      <c r="R135" s="2" t="inlineStr"/>
    </row>
    <row r="136" ht="15" customHeight="1">
      <c r="A136" t="inlineStr">
        <is>
          <t>A 12055-2022</t>
        </is>
      </c>
      <c r="B136" s="1" t="n">
        <v>44636</v>
      </c>
      <c r="C136" s="1" t="n">
        <v>45895</v>
      </c>
      <c r="D136" t="inlineStr">
        <is>
          <t>VÄSTRA GÖTALANDS LÄN</t>
        </is>
      </c>
      <c r="E136" t="inlineStr">
        <is>
          <t>ALE</t>
        </is>
      </c>
      <c r="G136" t="n">
        <v>0.2</v>
      </c>
      <c r="H136" t="n">
        <v>0</v>
      </c>
      <c r="I136" t="n">
        <v>0</v>
      </c>
      <c r="J136" t="n">
        <v>0</v>
      </c>
      <c r="K136" t="n">
        <v>0</v>
      </c>
      <c r="L136" t="n">
        <v>0</v>
      </c>
      <c r="M136" t="n">
        <v>0</v>
      </c>
      <c r="N136" t="n">
        <v>0</v>
      </c>
      <c r="O136" t="n">
        <v>0</v>
      </c>
      <c r="P136" t="n">
        <v>0</v>
      </c>
      <c r="Q136" t="n">
        <v>0</v>
      </c>
      <c r="R136" s="2" t="inlineStr"/>
    </row>
    <row r="137" ht="15" customHeight="1">
      <c r="A137" t="inlineStr">
        <is>
          <t>A 34104-2024</t>
        </is>
      </c>
      <c r="B137" s="1" t="n">
        <v>45523.79202546296</v>
      </c>
      <c r="C137" s="1" t="n">
        <v>45895</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44858.47591435185</v>
      </c>
      <c r="C138" s="1" t="n">
        <v>45895</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18999-2021</t>
        </is>
      </c>
      <c r="B139" s="1" t="n">
        <v>44308</v>
      </c>
      <c r="C139" s="1" t="n">
        <v>45895</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3457-2022</t>
        </is>
      </c>
      <c r="B140" s="1" t="n">
        <v>44585</v>
      </c>
      <c r="C140" s="1" t="n">
        <v>45895</v>
      </c>
      <c r="D140" t="inlineStr">
        <is>
          <t>VÄSTRA GÖTALANDS LÄN</t>
        </is>
      </c>
      <c r="E140" t="inlineStr">
        <is>
          <t>ALE</t>
        </is>
      </c>
      <c r="G140" t="n">
        <v>5.1</v>
      </c>
      <c r="H140" t="n">
        <v>0</v>
      </c>
      <c r="I140" t="n">
        <v>0</v>
      </c>
      <c r="J140" t="n">
        <v>0</v>
      </c>
      <c r="K140" t="n">
        <v>0</v>
      </c>
      <c r="L140" t="n">
        <v>0</v>
      </c>
      <c r="M140" t="n">
        <v>0</v>
      </c>
      <c r="N140" t="n">
        <v>0</v>
      </c>
      <c r="O140" t="n">
        <v>0</v>
      </c>
      <c r="P140" t="n">
        <v>0</v>
      </c>
      <c r="Q140" t="n">
        <v>0</v>
      </c>
      <c r="R140" s="2" t="inlineStr"/>
    </row>
    <row r="141" ht="15" customHeight="1">
      <c r="A141" t="inlineStr">
        <is>
          <t>A 69325-2020</t>
        </is>
      </c>
      <c r="B141" s="1" t="n">
        <v>44193</v>
      </c>
      <c r="C141" s="1" t="n">
        <v>45895</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1687-2024</t>
        </is>
      </c>
      <c r="B142" s="1" t="n">
        <v>45306</v>
      </c>
      <c r="C142" s="1" t="n">
        <v>45895</v>
      </c>
      <c r="D142" t="inlineStr">
        <is>
          <t>VÄSTRA GÖTALANDS LÄN</t>
        </is>
      </c>
      <c r="E142" t="inlineStr">
        <is>
          <t>ALE</t>
        </is>
      </c>
      <c r="G142" t="n">
        <v>3.4</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45895</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40059-2025</t>
        </is>
      </c>
      <c r="B144" s="1" t="n">
        <v>45894.42600694444</v>
      </c>
      <c r="C144" s="1" t="n">
        <v>45895</v>
      </c>
      <c r="D144" t="inlineStr">
        <is>
          <t>VÄSTRA GÖTALANDS LÄN</t>
        </is>
      </c>
      <c r="E144" t="inlineStr">
        <is>
          <t>ALE</t>
        </is>
      </c>
      <c r="G144" t="n">
        <v>0.9</v>
      </c>
      <c r="H144" t="n">
        <v>0</v>
      </c>
      <c r="I144" t="n">
        <v>0</v>
      </c>
      <c r="J144" t="n">
        <v>0</v>
      </c>
      <c r="K144" t="n">
        <v>0</v>
      </c>
      <c r="L144" t="n">
        <v>0</v>
      </c>
      <c r="M144" t="n">
        <v>0</v>
      </c>
      <c r="N144" t="n">
        <v>0</v>
      </c>
      <c r="O144" t="n">
        <v>0</v>
      </c>
      <c r="P144" t="n">
        <v>0</v>
      </c>
      <c r="Q144" t="n">
        <v>0</v>
      </c>
      <c r="R144" s="2" t="inlineStr"/>
    </row>
    <row r="145" ht="15" customHeight="1">
      <c r="A145" t="inlineStr">
        <is>
          <t>A 50451-2024</t>
        </is>
      </c>
      <c r="B145" s="1" t="n">
        <v>45601.44248842593</v>
      </c>
      <c r="C145" s="1" t="n">
        <v>45895</v>
      </c>
      <c r="D145" t="inlineStr">
        <is>
          <t>VÄSTRA GÖTALANDS LÄN</t>
        </is>
      </c>
      <c r="E145" t="inlineStr">
        <is>
          <t>ALE</t>
        </is>
      </c>
      <c r="G145" t="n">
        <v>2.9</v>
      </c>
      <c r="H145" t="n">
        <v>0</v>
      </c>
      <c r="I145" t="n">
        <v>0</v>
      </c>
      <c r="J145" t="n">
        <v>0</v>
      </c>
      <c r="K145" t="n">
        <v>0</v>
      </c>
      <c r="L145" t="n">
        <v>0</v>
      </c>
      <c r="M145" t="n">
        <v>0</v>
      </c>
      <c r="N145" t="n">
        <v>0</v>
      </c>
      <c r="O145" t="n">
        <v>0</v>
      </c>
      <c r="P145" t="n">
        <v>0</v>
      </c>
      <c r="Q145" t="n">
        <v>0</v>
      </c>
      <c r="R145" s="2" t="inlineStr"/>
    </row>
    <row r="146" ht="15" customHeight="1">
      <c r="A146" t="inlineStr">
        <is>
          <t>A 49680-2024</t>
        </is>
      </c>
      <c r="B146" s="1" t="n">
        <v>45596.66880787037</v>
      </c>
      <c r="C146" s="1" t="n">
        <v>45895</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40074-2025</t>
        </is>
      </c>
      <c r="B147" s="1" t="n">
        <v>45894.44685185186</v>
      </c>
      <c r="C147" s="1" t="n">
        <v>45895</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4363-2024</t>
        </is>
      </c>
      <c r="B148" s="1" t="n">
        <v>45325</v>
      </c>
      <c r="C148" s="1" t="n">
        <v>45895</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45895</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45895</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45895</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6916-2023</t>
        </is>
      </c>
      <c r="B152" s="1" t="n">
        <v>44967.53349537037</v>
      </c>
      <c r="C152" s="1" t="n">
        <v>45895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c r="A153" t="inlineStr">
        <is>
          <t>A 64199-2021</t>
        </is>
      </c>
      <c r="B153" s="1" t="n">
        <v>44510</v>
      </c>
      <c r="C153" s="1" t="n">
        <v>45895</v>
      </c>
      <c r="D153" t="inlineStr">
        <is>
          <t>VÄSTRA GÖTALANDS LÄN</t>
        </is>
      </c>
      <c r="E153" t="inlineStr">
        <is>
          <t>ALE</t>
        </is>
      </c>
      <c r="G153" t="n">
        <v>5.7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2025-08-26T08:33:26Z</dcterms:created>
  <dcterms:modified xmlns:dcterms="http://purl.org/dc/terms/" xmlns:xsi="http://www.w3.org/2001/XMLSchema-instance" xsi:type="dcterms:W3CDTF">2025-08-26T08:33:26Z</dcterms:modified>
</cp:coreProperties>
</file>