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46313</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46313</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46313</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46313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46313</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46313</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46313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46313</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46313</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46313</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46313</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46313</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46313</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11516-2026</t>
        </is>
      </c>
      <c r="B21" t="inlineStr">
        <is>
          <t>avverkningsanmälan</t>
        </is>
      </c>
      <c r="C21" t="inlineStr">
        <is>
          <t>Föryngringsavverkning</t>
        </is>
      </c>
      <c r="D21" s="1" t="n">
        <v>46083</v>
      </c>
      <c r="E21" s="1" t="n">
        <v>46313</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58954-2022</t>
        </is>
      </c>
      <c r="B22" t="inlineStr">
        <is>
          <t>avverkningsanmälan</t>
        </is>
      </c>
      <c r="C22" t="inlineStr">
        <is>
          <t>Föryngringsavverkning</t>
        </is>
      </c>
      <c r="D22" s="1" t="n">
        <v>44903</v>
      </c>
      <c r="E22" s="1" t="n">
        <v>46313</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A 33802-2026</t>
        </is>
      </c>
      <c r="B23" t="inlineStr">
        <is>
          <t>avverkningsanmälan</t>
        </is>
      </c>
      <c r="C23" t="inlineStr">
        <is>
          <t>Föryngringsavverkning</t>
        </is>
      </c>
      <c r="D23" s="1" t="n">
        <v>46251</v>
      </c>
      <c r="E23" s="1" t="n">
        <v>46313</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46313</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46313</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46313</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63569-2023</t>
        </is>
      </c>
      <c r="B27" t="inlineStr">
        <is>
          <t>avverkningsanmälan</t>
        </is>
      </c>
      <c r="C27" t="inlineStr">
        <is>
          <t>Föryngringsavverkning</t>
        </is>
      </c>
      <c r="D27" s="1" t="n">
        <v>45275</v>
      </c>
      <c r="E27" s="1" t="n">
        <v>46313</v>
      </c>
      <c r="F27" t="inlineStr">
        <is>
          <t>VÄSTRA GÖTALANDS LÄN</t>
        </is>
      </c>
      <c r="G27" t="inlineStr">
        <is>
          <t>ALE</t>
        </is>
      </c>
      <c r="I27" t="n">
        <v>2.4</v>
      </c>
      <c r="J27" t="n">
        <v>2</v>
      </c>
      <c r="K27" t="n">
        <v>0</v>
      </c>
      <c r="L27" t="n">
        <v>1</v>
      </c>
      <c r="M27" t="n">
        <v>0</v>
      </c>
      <c r="N27" t="n">
        <v>0</v>
      </c>
      <c r="O27" t="n">
        <v>0</v>
      </c>
      <c r="P27" t="n">
        <v>0</v>
      </c>
      <c r="Q27" t="n">
        <v>1</v>
      </c>
      <c r="R27" t="n">
        <v>0</v>
      </c>
      <c r="S27" t="n">
        <v>2</v>
      </c>
      <c r="T27" t="n">
        <v>4</v>
      </c>
      <c r="U27" t="n">
        <v>4</v>
      </c>
      <c r="V27" s="2" t="inlineStr">
        <is>
          <t>Talltita
Spillkråka</t>
        </is>
      </c>
      <c r="W27">
        <f>HYPERLINK("https://klasma.github.io/Logging_1440/artfynd/A 63569-2023 artfynd.xlsx", "A 63569-2023")</f>
        <v/>
      </c>
      <c r="X27">
        <f>HYPERLINK("https://klasma.github.io/Logging_1440/kartor/A 63569-2023 karta.png", "A 63569-2023")</f>
        <v/>
      </c>
      <c r="Y27">
        <f>HYPERLINK("https://klasma.github.io/Logging_1440/kartor_geotiff/A 63569-2023 georefererad karta.tif", "A 63569-2023")</f>
        <v/>
      </c>
      <c r="AA27">
        <f>HYPERLINK("https://klasma.github.io/Logging_1440/klagomål/A 63569-2023 FSC-klagomål.docx", "A 63569-2023")</f>
        <v/>
      </c>
      <c r="AB27">
        <f>HYPERLINK("https://klasma.github.io/Logging_1440/klagomålsmail/A 63569-2023 FSC-klagomål mail.docx", "A 63569-2023")</f>
        <v/>
      </c>
      <c r="AC27">
        <f>HYPERLINK("https://klasma.github.io/Logging_1440/tillsyn/A 63569-2023 tillsynsbegäran.docx", "A 63569-2023")</f>
        <v/>
      </c>
      <c r="AD27">
        <f>HYPERLINK("https://klasma.github.io/Logging_1440/tillsynsmail/A 63569-2023 tillsynsbegäran mail.docx", "A 63569-2023")</f>
        <v/>
      </c>
      <c r="AE27">
        <f>HYPERLINK("https://klasma.github.io/Logging_1440/fåglar/A 63569-2023 prioriterade fågelarter.docx", "A 63569-2023")</f>
        <v/>
      </c>
    </row>
    <row r="28" ht="15" customHeight="1">
      <c r="A28" t="inlineStr">
        <is>
          <t>A 13306-2026</t>
        </is>
      </c>
      <c r="B28" t="inlineStr">
        <is>
          <t>avverkningsanmälan</t>
        </is>
      </c>
      <c r="C28" t="inlineStr">
        <is>
          <t>Föryngringsavverkning</t>
        </is>
      </c>
      <c r="D28" s="1" t="n">
        <v>46094</v>
      </c>
      <c r="E28" s="1" t="n">
        <v>46313</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3413-2023</t>
        </is>
      </c>
      <c r="B29" t="inlineStr">
        <is>
          <t>avverkningsanmälan</t>
        </is>
      </c>
      <c r="C29" t="inlineStr">
        <is>
          <t>Föryngringsavverkning</t>
        </is>
      </c>
      <c r="D29" s="1" t="n">
        <v>44949</v>
      </c>
      <c r="E29" s="1" t="n">
        <v>46313</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46313</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t="n">
        <v>1</v>
      </c>
      <c r="V30" s="2" t="inlineStr">
        <is>
          <t>Orre
Revlummer</t>
        </is>
      </c>
      <c r="W30">
        <f>HYPERLINK("https://klasma.github.io/Logging_1440/artfynd/A 12982-2024 artfynd.xlsx", "A 12982-2024")</f>
        <v/>
      </c>
      <c r="X30">
        <f>HYPERLINK("https://klasma.github.io/Logging_1440/kartor/A 12982-2024 karta.png", "A 12982-2024")</f>
        <v/>
      </c>
      <c r="Y30">
        <f>HYPERLINK("https://klasma.github.io/Logging_1440/kartor_geotiff/A 12982-2024 georefererad karta.tif", "A 12982-2024")</f>
        <v/>
      </c>
      <c r="AA30">
        <f>HYPERLINK("https://klasma.github.io/Logging_1440/klagomål/A 12982-2024 FSC-klagomål.docx", "A 12982-2024")</f>
        <v/>
      </c>
      <c r="AB30">
        <f>HYPERLINK("https://klasma.github.io/Logging_1440/klagomålsmail/A 12982-2024 FSC-klagomål mail.docx", "A 12982-2024")</f>
        <v/>
      </c>
      <c r="AC30">
        <f>HYPERLINK("https://klasma.github.io/Logging_1440/tillsyn/A 12982-2024 tillsynsbegäran.docx", "A 12982-2024")</f>
        <v/>
      </c>
      <c r="AD30">
        <f>HYPERLINK("https://klasma.github.io/Logging_1440/tillsynsmail/A 12982-2024 tillsynsbegäran mail.docx", "A 12982-2024")</f>
        <v/>
      </c>
      <c r="AE30">
        <f>HYPERLINK("https://klasma.github.io/Logging_1440/fåglar/A 12982-2024 prioriterade fågelarter.docx", "A 12982-2024")</f>
        <v/>
      </c>
    </row>
    <row r="31" ht="15" customHeight="1">
      <c r="A31" t="inlineStr">
        <is>
          <t>A 13380-2025</t>
        </is>
      </c>
      <c r="B31" t="inlineStr">
        <is>
          <t>avverkningsanmälan</t>
        </is>
      </c>
      <c r="C31" t="inlineStr">
        <is>
          <t>Föryngringsavverkning</t>
        </is>
      </c>
      <c r="D31" s="1" t="n">
        <v>45735</v>
      </c>
      <c r="E31" s="1" t="n">
        <v>46313</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38843-2026</t>
        </is>
      </c>
      <c r="B32" t="inlineStr">
        <is>
          <t>avverkningsanmälan</t>
        </is>
      </c>
      <c r="C32" t="inlineStr">
        <is>
          <t>Föryngringsavverkning</t>
        </is>
      </c>
      <c r="D32" s="1" t="n">
        <v>46286</v>
      </c>
      <c r="E32" s="1" t="n">
        <v>46313</v>
      </c>
      <c r="F32" t="inlineStr">
        <is>
          <t>VÄSTRA GÖTALANDS LÄN</t>
        </is>
      </c>
      <c r="G32" t="inlineStr">
        <is>
          <t>ALE</t>
        </is>
      </c>
      <c r="I32" t="n">
        <v>1.7</v>
      </c>
      <c r="J32" t="n">
        <v>0</v>
      </c>
      <c r="K32" t="n">
        <v>1</v>
      </c>
      <c r="L32" t="n">
        <v>1</v>
      </c>
      <c r="M32" t="n">
        <v>0</v>
      </c>
      <c r="N32" t="n">
        <v>0</v>
      </c>
      <c r="O32" t="n">
        <v>0</v>
      </c>
      <c r="P32" t="n">
        <v>0</v>
      </c>
      <c r="Q32" t="n">
        <v>1</v>
      </c>
      <c r="R32" t="n">
        <v>0</v>
      </c>
      <c r="S32" t="n">
        <v>2</v>
      </c>
      <c r="T32" t="n">
        <v>2</v>
      </c>
      <c r="U32" t="n">
        <v>2</v>
      </c>
      <c r="V32" s="2" t="inlineStr">
        <is>
          <t>Motaggsvamp
Blåmossa</t>
        </is>
      </c>
      <c r="W32">
        <f>HYPERLINK("https://klasma.github.io/Logging_1440/artfynd/A 38843-2026 artfynd.xlsx", "A 38843-2026")</f>
        <v/>
      </c>
      <c r="X32">
        <f>HYPERLINK("https://klasma.github.io/Logging_1440/kartor/A 38843-2026 karta.png", "A 38843-2026")</f>
        <v/>
      </c>
      <c r="Y32">
        <f>HYPERLINK("https://klasma.github.io/Logging_1440/kartor_geotiff/A 38843-2026 georefererad karta.tif", "A 38843-2026")</f>
        <v/>
      </c>
      <c r="AA32">
        <f>HYPERLINK("https://klasma.github.io/Logging_1440/klagomål/A 38843-2026 FSC-klagomål.docx", "A 38843-2026")</f>
        <v/>
      </c>
      <c r="AB32">
        <f>HYPERLINK("https://klasma.github.io/Logging_1440/klagomålsmail/A 38843-2026 FSC-klagomål mail.docx", "A 38843-2026")</f>
        <v/>
      </c>
      <c r="AC32">
        <f>HYPERLINK("https://klasma.github.io/Logging_1440/tillsyn/A 38843-2026 tillsynsbegäran.docx", "A 38843-2026")</f>
        <v/>
      </c>
      <c r="AD32">
        <f>HYPERLINK("https://klasma.github.io/Logging_1440/tillsynsmail/A 38843-2026 tillsynsbegäran mail.docx", "A 38843-2026")</f>
        <v/>
      </c>
    </row>
    <row r="33" ht="15" customHeight="1">
      <c r="A33" t="inlineStr">
        <is>
          <t>A 1503-2024</t>
        </is>
      </c>
      <c r="B33" t="inlineStr">
        <is>
          <t>avverkningsanmälan</t>
        </is>
      </c>
      <c r="C33" t="inlineStr">
        <is>
          <t>Föryngringsavverkning</t>
        </is>
      </c>
      <c r="D33" s="1" t="n">
        <v>45306</v>
      </c>
      <c r="E33" s="1" t="n">
        <v>46313</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2270-2025</t>
        </is>
      </c>
      <c r="B34" t="inlineStr">
        <is>
          <t>avverkningsanmälan</t>
        </is>
      </c>
      <c r="C34" t="inlineStr">
        <is>
          <t>Föryngringsavverkning</t>
        </is>
      </c>
      <c r="D34" s="1" t="n">
        <v>45673</v>
      </c>
      <c r="E34" s="1" t="n">
        <v>46313</v>
      </c>
      <c r="F34" t="inlineStr">
        <is>
          <t>VÄSTRA GÖTALANDS LÄN</t>
        </is>
      </c>
      <c r="G34" t="inlineStr">
        <is>
          <t>ALE</t>
        </is>
      </c>
      <c r="I34" t="n">
        <v>4.1</v>
      </c>
      <c r="J34" t="n">
        <v>2</v>
      </c>
      <c r="K34" t="n">
        <v>0</v>
      </c>
      <c r="L34" t="n">
        <v>0</v>
      </c>
      <c r="M34" t="n">
        <v>0</v>
      </c>
      <c r="N34" t="n">
        <v>0</v>
      </c>
      <c r="O34" t="n">
        <v>0</v>
      </c>
      <c r="P34" t="n">
        <v>0</v>
      </c>
      <c r="Q34" t="n">
        <v>0</v>
      </c>
      <c r="R34" t="n">
        <v>0</v>
      </c>
      <c r="S34" t="n">
        <v>2</v>
      </c>
      <c r="T34" t="n">
        <v>2</v>
      </c>
      <c r="U34" t="n">
        <v>2</v>
      </c>
      <c r="V34" s="2" t="inlineStr">
        <is>
          <t>Spillkråka
Revlummer</t>
        </is>
      </c>
      <c r="W34">
        <f>HYPERLINK("https://klasma.github.io/Logging_1440/artfynd/A 2270-2025 artfynd.xlsx", "A 2270-2025")</f>
        <v/>
      </c>
      <c r="X34">
        <f>HYPERLINK("https://klasma.github.io/Logging_1440/kartor/A 2270-2025 karta.png", "A 2270-2025")</f>
        <v/>
      </c>
      <c r="Y34">
        <f>HYPERLINK("https://klasma.github.io/Logging_1440/kartor_geotiff/A 2270-2025 georefererad karta.tif", "A 2270-2025")</f>
        <v/>
      </c>
      <c r="AA34">
        <f>HYPERLINK("https://klasma.github.io/Logging_1440/klagomål/A 2270-2025 FSC-klagomål.docx", "A 2270-2025")</f>
        <v/>
      </c>
      <c r="AB34">
        <f>HYPERLINK("https://klasma.github.io/Logging_1440/klagomålsmail/A 2270-2025 FSC-klagomål mail.docx", "A 2270-2025")</f>
        <v/>
      </c>
      <c r="AC34">
        <f>HYPERLINK("https://klasma.github.io/Logging_1440/tillsyn/A 2270-2025 tillsynsbegäran.docx", "A 2270-2025")</f>
        <v/>
      </c>
      <c r="AD34">
        <f>HYPERLINK("https://klasma.github.io/Logging_1440/tillsynsmail/A 2270-2025 tillsynsbegäran mail.docx", "A 2270-2025")</f>
        <v/>
      </c>
      <c r="AE34">
        <f>HYPERLINK("https://klasma.github.io/Logging_1440/fåglar/A 2270-2025 prioriterade fågelarter.docx", "A 2270-2025")</f>
        <v/>
      </c>
    </row>
    <row r="35" ht="15" customHeight="1">
      <c r="A35" t="inlineStr">
        <is>
          <t>A 16534-2025</t>
        </is>
      </c>
      <c r="B35" t="inlineStr">
        <is>
          <t>avverkningsanmälan</t>
        </is>
      </c>
      <c r="C35" t="inlineStr">
        <is>
          <t>Föryngringsavverkning</t>
        </is>
      </c>
      <c r="D35" s="1" t="n">
        <v>45751</v>
      </c>
      <c r="E35" s="1" t="n">
        <v>46313</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46313</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46313</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S 4485-2024</t>
        </is>
      </c>
      <c r="B38" t="inlineStr">
        <is>
          <t>samrådsanmälan</t>
        </is>
      </c>
      <c r="C38" t="inlineStr">
        <is>
          <t>Annan skogsbruksåtgärd</t>
        </is>
      </c>
      <c r="D38" s="1" t="n">
        <v>45595</v>
      </c>
      <c r="E38" s="1" t="n">
        <v>46313</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46313</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52423-2025</t>
        </is>
      </c>
      <c r="B40" t="inlineStr">
        <is>
          <t>avverkningsanmälan</t>
        </is>
      </c>
      <c r="C40" t="inlineStr">
        <is>
          <t>Föryngringsavverkning</t>
        </is>
      </c>
      <c r="D40" s="1" t="n">
        <v>45954</v>
      </c>
      <c r="E40" s="1" t="n">
        <v>46313</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200-2022</t>
        </is>
      </c>
      <c r="B41" t="inlineStr">
        <is>
          <t>avverkningsanmälan</t>
        </is>
      </c>
      <c r="C41" t="inlineStr">
        <is>
          <t>Föryngringsavverkning</t>
        </is>
      </c>
      <c r="D41" s="1" t="n">
        <v>44564</v>
      </c>
      <c r="E41" s="1" t="n">
        <v>46313</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200-2022 artfynd.xlsx", "A 200-2022")</f>
        <v/>
      </c>
      <c r="X41">
        <f>HYPERLINK("https://klasma.github.io/Logging_1440/kartor/A 200-2022 karta.png", "A 200-2022")</f>
        <v/>
      </c>
      <c r="Y41">
        <f>HYPERLINK("https://klasma.github.io/Logging_1440/kartor_geotiff/A 200-2022 georefererad karta.tif", "A 200-2022")</f>
        <v/>
      </c>
      <c r="AA41">
        <f>HYPERLINK("https://klasma.github.io/Logging_1440/klagomål/A 200-2022 FSC-klagomål.docx", "A 200-2022")</f>
        <v/>
      </c>
      <c r="AB41">
        <f>HYPERLINK("https://klasma.github.io/Logging_1440/klagomålsmail/A 200-2022 FSC-klagomål mail.docx", "A 200-2022")</f>
        <v/>
      </c>
      <c r="AC41">
        <f>HYPERLINK("https://klasma.github.io/Logging_1440/tillsyn/A 200-2022 tillsynsbegäran.docx", "A 200-2022")</f>
        <v/>
      </c>
      <c r="AD41">
        <f>HYPERLINK("https://klasma.github.io/Logging_1440/tillsynsmail/A 200-2022 tillsynsbegäran mail.docx", "A 200-2022")</f>
        <v/>
      </c>
      <c r="AE41">
        <f>HYPERLINK("https://klasma.github.io/Logging_1440/fåglar/A 200-2022 prioriterade fågelarter.docx", "A 200-2022")</f>
        <v/>
      </c>
    </row>
    <row r="42" ht="15" customHeight="1">
      <c r="A42" t="inlineStr">
        <is>
          <t>A 15582-2025</t>
        </is>
      </c>
      <c r="B42" t="inlineStr">
        <is>
          <t>avverkningsanmälan</t>
        </is>
      </c>
      <c r="C42" t="inlineStr">
        <is>
          <t>Föryngringsavverkning</t>
        </is>
      </c>
      <c r="D42" s="1" t="n">
        <v>45747</v>
      </c>
      <c r="E42" s="1" t="n">
        <v>46313</v>
      </c>
      <c r="F42" t="inlineStr">
        <is>
          <t>VÄSTRA GÖTALANDS LÄN</t>
        </is>
      </c>
      <c r="G42" t="inlineStr">
        <is>
          <t>ALE</t>
        </is>
      </c>
      <c r="I42" t="n">
        <v>2.2</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HYPERLINK("https://klasma.github.io/Logging_1440/artfynd/A 15582-2025 artfynd.xlsx", "A 15582-2025")</f>
        <v/>
      </c>
      <c r="X42">
        <f>HYPERLINK("https://klasma.github.io/Logging_1440/kartor/A 15582-2025 karta.png", "A 15582-2025")</f>
        <v/>
      </c>
      <c r="Y42">
        <f>HYPERLINK("https://klasma.github.io/Logging_1440/kartor_geotiff/A 15582-2025 georefererad karta.tif", "A 15582-2025")</f>
        <v/>
      </c>
      <c r="AA42">
        <f>HYPERLINK("https://klasma.github.io/Logging_1440/klagomål/A 15582-2025 FSC-klagomål.docx", "A 15582-2025")</f>
        <v/>
      </c>
      <c r="AB42">
        <f>HYPERLINK("https://klasma.github.io/Logging_1440/klagomålsmail/A 15582-2025 FSC-klagomål mail.docx", "A 15582-2025")</f>
        <v/>
      </c>
      <c r="AC42">
        <f>HYPERLINK("https://klasma.github.io/Logging_1440/tillsyn/A 15582-2025 tillsynsbegäran.docx", "A 15582-2025")</f>
        <v/>
      </c>
      <c r="AD42">
        <f>HYPERLINK("https://klasma.github.io/Logging_1440/tillsynsmail/A 15582-2025 tillsynsbegäran mail.docx", "A 15582-2025")</f>
        <v/>
      </c>
      <c r="AE42">
        <f>HYPERLINK("https://klasma.github.io/Logging_1440/fåglar/A 15582-2025 prioriterade fågelarter.docx", "A 15582-2025")</f>
        <v/>
      </c>
    </row>
    <row r="43" ht="15" customHeight="1">
      <c r="A43" t="inlineStr">
        <is>
          <t>A 62524-2025</t>
        </is>
      </c>
      <c r="B43" t="inlineStr">
        <is>
          <t>avverkningsanmälan</t>
        </is>
      </c>
      <c r="C43" t="inlineStr">
        <is>
          <t>Föryngringsavverkning</t>
        </is>
      </c>
      <c r="D43" s="1" t="n">
        <v>46007</v>
      </c>
      <c r="E43" s="1" t="n">
        <v>46313</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8659-2025</t>
        </is>
      </c>
      <c r="B44" t="inlineStr">
        <is>
          <t>avverkningsanmälan</t>
        </is>
      </c>
      <c r="C44" t="inlineStr">
        <is>
          <t>Föryngringsavverkning</t>
        </is>
      </c>
      <c r="D44" s="1" t="n">
        <v>45712</v>
      </c>
      <c r="E44" s="1" t="n">
        <v>46313</v>
      </c>
      <c r="F44" t="inlineStr">
        <is>
          <t>VÄSTRA GÖTALANDS LÄN</t>
        </is>
      </c>
      <c r="G44" t="inlineStr">
        <is>
          <t>ALE</t>
        </is>
      </c>
      <c r="I44" t="n">
        <v>5.7</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HYPERLINK("https://klasma.github.io/Logging_1440/artfynd/A 8659-2025 artfynd.xlsx", "A 8659-2025")</f>
        <v/>
      </c>
      <c r="X44">
        <f>HYPERLINK("https://klasma.github.io/Logging_1440/kartor/A 8659-2025 karta.png", "A 8659-2025")</f>
        <v/>
      </c>
      <c r="Y44">
        <f>HYPERLINK("https://klasma.github.io/Logging_1440/kartor_geotiff/A 8659-2025 georefererad karta.tif", "A 8659-2025")</f>
        <v/>
      </c>
      <c r="AA44">
        <f>HYPERLINK("https://klasma.github.io/Logging_1440/klagomål/A 8659-2025 FSC-klagomål.docx", "A 8659-2025")</f>
        <v/>
      </c>
      <c r="AB44">
        <f>HYPERLINK("https://klasma.github.io/Logging_1440/klagomålsmail/A 8659-2025 FSC-klagomål mail.docx", "A 8659-2025")</f>
        <v/>
      </c>
      <c r="AC44">
        <f>HYPERLINK("https://klasma.github.io/Logging_1440/tillsyn/A 8659-2025 tillsynsbegäran.docx", "A 8659-2025")</f>
        <v/>
      </c>
      <c r="AD44">
        <f>HYPERLINK("https://klasma.github.io/Logging_1440/tillsynsmail/A 8659-2025 tillsynsbegäran mail.docx", "A 8659-2025")</f>
        <v/>
      </c>
    </row>
    <row r="45" ht="15" customHeight="1">
      <c r="A45" t="inlineStr">
        <is>
          <t>A 4363-2024</t>
        </is>
      </c>
      <c r="B45" t="inlineStr">
        <is>
          <t>avverkningsanmälan</t>
        </is>
      </c>
      <c r="C45" t="inlineStr">
        <is>
          <t>Avverkning för annat ändamål</t>
        </is>
      </c>
      <c r="D45" s="1" t="n">
        <v>45325</v>
      </c>
      <c r="E45" s="1" t="n">
        <v>46313</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9783-2026</t>
        </is>
      </c>
      <c r="B46" t="inlineStr">
        <is>
          <t>avverkningsanmälan</t>
        </is>
      </c>
      <c r="C46" t="inlineStr">
        <is>
          <t>Föryngringsavverkning</t>
        </is>
      </c>
      <c r="D46" s="1" t="n">
        <v>46072</v>
      </c>
      <c r="E46" s="1" t="n">
        <v>46313</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26493-2024</t>
        </is>
      </c>
      <c r="B47" t="inlineStr">
        <is>
          <t>avverkningsanmälan</t>
        </is>
      </c>
      <c r="C47" t="inlineStr">
        <is>
          <t>Avverkning för annat ändamål</t>
        </is>
      </c>
      <c r="D47" s="1" t="n">
        <v>45469</v>
      </c>
      <c r="E47" s="1" t="n">
        <v>46313</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46313</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46313</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15241-2025</t>
        </is>
      </c>
      <c r="B50" t="inlineStr">
        <is>
          <t>avverkningsanmälan</t>
        </is>
      </c>
      <c r="C50" t="inlineStr">
        <is>
          <t>Föryngringsavverkning</t>
        </is>
      </c>
      <c r="D50" s="1" t="n">
        <v>45744</v>
      </c>
      <c r="E50" s="1" t="n">
        <v>46313</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33142-2026</t>
        </is>
      </c>
      <c r="B51" t="inlineStr">
        <is>
          <t>avverkningsanmälan</t>
        </is>
      </c>
      <c r="C51" t="inlineStr">
        <is>
          <t>Föryngringsavverkning</t>
        </is>
      </c>
      <c r="D51" s="1" t="n">
        <v>46245</v>
      </c>
      <c r="E51" s="1" t="n">
        <v>46313</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41598-2022</t>
        </is>
      </c>
      <c r="B52" t="inlineStr">
        <is>
          <t>avverkningsanmälan</t>
        </is>
      </c>
      <c r="C52" t="inlineStr">
        <is>
          <t>Föryngringsavverkning</t>
        </is>
      </c>
      <c r="D52" s="1" t="n">
        <v>44827</v>
      </c>
      <c r="E52" s="1" t="n">
        <v>46313</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A 40658-2026</t>
        </is>
      </c>
      <c r="B53" t="inlineStr">
        <is>
          <t>avverkningsanmälan</t>
        </is>
      </c>
      <c r="C53" t="inlineStr">
        <is>
          <t>Föryngringsavverkning</t>
        </is>
      </c>
      <c r="D53" s="1" t="n">
        <v>46294</v>
      </c>
      <c r="E53" s="1" t="n">
        <v>46313</v>
      </c>
      <c r="F53" t="inlineStr">
        <is>
          <t>VÄSTRA GÖTALANDS LÄN</t>
        </is>
      </c>
      <c r="G53" t="inlineStr">
        <is>
          <t>ALE</t>
        </is>
      </c>
      <c r="H53" t="inlineStr">
        <is>
          <t>Kyrkan</t>
        </is>
      </c>
      <c r="I53" t="n">
        <v>1.8</v>
      </c>
      <c r="J53" t="n">
        <v>0</v>
      </c>
      <c r="K53" t="n">
        <v>0</v>
      </c>
      <c r="L53" t="n">
        <v>1</v>
      </c>
      <c r="M53" t="n">
        <v>0</v>
      </c>
      <c r="N53" t="n">
        <v>0</v>
      </c>
      <c r="O53" t="n">
        <v>0</v>
      </c>
      <c r="P53" t="n">
        <v>0</v>
      </c>
      <c r="Q53" t="n">
        <v>1</v>
      </c>
      <c r="R53" t="n">
        <v>0</v>
      </c>
      <c r="S53" t="n">
        <v>1</v>
      </c>
      <c r="T53" t="n">
        <v>1</v>
      </c>
      <c r="U53" t="n">
        <v>0</v>
      </c>
      <c r="V53" s="2" t="inlineStr">
        <is>
          <t>Svinrot</t>
        </is>
      </c>
      <c r="W53">
        <f>HYPERLINK("https://klasma.github.io/Logging_1440/artfynd/A 40658-2026 artfynd.xlsx", "A 40658-2026")</f>
        <v/>
      </c>
      <c r="X53">
        <f>HYPERLINK("https://klasma.github.io/Logging_1440/kartor/A 40658-2026 karta.png", "A 40658-2026")</f>
        <v/>
      </c>
      <c r="Y53">
        <f>HYPERLINK("https://klasma.github.io/Logging_1440/kartor_geotiff/A 40658-2026 georefererad karta.tif", "A 40658-2026")</f>
        <v/>
      </c>
      <c r="AA53">
        <f>HYPERLINK("https://klasma.github.io/Logging_1440/klagomål/A 40658-2026 FSC-klagomål.docx", "A 40658-2026")</f>
        <v/>
      </c>
      <c r="AB53">
        <f>HYPERLINK("https://klasma.github.io/Logging_1440/klagomålsmail/A 40658-2026 FSC-klagomål mail.docx", "A 40658-2026")</f>
        <v/>
      </c>
      <c r="AC53">
        <f>HYPERLINK("https://klasma.github.io/Logging_1440/tillsyn/A 40658-2026 tillsynsbegäran.docx", "A 40658-2026")</f>
        <v/>
      </c>
      <c r="AD53">
        <f>HYPERLINK("https://klasma.github.io/Logging_1440/tillsynsmail/A 40658-2026 tillsynsbegäran mail.docx", "A 40658-2026")</f>
        <v/>
      </c>
    </row>
    <row r="54" ht="15" customHeight="1">
      <c r="A54" t="inlineStr">
        <is>
          <t>A 26677-2025</t>
        </is>
      </c>
      <c r="B54" t="inlineStr">
        <is>
          <t>avverkningsanmälan</t>
        </is>
      </c>
      <c r="C54" t="inlineStr">
        <is>
          <t>Föryngringsavverkning</t>
        </is>
      </c>
      <c r="D54" s="1" t="n">
        <v>45810</v>
      </c>
      <c r="E54" s="1" t="n">
        <v>46313</v>
      </c>
      <c r="F54" t="inlineStr">
        <is>
          <t>VÄSTRA GÖTALANDS LÄN</t>
        </is>
      </c>
      <c r="G54" t="inlineStr">
        <is>
          <t>ALE</t>
        </is>
      </c>
      <c r="I54" t="n">
        <v>1.2</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26677-2025 artfynd.xlsx", "A 26677-2025")</f>
        <v/>
      </c>
      <c r="X54">
        <f>HYPERLINK("https://klasma.github.io/Logging_1440/kartor/A 26677-2025 karta.png", "A 26677-2025")</f>
        <v/>
      </c>
      <c r="Y54">
        <f>HYPERLINK("https://klasma.github.io/Logging_1440/kartor_geotiff/A 26677-2025 georefererad karta.tif", "A 26677-2025")</f>
        <v/>
      </c>
      <c r="AA54">
        <f>HYPERLINK("https://klasma.github.io/Logging_1440/klagomål/A 26677-2025 FSC-klagomål.docx", "A 26677-2025")</f>
        <v/>
      </c>
      <c r="AB54">
        <f>HYPERLINK("https://klasma.github.io/Logging_1440/klagomålsmail/A 26677-2025 FSC-klagomål mail.docx", "A 26677-2025")</f>
        <v/>
      </c>
      <c r="AC54">
        <f>HYPERLINK("https://klasma.github.io/Logging_1440/tillsyn/A 26677-2025 tillsynsbegäran.docx", "A 26677-2025")</f>
        <v/>
      </c>
      <c r="AD54">
        <f>HYPERLINK("https://klasma.github.io/Logging_1440/tillsynsmail/A 26677-2025 tillsynsbegäran mail.docx", "A 26677-2025")</f>
        <v/>
      </c>
    </row>
    <row r="55" ht="15" customHeight="1">
      <c r="A55" t="inlineStr">
        <is>
          <t>A 5344-2024</t>
        </is>
      </c>
      <c r="B55" t="inlineStr">
        <is>
          <t>avverkningsanmälan</t>
        </is>
      </c>
      <c r="C55" t="inlineStr">
        <is>
          <t>Föryngringsavverkning</t>
        </is>
      </c>
      <c r="D55" s="1" t="n">
        <v>45331</v>
      </c>
      <c r="E55" s="1" t="n">
        <v>46313</v>
      </c>
      <c r="F55" t="inlineStr">
        <is>
          <t>VÄSTRA GÖTALANDS LÄN</t>
        </is>
      </c>
      <c r="G55" t="inlineStr">
        <is>
          <t>ALE</t>
        </is>
      </c>
      <c r="I55" t="n">
        <v>2.5</v>
      </c>
      <c r="J55" t="n">
        <v>0</v>
      </c>
      <c r="K55" t="n">
        <v>1</v>
      </c>
      <c r="L55" t="n">
        <v>0</v>
      </c>
      <c r="M55" t="n">
        <v>0</v>
      </c>
      <c r="N55" t="n">
        <v>0</v>
      </c>
      <c r="O55" t="n">
        <v>0</v>
      </c>
      <c r="P55" t="n">
        <v>0</v>
      </c>
      <c r="Q55" t="n">
        <v>0</v>
      </c>
      <c r="R55" t="n">
        <v>0</v>
      </c>
      <c r="S55" t="n">
        <v>1</v>
      </c>
      <c r="T55" t="n">
        <v>1</v>
      </c>
      <c r="U55" t="n">
        <v>0</v>
      </c>
      <c r="V55" s="2" t="inlineStr">
        <is>
          <t>Blåmossa</t>
        </is>
      </c>
      <c r="W55">
        <f>HYPERLINK("https://klasma.github.io/Logging_1440/artfynd/A 5344-2024 artfynd.xlsx", "A 5344-2024")</f>
        <v/>
      </c>
      <c r="X55">
        <f>HYPERLINK("https://klasma.github.io/Logging_1440/kartor/A 5344-2024 karta.png", "A 5344-2024")</f>
        <v/>
      </c>
      <c r="Y55">
        <f>HYPERLINK("https://klasma.github.io/Logging_1440/kartor_geotiff/A 5344-2024 georefererad karta.tif", "A 5344-2024")</f>
        <v/>
      </c>
      <c r="AA55">
        <f>HYPERLINK("https://klasma.github.io/Logging_1440/klagomål/A 5344-2024 FSC-klagomål.docx", "A 5344-2024")</f>
        <v/>
      </c>
      <c r="AB55">
        <f>HYPERLINK("https://klasma.github.io/Logging_1440/klagomålsmail/A 5344-2024 FSC-klagomål mail.docx", "A 5344-2024")</f>
        <v/>
      </c>
      <c r="AC55">
        <f>HYPERLINK("https://klasma.github.io/Logging_1440/tillsyn/A 5344-2024 tillsynsbegäran.docx", "A 5344-2024")</f>
        <v/>
      </c>
      <c r="AD55">
        <f>HYPERLINK("https://klasma.github.io/Logging_1440/tillsynsmail/A 5344-2024 tillsynsbegäran mail.docx", "A 5344-2024")</f>
        <v/>
      </c>
    </row>
    <row r="56" ht="15" customHeight="1">
      <c r="A56" t="inlineStr">
        <is>
          <t>A 13902-2025</t>
        </is>
      </c>
      <c r="B56" t="inlineStr">
        <is>
          <t>avverkningsanmälan</t>
        </is>
      </c>
      <c r="C56" t="inlineStr">
        <is>
          <t>Föryngringsavverkning</t>
        </is>
      </c>
      <c r="D56" s="1" t="n">
        <v>45737</v>
      </c>
      <c r="E56" s="1" t="n">
        <v>46313</v>
      </c>
      <c r="F56" t="inlineStr">
        <is>
          <t>VÄSTRA GÖTALANDS LÄN</t>
        </is>
      </c>
      <c r="G56" t="inlineStr">
        <is>
          <t>ALE</t>
        </is>
      </c>
      <c r="I56" t="n">
        <v>1.4</v>
      </c>
      <c r="J56" t="n">
        <v>1</v>
      </c>
      <c r="K56" t="n">
        <v>0</v>
      </c>
      <c r="L56" t="n">
        <v>0</v>
      </c>
      <c r="M56" t="n">
        <v>0</v>
      </c>
      <c r="N56" t="n">
        <v>0</v>
      </c>
      <c r="O56" t="n">
        <v>0</v>
      </c>
      <c r="P56" t="n">
        <v>0</v>
      </c>
      <c r="Q56" t="n">
        <v>0</v>
      </c>
      <c r="R56" t="n">
        <v>0</v>
      </c>
      <c r="S56" t="n">
        <v>1</v>
      </c>
      <c r="T56" t="n">
        <v>1</v>
      </c>
      <c r="U56" t="n">
        <v>0</v>
      </c>
      <c r="V56" s="2" t="inlineStr">
        <is>
          <t>Svartvit flugsnappare</t>
        </is>
      </c>
      <c r="W56">
        <f>HYPERLINK("https://klasma.github.io/Logging_1440/artfynd/A 13902-2025 artfynd.xlsx", "A 13902-2025")</f>
        <v/>
      </c>
      <c r="X56">
        <f>HYPERLINK("https://klasma.github.io/Logging_1440/kartor/A 13902-2025 karta.png", "A 13902-2025")</f>
        <v/>
      </c>
      <c r="Y56">
        <f>HYPERLINK("https://klasma.github.io/Logging_1440/kartor_geotiff/A 13902-2025 georefererad karta.tif", "A 13902-2025")</f>
        <v/>
      </c>
      <c r="AA56">
        <f>HYPERLINK("https://klasma.github.io/Logging_1440/klagomål/A 13902-2025 FSC-klagomål.docx", "A 13902-2025")</f>
        <v/>
      </c>
      <c r="AB56">
        <f>HYPERLINK("https://klasma.github.io/Logging_1440/klagomålsmail/A 13902-2025 FSC-klagomål mail.docx", "A 13902-2025")</f>
        <v/>
      </c>
      <c r="AC56">
        <f>HYPERLINK("https://klasma.github.io/Logging_1440/tillsyn/A 13902-2025 tillsynsbegäran.docx", "A 13902-2025")</f>
        <v/>
      </c>
      <c r="AD56">
        <f>HYPERLINK("https://klasma.github.io/Logging_1440/tillsynsmail/A 13902-2025 tillsynsbegäran mail.docx", "A 13902-2025")</f>
        <v/>
      </c>
    </row>
    <row r="57" ht="15" customHeight="1">
      <c r="A57" t="inlineStr">
        <is>
          <t>S 1062-2023</t>
        </is>
      </c>
      <c r="B57" t="inlineStr">
        <is>
          <t>samrådsanmälan</t>
        </is>
      </c>
      <c r="C57" t="inlineStr">
        <is>
          <t>Annan skogsbruksåtgärd</t>
        </is>
      </c>
      <c r="D57" s="1" t="n">
        <v>45011</v>
      </c>
      <c r="E57" s="1" t="n">
        <v>46313</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46313</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46313</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46313</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46313</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46313</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46313</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46313</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46313</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46313</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1822-2024</t>
        </is>
      </c>
      <c r="B67" t="inlineStr">
        <is>
          <t>avverkningsanmälan</t>
        </is>
      </c>
      <c r="C67" t="inlineStr">
        <is>
          <t>Föryngringsavverkning</t>
        </is>
      </c>
      <c r="D67" s="1" t="n">
        <v>45307</v>
      </c>
      <c r="E67" s="1" t="n">
        <v>46313</v>
      </c>
      <c r="F67" t="inlineStr">
        <is>
          <t>VÄSTRA GÖTALANDS LÄN</t>
        </is>
      </c>
      <c r="G67" t="inlineStr">
        <is>
          <t>ALE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46313</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46313</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46313</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1960-2024</t>
        </is>
      </c>
      <c r="B71" t="inlineStr">
        <is>
          <t>avverkningsanmälan</t>
        </is>
      </c>
      <c r="C71" t="inlineStr">
        <is>
          <t>Föryngringsavverkning</t>
        </is>
      </c>
      <c r="D71" s="1" t="n">
        <v>45308</v>
      </c>
      <c r="E71" s="1" t="n">
        <v>46313</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46313</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46313</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51564-2023</t>
        </is>
      </c>
      <c r="B74" t="inlineStr">
        <is>
          <t>avverkningsanmälan</t>
        </is>
      </c>
      <c r="C74" t="inlineStr">
        <is>
          <t>Föryngringsavverkning</t>
        </is>
      </c>
      <c r="D74" s="1" t="n">
        <v>45222</v>
      </c>
      <c r="E74" s="1" t="n">
        <v>46313</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26157-2023</t>
        </is>
      </c>
      <c r="B75" t="inlineStr">
        <is>
          <t>avverkningsanmälan</t>
        </is>
      </c>
      <c r="C75" t="inlineStr">
        <is>
          <t>Föryngringsavverkning</t>
        </is>
      </c>
      <c r="D75" s="1" t="n">
        <v>45091</v>
      </c>
      <c r="E75" s="1" t="n">
        <v>46313</v>
      </c>
      <c r="F75" t="inlineStr">
        <is>
          <t>VÄSTRA GÖTALANDS LÄN</t>
        </is>
      </c>
      <c r="G75" t="inlineStr">
        <is>
          <t>ALE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47087-2023</t>
        </is>
      </c>
      <c r="B76" t="inlineStr">
        <is>
          <t>avverkningsanmälan</t>
        </is>
      </c>
      <c r="C76" t="inlineStr">
        <is>
          <t>Föryngringsavverkning</t>
        </is>
      </c>
      <c r="D76" s="1" t="n">
        <v>45196</v>
      </c>
      <c r="E76" s="1" t="n">
        <v>46313</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46313</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5875-2023</t>
        </is>
      </c>
      <c r="B78" t="inlineStr">
        <is>
          <t>avverkningsanmälan</t>
        </is>
      </c>
      <c r="C78" t="inlineStr">
        <is>
          <t>Föryngringsavverkning</t>
        </is>
      </c>
      <c r="D78" s="1" t="n">
        <v>44963</v>
      </c>
      <c r="E78" s="1" t="n">
        <v>46313</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64199-2021</t>
        </is>
      </c>
      <c r="B79" t="inlineStr">
        <is>
          <t>avverkningsanmälan</t>
        </is>
      </c>
      <c r="C79" t="inlineStr">
        <is>
          <t>Föryngringsavverkning</t>
        </is>
      </c>
      <c r="D79" s="1" t="n">
        <v>44510</v>
      </c>
      <c r="E79" s="1" t="n">
        <v>46313</v>
      </c>
      <c r="F79" t="inlineStr">
        <is>
          <t>VÄSTRA GÖTALANDS LÄN</t>
        </is>
      </c>
      <c r="G79" t="inlineStr">
        <is>
          <t>ALE</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40074-2025</t>
        </is>
      </c>
      <c r="B80" t="inlineStr">
        <is>
          <t>avverkningsanmälan</t>
        </is>
      </c>
      <c r="C80" t="inlineStr">
        <is>
          <t>Föryngringsavverkning</t>
        </is>
      </c>
      <c r="D80" s="1" t="n">
        <v>45894</v>
      </c>
      <c r="E80" s="1" t="n">
        <v>46313</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62828-2025</t>
        </is>
      </c>
      <c r="B81" t="inlineStr">
        <is>
          <t>avverkningsanmälan</t>
        </is>
      </c>
      <c r="C81" t="inlineStr">
        <is>
          <t>Föryngringsavverkning</t>
        </is>
      </c>
      <c r="D81" s="1" t="n">
        <v>46008</v>
      </c>
      <c r="E81" s="1" t="n">
        <v>46313</v>
      </c>
      <c r="F81" t="inlineStr">
        <is>
          <t>VÄSTRA GÖTALANDS LÄN</t>
        </is>
      </c>
      <c r="G81" t="inlineStr">
        <is>
          <t>ALE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67160-2021</t>
        </is>
      </c>
      <c r="B82" t="inlineStr">
        <is>
          <t>avverkningsanmälan</t>
        </is>
      </c>
      <c r="C82" t="inlineStr">
        <is>
          <t>Föryngringsavverkning</t>
        </is>
      </c>
      <c r="D82" s="1" t="n">
        <v>44523</v>
      </c>
      <c r="E82" s="1" t="n">
        <v>46313</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25840-2025</t>
        </is>
      </c>
      <c r="B83" t="inlineStr">
        <is>
          <t>avverkningsanmälan</t>
        </is>
      </c>
      <c r="C83" t="inlineStr">
        <is>
          <t>Avverkning för annat ändamål</t>
        </is>
      </c>
      <c r="D83" s="1" t="n">
        <v>45804</v>
      </c>
      <c r="E83" s="1" t="n">
        <v>46313</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46313</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46313</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46313</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46313</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46313</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46313</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46313</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46313</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17044-2025</t>
        </is>
      </c>
      <c r="B92" t="inlineStr">
        <is>
          <t>avverkningsanmälan</t>
        </is>
      </c>
      <c r="C92" t="inlineStr">
        <is>
          <t>Föryngringsavverkning</t>
        </is>
      </c>
      <c r="D92" s="1" t="n">
        <v>45755</v>
      </c>
      <c r="E92" s="1" t="n">
        <v>46313</v>
      </c>
      <c r="F92" t="inlineStr">
        <is>
          <t>VÄSTRA GÖTALANDS LÄN</t>
        </is>
      </c>
      <c r="G92" t="inlineStr">
        <is>
          <t>ALE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22420-2026</t>
        </is>
      </c>
      <c r="B93" t="inlineStr">
        <is>
          <t>avverkningsanmälan</t>
        </is>
      </c>
      <c r="C93" t="inlineStr">
        <is>
          <t>Föryngringsavverkning</t>
        </is>
      </c>
      <c r="D93" s="1" t="n">
        <v>46154</v>
      </c>
      <c r="E93" s="1" t="n">
        <v>46313</v>
      </c>
      <c r="F93" t="inlineStr">
        <is>
          <t>VÄSTRA GÖTALANDS LÄN</t>
        </is>
      </c>
      <c r="G93" t="inlineStr">
        <is>
          <t>ALE</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46313</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46313</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46313</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7892-2024</t>
        </is>
      </c>
      <c r="B97" t="inlineStr">
        <is>
          <t>avverkningsanmälan</t>
        </is>
      </c>
      <c r="C97" t="inlineStr">
        <is>
          <t>Föryngringsavverkning</t>
        </is>
      </c>
      <c r="D97" s="1" t="n">
        <v>45350</v>
      </c>
      <c r="E97" s="1" t="n">
        <v>46313</v>
      </c>
      <c r="F97" t="inlineStr">
        <is>
          <t>VÄSTRA GÖTALANDS LÄN</t>
        </is>
      </c>
      <c r="G97" t="inlineStr">
        <is>
          <t>ALE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56905-2025</t>
        </is>
      </c>
      <c r="B98" t="inlineStr">
        <is>
          <t>avverkningsanmälan</t>
        </is>
      </c>
      <c r="C98" t="inlineStr">
        <is>
          <t>Föryngringsavverkning</t>
        </is>
      </c>
      <c r="D98" s="1" t="n">
        <v>45978</v>
      </c>
      <c r="E98" s="1" t="n">
        <v>46313</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4444-2024</t>
        </is>
      </c>
      <c r="B99" t="inlineStr">
        <is>
          <t>avverkningsanmälan</t>
        </is>
      </c>
      <c r="C99" t="inlineStr">
        <is>
          <t>Föryngringsavverkning</t>
        </is>
      </c>
      <c r="D99" s="1" t="n">
        <v>45327</v>
      </c>
      <c r="E99" s="1" t="n">
        <v>46313</v>
      </c>
      <c r="F99" t="inlineStr">
        <is>
          <t>VÄSTRA GÖTALANDS LÄN</t>
        </is>
      </c>
      <c r="G99" t="inlineStr">
        <is>
          <t>ALE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46313</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46313</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72801-2021</t>
        </is>
      </c>
      <c r="B102" t="inlineStr">
        <is>
          <t>avverkningsanmälan</t>
        </is>
      </c>
      <c r="C102" t="inlineStr">
        <is>
          <t>Föryngringsavverkning</t>
        </is>
      </c>
      <c r="D102" s="1" t="n">
        <v>44546</v>
      </c>
      <c r="E102" s="1" t="n">
        <v>46313</v>
      </c>
      <c r="F102" t="inlineStr">
        <is>
          <t>VÄSTRA GÖTALANDS LÄN</t>
        </is>
      </c>
      <c r="G102" t="inlineStr">
        <is>
          <t>ALE</t>
        </is>
      </c>
      <c r="H102" t="inlineStr">
        <is>
          <t>Naturvårdsverket</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46313</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26083-2023</t>
        </is>
      </c>
      <c r="B104" t="inlineStr">
        <is>
          <t>avverkningsanmälan</t>
        </is>
      </c>
      <c r="C104" t="inlineStr">
        <is>
          <t>Föryngringsavverkning</t>
        </is>
      </c>
      <c r="D104" s="1" t="n">
        <v>45091</v>
      </c>
      <c r="E104" s="1" t="n">
        <v>46313</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46313</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61744-2025</t>
        </is>
      </c>
      <c r="B106" t="inlineStr">
        <is>
          <t>avverkningsanmälan</t>
        </is>
      </c>
      <c r="C106" t="inlineStr">
        <is>
          <t>Föryngringsavverkning</t>
        </is>
      </c>
      <c r="D106" s="1" t="n">
        <v>46002</v>
      </c>
      <c r="E106" s="1" t="n">
        <v>46313</v>
      </c>
      <c r="F106" t="inlineStr">
        <is>
          <t>VÄSTRA GÖTALANDS LÄN</t>
        </is>
      </c>
      <c r="G106" t="inlineStr">
        <is>
          <t>ALE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16344-2023</t>
        </is>
      </c>
      <c r="B107" t="inlineStr">
        <is>
          <t>avverkningsanmälan</t>
        </is>
      </c>
      <c r="C107" t="inlineStr">
        <is>
          <t>Föryngringsavverkning</t>
        </is>
      </c>
      <c r="D107" s="1" t="n">
        <v>45028</v>
      </c>
      <c r="E107" s="1" t="n">
        <v>46313</v>
      </c>
      <c r="F107" t="inlineStr">
        <is>
          <t>VÄSTRA GÖTALANDS LÄN</t>
        </is>
      </c>
      <c r="G107" t="inlineStr">
        <is>
          <t>ALE</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46313</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47728-2025</t>
        </is>
      </c>
      <c r="B109" t="inlineStr">
        <is>
          <t>avverkningsanmälan</t>
        </is>
      </c>
      <c r="C109" t="inlineStr">
        <is>
          <t>Föryngringsavverkning</t>
        </is>
      </c>
      <c r="D109" s="1" t="n">
        <v>45931</v>
      </c>
      <c r="E109" s="1" t="n">
        <v>46313</v>
      </c>
      <c r="F109" t="inlineStr">
        <is>
          <t>VÄSTRA GÖTALANDS LÄN</t>
        </is>
      </c>
      <c r="G109" t="inlineStr">
        <is>
          <t>ALE</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20067-2023</t>
        </is>
      </c>
      <c r="B110" t="inlineStr">
        <is>
          <t>avverkningsanmälan</t>
        </is>
      </c>
      <c r="C110" t="inlineStr">
        <is>
          <t>Föryngringsavverkning</t>
        </is>
      </c>
      <c r="D110" s="1" t="n">
        <v>45054</v>
      </c>
      <c r="E110" s="1" t="n">
        <v>46313</v>
      </c>
      <c r="F110" t="inlineStr">
        <is>
          <t>VÄSTRA GÖTALANDS LÄN</t>
        </is>
      </c>
      <c r="G110" t="inlineStr">
        <is>
          <t>ALE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46313</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46313</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46313</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46313</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8110-2026</t>
        </is>
      </c>
      <c r="B115" t="inlineStr">
        <is>
          <t>avverkningsanmälan</t>
        </is>
      </c>
      <c r="C115" t="inlineStr">
        <is>
          <t>Föryngringsavverkning</t>
        </is>
      </c>
      <c r="D115" s="1" t="n">
        <v>46062</v>
      </c>
      <c r="E115" s="1" t="n">
        <v>46313</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48257-2022</t>
        </is>
      </c>
      <c r="B116" t="inlineStr">
        <is>
          <t>avverkningsanmälan</t>
        </is>
      </c>
      <c r="C116" t="inlineStr">
        <is>
          <t>Föryngringsavverkning</t>
        </is>
      </c>
      <c r="D116" s="1" t="n">
        <v>44858</v>
      </c>
      <c r="E116" s="1" t="n">
        <v>46313</v>
      </c>
      <c r="F116" t="inlineStr">
        <is>
          <t>VÄSTRA GÖTALANDS LÄN</t>
        </is>
      </c>
      <c r="G116" t="inlineStr">
        <is>
          <t>ALE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46313</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41309-2024</t>
        </is>
      </c>
      <c r="B118" t="inlineStr">
        <is>
          <t>avverkningsanmälan</t>
        </is>
      </c>
      <c r="C118" t="inlineStr">
        <is>
          <t>Föryngringsavverkning</t>
        </is>
      </c>
      <c r="D118" s="1" t="n">
        <v>45559</v>
      </c>
      <c r="E118" s="1" t="n">
        <v>46313</v>
      </c>
      <c r="F118" t="inlineStr">
        <is>
          <t>VÄSTRA GÖTALANDS LÄN</t>
        </is>
      </c>
      <c r="G118" t="inlineStr">
        <is>
          <t>ALE</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7807-2023</t>
        </is>
      </c>
      <c r="B119" t="inlineStr">
        <is>
          <t>avverkningsanmälan</t>
        </is>
      </c>
      <c r="C119" t="inlineStr">
        <is>
          <t>Föryngringsavverkning</t>
        </is>
      </c>
      <c r="D119" s="1" t="n">
        <v>44973</v>
      </c>
      <c r="E119" s="1" t="n">
        <v>46313</v>
      </c>
      <c r="F119" t="inlineStr">
        <is>
          <t>VÄSTRA GÖTALANDS LÄN</t>
        </is>
      </c>
      <c r="G119" t="inlineStr">
        <is>
          <t>ALE</t>
        </is>
      </c>
      <c r="I119" t="n">
        <v>10.5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28023-2026</t>
        </is>
      </c>
      <c r="B120" t="inlineStr">
        <is>
          <t>avverkningsanmälan</t>
        </is>
      </c>
      <c r="C120" t="inlineStr">
        <is>
          <t>Föryngringsavverkning</t>
        </is>
      </c>
      <c r="D120" s="1" t="n">
        <v>46195</v>
      </c>
      <c r="E120" s="1" t="n">
        <v>46313</v>
      </c>
      <c r="F120" t="inlineStr">
        <is>
          <t>VÄSTRA GÖTALANDS LÄN</t>
        </is>
      </c>
      <c r="G120" t="inlineStr">
        <is>
          <t>ALE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28028-2026</t>
        </is>
      </c>
      <c r="B121" t="inlineStr">
        <is>
          <t>avverkningsanmälan</t>
        </is>
      </c>
      <c r="C121" t="inlineStr">
        <is>
          <t>Föryngringsavverkning</t>
        </is>
      </c>
      <c r="D121" s="1" t="n">
        <v>46195</v>
      </c>
      <c r="E121" s="1" t="n">
        <v>46313</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17199-2026</t>
        </is>
      </c>
      <c r="B122" t="inlineStr">
        <is>
          <t>avverkningsanmälan</t>
        </is>
      </c>
      <c r="C122" t="inlineStr">
        <is>
          <t>Föryngringsavverkning</t>
        </is>
      </c>
      <c r="D122" s="1" t="n">
        <v>46118</v>
      </c>
      <c r="E122" s="1" t="n">
        <v>46313</v>
      </c>
      <c r="F122" t="inlineStr">
        <is>
          <t>VÄSTRA GÖTALANDS LÄN</t>
        </is>
      </c>
      <c r="G122" t="inlineStr">
        <is>
          <t>ALE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35959-2022</t>
        </is>
      </c>
      <c r="B123" t="inlineStr">
        <is>
          <t>avverkningsanmälan</t>
        </is>
      </c>
      <c r="C123" t="inlineStr">
        <is>
          <t>Föryngringsavverkning</t>
        </is>
      </c>
      <c r="D123" s="1" t="n">
        <v>44802</v>
      </c>
      <c r="E123" s="1" t="n">
        <v>46313</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19613-2026</t>
        </is>
      </c>
      <c r="B124" t="inlineStr">
        <is>
          <t>avverkningsanmälan</t>
        </is>
      </c>
      <c r="C124" t="inlineStr">
        <is>
          <t>Föryngringsavverkning</t>
        </is>
      </c>
      <c r="D124" s="1" t="n">
        <v>46134</v>
      </c>
      <c r="E124" s="1" t="n">
        <v>46313</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46313</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46313</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14458-2024</t>
        </is>
      </c>
      <c r="B127" t="inlineStr">
        <is>
          <t>avverkningsanmälan</t>
        </is>
      </c>
      <c r="C127" t="inlineStr">
        <is>
          <t>Avverkning för annat ändamål</t>
        </is>
      </c>
      <c r="D127" s="1" t="n">
        <v>45394</v>
      </c>
      <c r="E127" s="1" t="n">
        <v>46313</v>
      </c>
      <c r="F127" t="inlineStr">
        <is>
          <t>VÄSTRA GÖTALANDS LÄN</t>
        </is>
      </c>
      <c r="G127" t="inlineStr">
        <is>
          <t>ALE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42446-2023</t>
        </is>
      </c>
      <c r="B128" t="inlineStr">
        <is>
          <t>avverkningsanmälan</t>
        </is>
      </c>
      <c r="C128" t="inlineStr">
        <is>
          <t>Föryngringsavverkning</t>
        </is>
      </c>
      <c r="D128" s="1" t="n">
        <v>45180</v>
      </c>
      <c r="E128" s="1" t="n">
        <v>46313</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46313</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46313</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46313</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46313</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46313</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46313</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46313</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39467-2026</t>
        </is>
      </c>
      <c r="B136" t="inlineStr">
        <is>
          <t>avverkningsanmälan</t>
        </is>
      </c>
      <c r="C136" t="inlineStr">
        <is>
          <t>Avverkning för annat ändamål</t>
        </is>
      </c>
      <c r="D136" s="1" t="n">
        <v>46288</v>
      </c>
      <c r="E136" s="1" t="n">
        <v>46313</v>
      </c>
      <c r="F136" t="inlineStr">
        <is>
          <t>VÄSTRA GÖTALANDS LÄN</t>
        </is>
      </c>
      <c r="G136" t="inlineStr">
        <is>
          <t>ALE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46313</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46313</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46313</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46313</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40647-2026</t>
        </is>
      </c>
      <c r="B141" t="inlineStr">
        <is>
          <t>avverkningsanmälan</t>
        </is>
      </c>
      <c r="C141" t="inlineStr">
        <is>
          <t>Avverkning för annat ändamål</t>
        </is>
      </c>
      <c r="D141" s="1" t="n">
        <v>46294</v>
      </c>
      <c r="E141" s="1" t="n">
        <v>46313</v>
      </c>
      <c r="F141" t="inlineStr">
        <is>
          <t>VÄSTRA GÖTALANDS LÄN</t>
        </is>
      </c>
      <c r="G141" t="inlineStr">
        <is>
          <t>ALE</t>
        </is>
      </c>
      <c r="H141" t="inlineStr">
        <is>
          <t>Kyrkan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46313</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4971-2024</t>
        </is>
      </c>
      <c r="B143" t="inlineStr">
        <is>
          <t>avverkningsanmälan</t>
        </is>
      </c>
      <c r="C143" t="inlineStr">
        <is>
          <t>Föryngringsavverkning</t>
        </is>
      </c>
      <c r="D143" s="1" t="n">
        <v>45329</v>
      </c>
      <c r="E143" s="1" t="n">
        <v>46313</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22946-2025</t>
        </is>
      </c>
      <c r="B144" t="inlineStr">
        <is>
          <t>avverkningsanmälan</t>
        </is>
      </c>
      <c r="C144" t="inlineStr">
        <is>
          <t>Föryngringsavverkning</t>
        </is>
      </c>
      <c r="D144" s="1" t="n">
        <v>45790</v>
      </c>
      <c r="E144" s="1" t="n">
        <v>46313</v>
      </c>
      <c r="F144" t="inlineStr">
        <is>
          <t>VÄSTRA GÖTALANDS LÄN</t>
        </is>
      </c>
      <c r="G144" t="inlineStr">
        <is>
          <t>ALE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46313</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46313</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13903-2025</t>
        </is>
      </c>
      <c r="B147" t="inlineStr">
        <is>
          <t>avverkningsanmälan</t>
        </is>
      </c>
      <c r="C147" t="inlineStr">
        <is>
          <t>Föryngringsavverkning</t>
        </is>
      </c>
      <c r="D147" s="1" t="n">
        <v>45737</v>
      </c>
      <c r="E147" s="1" t="n">
        <v>46313</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31409-2025</t>
        </is>
      </c>
      <c r="B148" t="inlineStr">
        <is>
          <t>avverkningsanmälan</t>
        </is>
      </c>
      <c r="C148" t="inlineStr">
        <is>
          <t>Föryngringsavverkning</t>
        </is>
      </c>
      <c r="D148" s="1" t="n">
        <v>45833</v>
      </c>
      <c r="E148" s="1" t="n">
        <v>46313</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46313</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31533-2025</t>
        </is>
      </c>
      <c r="B150" t="inlineStr">
        <is>
          <t>avverkningsanmälan</t>
        </is>
      </c>
      <c r="C150" t="inlineStr">
        <is>
          <t>Föryngringsavverkning</t>
        </is>
      </c>
      <c r="D150" s="1" t="n">
        <v>45833</v>
      </c>
      <c r="E150" s="1" t="n">
        <v>46313</v>
      </c>
      <c r="F150" t="inlineStr">
        <is>
          <t>VÄSTRA GÖTALANDS LÄN</t>
        </is>
      </c>
      <c r="G150" t="inlineStr">
        <is>
          <t>ALE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46313</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46313</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46313</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2026-10-18T08:03:33Z</dcterms:created>
  <dcterms:modified xmlns:dcterms="http://purl.org/dc/terms/" xmlns:xsi="http://www.w3.org/2001/XMLSchema-instance" xsi:type="dcterms:W3CDTF">2026-10-18T08:03:33Z</dcterms:modified>
</cp:coreProperties>
</file>