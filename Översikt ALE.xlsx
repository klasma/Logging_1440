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45923</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45923</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45923</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45923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45923</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37005-2025</t>
        </is>
      </c>
      <c r="B11" s="1" t="n">
        <v>45874.69311342593</v>
      </c>
      <c r="C11" s="1" t="n">
        <v>45923</v>
      </c>
      <c r="D11" t="inlineStr">
        <is>
          <t>VÄSTRA GÖTALANDS LÄN</t>
        </is>
      </c>
      <c r="E11" t="inlineStr">
        <is>
          <t>ALE</t>
        </is>
      </c>
      <c r="G11" t="n">
        <v>1.9</v>
      </c>
      <c r="H11" t="n">
        <v>4</v>
      </c>
      <c r="I11" t="n">
        <v>3</v>
      </c>
      <c r="J11" t="n">
        <v>1</v>
      </c>
      <c r="K11" t="n">
        <v>0</v>
      </c>
      <c r="L11" t="n">
        <v>0</v>
      </c>
      <c r="M11" t="n">
        <v>1</v>
      </c>
      <c r="N11" t="n">
        <v>0</v>
      </c>
      <c r="O11" t="n">
        <v>2</v>
      </c>
      <c r="P11" t="n">
        <v>1</v>
      </c>
      <c r="Q11" t="n">
        <v>8</v>
      </c>
      <c r="R11" s="2" t="inlineStr">
        <is>
          <t>Skogsalm
Spillkråka
Blomkålssvamp
Grovticka
Västlig hakmossa
Kungsfågel
Vanlig groda
Revlummer</t>
        </is>
      </c>
      <c r="S11">
        <f>HYPERLINK("https://klasma.github.io/Logging_1440/artfynd/A 37005-2025 artfynd.xlsx", "A 37005-2025")</f>
        <v/>
      </c>
      <c r="T11">
        <f>HYPERLINK("https://klasma.github.io/Logging_1440/kartor/A 37005-2025 karta.png", "A 37005-2025")</f>
        <v/>
      </c>
      <c r="V11">
        <f>HYPERLINK("https://klasma.github.io/Logging_1440/klagomål/A 37005-2025 FSC-klagomål.docx", "A 37005-2025")</f>
        <v/>
      </c>
      <c r="W11">
        <f>HYPERLINK("https://klasma.github.io/Logging_1440/klagomålsmail/A 37005-2025 FSC-klagomål mail.docx", "A 37005-2025")</f>
        <v/>
      </c>
      <c r="X11">
        <f>HYPERLINK("https://klasma.github.io/Logging_1440/tillsyn/A 37005-2025 tillsynsbegäran.docx", "A 37005-2025")</f>
        <v/>
      </c>
      <c r="Y11">
        <f>HYPERLINK("https://klasma.github.io/Logging_1440/tillsynsmail/A 37005-2025 tillsynsbegäran mail.docx", "A 37005-2025")</f>
        <v/>
      </c>
      <c r="Z11">
        <f>HYPERLINK("https://klasma.github.io/Logging_1440/fåglar/A 37005-2025 prioriterade fågelarter.docx", "A 37005-2025")</f>
        <v/>
      </c>
    </row>
    <row r="12" ht="15" customHeight="1">
      <c r="A12" t="inlineStr">
        <is>
          <t>A 32849-2023</t>
        </is>
      </c>
      <c r="B12" s="1" t="n">
        <v>45124</v>
      </c>
      <c r="C12" s="1" t="n">
        <v>45923</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22637-2025</t>
        </is>
      </c>
      <c r="B13" s="1" t="n">
        <v>45789</v>
      </c>
      <c r="C13" s="1" t="n">
        <v>45923</v>
      </c>
      <c r="D13" t="inlineStr">
        <is>
          <t>VÄSTRA GÖTALANDS LÄN</t>
        </is>
      </c>
      <c r="E13" t="inlineStr">
        <is>
          <t>ALE</t>
        </is>
      </c>
      <c r="G13" t="n">
        <v>2.3</v>
      </c>
      <c r="H13" t="n">
        <v>1</v>
      </c>
      <c r="I13" t="n">
        <v>5</v>
      </c>
      <c r="J13" t="n">
        <v>1</v>
      </c>
      <c r="K13" t="n">
        <v>0</v>
      </c>
      <c r="L13" t="n">
        <v>1</v>
      </c>
      <c r="M13" t="n">
        <v>0</v>
      </c>
      <c r="N13" t="n">
        <v>0</v>
      </c>
      <c r="O13" t="n">
        <v>2</v>
      </c>
      <c r="P13" t="n">
        <v>1</v>
      </c>
      <c r="Q13" t="n">
        <v>7</v>
      </c>
      <c r="R13" s="2" t="inlineStr">
        <is>
          <t>Ask
Spillkråka
Platt fjädermossa
Skogshakmossa
Stor revmossa
Tibast
Trubbfjädermossa</t>
        </is>
      </c>
      <c r="S13">
        <f>HYPERLINK("https://klasma.github.io/Logging_1440/artfynd/A 22637-2025 artfynd.xlsx", "A 22637-2025")</f>
        <v/>
      </c>
      <c r="T13">
        <f>HYPERLINK("https://klasma.github.io/Logging_1440/kartor/A 22637-2025 karta.png", "A 22637-2025")</f>
        <v/>
      </c>
      <c r="V13">
        <f>HYPERLINK("https://klasma.github.io/Logging_1440/klagomål/A 22637-2025 FSC-klagomål.docx", "A 22637-2025")</f>
        <v/>
      </c>
      <c r="W13">
        <f>HYPERLINK("https://klasma.github.io/Logging_1440/klagomålsmail/A 22637-2025 FSC-klagomål mail.docx", "A 22637-2025")</f>
        <v/>
      </c>
      <c r="X13">
        <f>HYPERLINK("https://klasma.github.io/Logging_1440/tillsyn/A 22637-2025 tillsynsbegäran.docx", "A 22637-2025")</f>
        <v/>
      </c>
      <c r="Y13">
        <f>HYPERLINK("https://klasma.github.io/Logging_1440/tillsynsmail/A 22637-2025 tillsynsbegäran mail.docx", "A 22637-2025")</f>
        <v/>
      </c>
      <c r="Z13">
        <f>HYPERLINK("https://klasma.github.io/Logging_1440/fåglar/A 22637-2025 prioriterade fågelarter.docx", "A 22637-2025")</f>
        <v/>
      </c>
    </row>
    <row r="14" ht="15" customHeight="1">
      <c r="A14" t="inlineStr">
        <is>
          <t>A 17566-2024</t>
        </is>
      </c>
      <c r="B14" s="1" t="n">
        <v>45415</v>
      </c>
      <c r="C14" s="1" t="n">
        <v>45923</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45923</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563-2024</t>
        </is>
      </c>
      <c r="B16" s="1" t="n">
        <v>45299</v>
      </c>
      <c r="C16" s="1" t="n">
        <v>45923</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26491-2024</t>
        </is>
      </c>
      <c r="B17" s="1" t="n">
        <v>45469</v>
      </c>
      <c r="C17" s="1" t="n">
        <v>45923</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7903-2024</t>
        </is>
      </c>
      <c r="B18" s="1" t="n">
        <v>45350</v>
      </c>
      <c r="C18" s="1" t="n">
        <v>45923</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19934-2025</t>
        </is>
      </c>
      <c r="B19" s="1" t="n">
        <v>45771</v>
      </c>
      <c r="C19" s="1" t="n">
        <v>45923</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40059-2025</t>
        </is>
      </c>
      <c r="B20" s="1" t="n">
        <v>45894.42600694444</v>
      </c>
      <c r="C20" s="1" t="n">
        <v>45923</v>
      </c>
      <c r="D20" t="inlineStr">
        <is>
          <t>VÄSTRA GÖTALANDS LÄN</t>
        </is>
      </c>
      <c r="E20" t="inlineStr">
        <is>
          <t>ALE</t>
        </is>
      </c>
      <c r="G20" t="n">
        <v>0.9</v>
      </c>
      <c r="H20" t="n">
        <v>2</v>
      </c>
      <c r="I20" t="n">
        <v>1</v>
      </c>
      <c r="J20" t="n">
        <v>1</v>
      </c>
      <c r="K20" t="n">
        <v>0</v>
      </c>
      <c r="L20" t="n">
        <v>0</v>
      </c>
      <c r="M20" t="n">
        <v>0</v>
      </c>
      <c r="N20" t="n">
        <v>0</v>
      </c>
      <c r="O20" t="n">
        <v>1</v>
      </c>
      <c r="P20" t="n">
        <v>0</v>
      </c>
      <c r="Q20" t="n">
        <v>3</v>
      </c>
      <c r="R20" s="2" t="inlineStr">
        <is>
          <t>Spillkråka
Blåmossa
Tjäder</t>
        </is>
      </c>
      <c r="S20">
        <f>HYPERLINK("https://klasma.github.io/Logging_1440/artfynd/A 40059-2025 artfynd.xlsx", "A 40059-2025")</f>
        <v/>
      </c>
      <c r="T20">
        <f>HYPERLINK("https://klasma.github.io/Logging_1440/kartor/A 40059-2025 karta.png", "A 40059-2025")</f>
        <v/>
      </c>
      <c r="V20">
        <f>HYPERLINK("https://klasma.github.io/Logging_1440/klagomål/A 40059-2025 FSC-klagomål.docx", "A 40059-2025")</f>
        <v/>
      </c>
      <c r="W20">
        <f>HYPERLINK("https://klasma.github.io/Logging_1440/klagomålsmail/A 40059-2025 FSC-klagomål mail.docx", "A 40059-2025")</f>
        <v/>
      </c>
      <c r="X20">
        <f>HYPERLINK("https://klasma.github.io/Logging_1440/tillsyn/A 40059-2025 tillsynsbegäran.docx", "A 40059-2025")</f>
        <v/>
      </c>
      <c r="Y20">
        <f>HYPERLINK("https://klasma.github.io/Logging_1440/tillsynsmail/A 40059-2025 tillsynsbegäran mail.docx", "A 40059-2025")</f>
        <v/>
      </c>
      <c r="Z20">
        <f>HYPERLINK("https://klasma.github.io/Logging_1440/fåglar/A 40059-2025 prioriterade fågelarter.docx", "A 40059-2025")</f>
        <v/>
      </c>
    </row>
    <row r="21" ht="15" customHeight="1">
      <c r="A21" t="inlineStr">
        <is>
          <t>A 58954-2022</t>
        </is>
      </c>
      <c r="B21" s="1" t="n">
        <v>44903</v>
      </c>
      <c r="C21" s="1" t="n">
        <v>45923</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16534-2025</t>
        </is>
      </c>
      <c r="B22" s="1" t="n">
        <v>45751.65315972222</v>
      </c>
      <c r="C22" s="1" t="n">
        <v>45923</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20586-2023</t>
        </is>
      </c>
      <c r="B23" s="1" t="n">
        <v>45057</v>
      </c>
      <c r="C23" s="1" t="n">
        <v>45923</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380-2025</t>
        </is>
      </c>
      <c r="B24" s="1" t="n">
        <v>45662.43456018518</v>
      </c>
      <c r="C24" s="1" t="n">
        <v>45923</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63569-2023</t>
        </is>
      </c>
      <c r="B25" s="1" t="n">
        <v>45275</v>
      </c>
      <c r="C25" s="1" t="n">
        <v>45923</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8955-2025</t>
        </is>
      </c>
      <c r="B26" s="1" t="n">
        <v>45713.46528935185</v>
      </c>
      <c r="C26" s="1" t="n">
        <v>45923</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45923</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2270-2025</t>
        </is>
      </c>
      <c r="B28" s="1" t="n">
        <v>45673.54403935185</v>
      </c>
      <c r="C28" s="1" t="n">
        <v>45923</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45923</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45923</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12982-2024</t>
        </is>
      </c>
      <c r="B31" s="1" t="n">
        <v>45385.53569444444</v>
      </c>
      <c r="C31" s="1" t="n">
        <v>45923</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26493-2024</t>
        </is>
      </c>
      <c r="B32" s="1" t="n">
        <v>45469</v>
      </c>
      <c r="C32" s="1" t="n">
        <v>45923</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12084-2025</t>
        </is>
      </c>
      <c r="B33" s="1" t="n">
        <v>45728.95387731482</v>
      </c>
      <c r="C33" s="1" t="n">
        <v>45923</v>
      </c>
      <c r="D33" t="inlineStr">
        <is>
          <t>VÄSTRA GÖTALANDS LÄN</t>
        </is>
      </c>
      <c r="E33" t="inlineStr">
        <is>
          <t>ALE</t>
        </is>
      </c>
      <c r="G33" t="n">
        <v>2.4</v>
      </c>
      <c r="H33" t="n">
        <v>1</v>
      </c>
      <c r="I33" t="n">
        <v>0</v>
      </c>
      <c r="J33" t="n">
        <v>1</v>
      </c>
      <c r="K33" t="n">
        <v>0</v>
      </c>
      <c r="L33" t="n">
        <v>0</v>
      </c>
      <c r="M33" t="n">
        <v>0</v>
      </c>
      <c r="N33" t="n">
        <v>0</v>
      </c>
      <c r="O33" t="n">
        <v>1</v>
      </c>
      <c r="P33" t="n">
        <v>0</v>
      </c>
      <c r="Q33" t="n">
        <v>1</v>
      </c>
      <c r="R33" s="2" t="inlineStr">
        <is>
          <t>Spillkråka</t>
        </is>
      </c>
      <c r="S33">
        <f>HYPERLINK("https://klasma.github.io/Logging_1440/artfynd/A 12084-2025 artfynd.xlsx", "A 12084-2025")</f>
        <v/>
      </c>
      <c r="T33">
        <f>HYPERLINK("https://klasma.github.io/Logging_1440/kartor/A 12084-2025 karta.png", "A 12084-2025")</f>
        <v/>
      </c>
      <c r="V33">
        <f>HYPERLINK("https://klasma.github.io/Logging_1440/klagomål/A 12084-2025 FSC-klagomål.docx", "A 12084-2025")</f>
        <v/>
      </c>
      <c r="W33">
        <f>HYPERLINK("https://klasma.github.io/Logging_1440/klagomålsmail/A 12084-2025 FSC-klagomål mail.docx", "A 12084-2025")</f>
        <v/>
      </c>
      <c r="X33">
        <f>HYPERLINK("https://klasma.github.io/Logging_1440/tillsyn/A 12084-2025 tillsynsbegäran.docx", "A 12084-2025")</f>
        <v/>
      </c>
      <c r="Y33">
        <f>HYPERLINK("https://klasma.github.io/Logging_1440/tillsynsmail/A 12084-2025 tillsynsbegäran mail.docx", "A 12084-2025")</f>
        <v/>
      </c>
      <c r="Z33">
        <f>HYPERLINK("https://klasma.github.io/Logging_1440/fåglar/A 12084-2025 prioriterade fågelarter.docx", "A 12084-2025")</f>
        <v/>
      </c>
    </row>
    <row r="34" ht="15" customHeight="1">
      <c r="A34" t="inlineStr">
        <is>
          <t>A 26677-2025</t>
        </is>
      </c>
      <c r="B34" s="1" t="n">
        <v>45810.42446759259</v>
      </c>
      <c r="C34" s="1" t="n">
        <v>45923</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45923</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21281-2021</t>
        </is>
      </c>
      <c r="B36" s="1" t="n">
        <v>44320.61850694445</v>
      </c>
      <c r="C36" s="1" t="n">
        <v>45923</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45923</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45923</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45923</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45923</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45923</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45923</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45923</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45923</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45923</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45923</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45923</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45923</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45923</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45923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45923</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3293-2021</t>
        </is>
      </c>
      <c r="B52" s="1" t="n">
        <v>44217</v>
      </c>
      <c r="C52" s="1" t="n">
        <v>45923</v>
      </c>
      <c r="D52" t="inlineStr">
        <is>
          <t>VÄSTRA GÖTALANDS LÄN</t>
        </is>
      </c>
      <c r="E52" t="inlineStr">
        <is>
          <t>ALE</t>
        </is>
      </c>
      <c r="G52" t="n">
        <v>4.2</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45923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45923</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45923</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45923</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45923</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45923</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45923</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45923</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45923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45923</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45923</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45923</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45923</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34153-2024</t>
        </is>
      </c>
      <c r="B66" s="1" t="n">
        <v>45524.38400462963</v>
      </c>
      <c r="C66" s="1" t="n">
        <v>45923</v>
      </c>
      <c r="D66" t="inlineStr">
        <is>
          <t>VÄSTRA GÖTALANDS LÄN</t>
        </is>
      </c>
      <c r="E66" t="inlineStr">
        <is>
          <t>ALE</t>
        </is>
      </c>
      <c r="G66" t="n">
        <v>0.8</v>
      </c>
      <c r="H66" t="n">
        <v>0</v>
      </c>
      <c r="I66" t="n">
        <v>0</v>
      </c>
      <c r="J66" t="n">
        <v>0</v>
      </c>
      <c r="K66" t="n">
        <v>0</v>
      </c>
      <c r="L66" t="n">
        <v>0</v>
      </c>
      <c r="M66" t="n">
        <v>0</v>
      </c>
      <c r="N66" t="n">
        <v>0</v>
      </c>
      <c r="O66" t="n">
        <v>0</v>
      </c>
      <c r="P66" t="n">
        <v>0</v>
      </c>
      <c r="Q66" t="n">
        <v>0</v>
      </c>
      <c r="R66" s="2" t="inlineStr"/>
    </row>
    <row r="67" ht="15" customHeight="1">
      <c r="A67" t="inlineStr">
        <is>
          <t>A 40074-2025</t>
        </is>
      </c>
      <c r="B67" s="1" t="n">
        <v>45894.44685185186</v>
      </c>
      <c r="C67" s="1" t="n">
        <v>45923</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45923</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45923</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45923</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26083-2023</t>
        </is>
      </c>
      <c r="B71" s="1" t="n">
        <v>45091</v>
      </c>
      <c r="C71" s="1" t="n">
        <v>45923</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45923</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63575-2023</t>
        </is>
      </c>
      <c r="B73" s="1" t="n">
        <v>45275.39715277778</v>
      </c>
      <c r="C73" s="1" t="n">
        <v>45923</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40931-2025</t>
        </is>
      </c>
      <c r="B74" s="1" t="n">
        <v>45897.64783564815</v>
      </c>
      <c r="C74" s="1" t="n">
        <v>45923</v>
      </c>
      <c r="D74" t="inlineStr">
        <is>
          <t>VÄSTRA GÖTALANDS LÄN</t>
        </is>
      </c>
      <c r="E74" t="inlineStr">
        <is>
          <t>ALE</t>
        </is>
      </c>
      <c r="G74" t="n">
        <v>4.3</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45923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45923</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3413-2023</t>
        </is>
      </c>
      <c r="B77" s="1" t="n">
        <v>44949</v>
      </c>
      <c r="C77" s="1" t="n">
        <v>45923</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45923</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27314-2021</t>
        </is>
      </c>
      <c r="B79" s="1" t="n">
        <v>44351.36537037037</v>
      </c>
      <c r="C79" s="1" t="n">
        <v>45923</v>
      </c>
      <c r="D79" t="inlineStr">
        <is>
          <t>VÄSTRA GÖTALANDS LÄN</t>
        </is>
      </c>
      <c r="E79" t="inlineStr">
        <is>
          <t>ALE</t>
        </is>
      </c>
      <c r="G79" t="n">
        <v>11.3</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45923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60233-2024</t>
        </is>
      </c>
      <c r="B81" s="1" t="n">
        <v>45642.74851851852</v>
      </c>
      <c r="C81" s="1" t="n">
        <v>45923</v>
      </c>
      <c r="D81" t="inlineStr">
        <is>
          <t>VÄSTRA GÖTALANDS LÄN</t>
        </is>
      </c>
      <c r="E81" t="inlineStr">
        <is>
          <t>ALE</t>
        </is>
      </c>
      <c r="G81" t="n">
        <v>0.8</v>
      </c>
      <c r="H81" t="n">
        <v>0</v>
      </c>
      <c r="I81" t="n">
        <v>0</v>
      </c>
      <c r="J81" t="n">
        <v>0</v>
      </c>
      <c r="K81" t="n">
        <v>0</v>
      </c>
      <c r="L81" t="n">
        <v>0</v>
      </c>
      <c r="M81" t="n">
        <v>0</v>
      </c>
      <c r="N81" t="n">
        <v>0</v>
      </c>
      <c r="O81" t="n">
        <v>0</v>
      </c>
      <c r="P81" t="n">
        <v>0</v>
      </c>
      <c r="Q81" t="n">
        <v>0</v>
      </c>
      <c r="R81" s="2" t="inlineStr"/>
    </row>
    <row r="82" ht="15" customHeight="1">
      <c r="A82" t="inlineStr">
        <is>
          <t>A 43732-2025</t>
        </is>
      </c>
      <c r="B82" s="1" t="n">
        <v>45912.43576388889</v>
      </c>
      <c r="C82" s="1" t="n">
        <v>45923</v>
      </c>
      <c r="D82" t="inlineStr">
        <is>
          <t>VÄSTRA GÖTALANDS LÄN</t>
        </is>
      </c>
      <c r="E82" t="inlineStr">
        <is>
          <t>ALE</t>
        </is>
      </c>
      <c r="G82" t="n">
        <v>2.9</v>
      </c>
      <c r="H82" t="n">
        <v>0</v>
      </c>
      <c r="I82" t="n">
        <v>0</v>
      </c>
      <c r="J82" t="n">
        <v>0</v>
      </c>
      <c r="K82" t="n">
        <v>0</v>
      </c>
      <c r="L82" t="n">
        <v>0</v>
      </c>
      <c r="M82" t="n">
        <v>0</v>
      </c>
      <c r="N82" t="n">
        <v>0</v>
      </c>
      <c r="O82" t="n">
        <v>0</v>
      </c>
      <c r="P82" t="n">
        <v>0</v>
      </c>
      <c r="Q82" t="n">
        <v>0</v>
      </c>
      <c r="R82" s="2" t="inlineStr"/>
    </row>
    <row r="83" ht="15" customHeight="1">
      <c r="A83" t="inlineStr">
        <is>
          <t>A 51564-2023</t>
        </is>
      </c>
      <c r="B83" s="1" t="n">
        <v>45222</v>
      </c>
      <c r="C83" s="1" t="n">
        <v>45923</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1960-2024</t>
        </is>
      </c>
      <c r="B84" s="1" t="n">
        <v>45308.50962962963</v>
      </c>
      <c r="C84" s="1" t="n">
        <v>45923</v>
      </c>
      <c r="D84" t="inlineStr">
        <is>
          <t>VÄSTRA GÖTALANDS LÄN</t>
        </is>
      </c>
      <c r="E84" t="inlineStr">
        <is>
          <t>ALE</t>
        </is>
      </c>
      <c r="G84" t="n">
        <v>1.9</v>
      </c>
      <c r="H84" t="n">
        <v>0</v>
      </c>
      <c r="I84" t="n">
        <v>0</v>
      </c>
      <c r="J84" t="n">
        <v>0</v>
      </c>
      <c r="K84" t="n">
        <v>0</v>
      </c>
      <c r="L84" t="n">
        <v>0</v>
      </c>
      <c r="M84" t="n">
        <v>0</v>
      </c>
      <c r="N84" t="n">
        <v>0</v>
      </c>
      <c r="O84" t="n">
        <v>0</v>
      </c>
      <c r="P84" t="n">
        <v>0</v>
      </c>
      <c r="Q84" t="n">
        <v>0</v>
      </c>
      <c r="R84" s="2" t="inlineStr"/>
    </row>
    <row r="85" ht="15" customHeight="1">
      <c r="A85" t="inlineStr">
        <is>
          <t>A 3418-2023</t>
        </is>
      </c>
      <c r="B85" s="1" t="n">
        <v>44949.56182870371</v>
      </c>
      <c r="C85" s="1" t="n">
        <v>45923</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45923</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12055-2022</t>
        </is>
      </c>
      <c r="B87" s="1" t="n">
        <v>44636</v>
      </c>
      <c r="C87" s="1" t="n">
        <v>45923</v>
      </c>
      <c r="D87" t="inlineStr">
        <is>
          <t>VÄSTRA GÖTALANDS LÄN</t>
        </is>
      </c>
      <c r="E87" t="inlineStr">
        <is>
          <t>ALE</t>
        </is>
      </c>
      <c r="G87" t="n">
        <v>0.2</v>
      </c>
      <c r="H87" t="n">
        <v>0</v>
      </c>
      <c r="I87" t="n">
        <v>0</v>
      </c>
      <c r="J87" t="n">
        <v>0</v>
      </c>
      <c r="K87" t="n">
        <v>0</v>
      </c>
      <c r="L87" t="n">
        <v>0</v>
      </c>
      <c r="M87" t="n">
        <v>0</v>
      </c>
      <c r="N87" t="n">
        <v>0</v>
      </c>
      <c r="O87" t="n">
        <v>0</v>
      </c>
      <c r="P87" t="n">
        <v>0</v>
      </c>
      <c r="Q87" t="n">
        <v>0</v>
      </c>
      <c r="R87" s="2" t="inlineStr"/>
    </row>
    <row r="88" ht="15" customHeight="1">
      <c r="A88" t="inlineStr">
        <is>
          <t>A 35959-2022</t>
        </is>
      </c>
      <c r="B88" s="1" t="n">
        <v>44802.57002314815</v>
      </c>
      <c r="C88" s="1" t="n">
        <v>45923</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3457-2022</t>
        </is>
      </c>
      <c r="B89" s="1" t="n">
        <v>44585</v>
      </c>
      <c r="C89" s="1" t="n">
        <v>45923</v>
      </c>
      <c r="D89" t="inlineStr">
        <is>
          <t>VÄSTRA GÖTALANDS LÄN</t>
        </is>
      </c>
      <c r="E89" t="inlineStr">
        <is>
          <t>ALE</t>
        </is>
      </c>
      <c r="G89" t="n">
        <v>5.1</v>
      </c>
      <c r="H89" t="n">
        <v>0</v>
      </c>
      <c r="I89" t="n">
        <v>0</v>
      </c>
      <c r="J89" t="n">
        <v>0</v>
      </c>
      <c r="K89" t="n">
        <v>0</v>
      </c>
      <c r="L89" t="n">
        <v>0</v>
      </c>
      <c r="M89" t="n">
        <v>0</v>
      </c>
      <c r="N89" t="n">
        <v>0</v>
      </c>
      <c r="O89" t="n">
        <v>0</v>
      </c>
      <c r="P89" t="n">
        <v>0</v>
      </c>
      <c r="Q89" t="n">
        <v>0</v>
      </c>
      <c r="R89" s="2" t="inlineStr"/>
    </row>
    <row r="90" ht="15" customHeight="1">
      <c r="A90" t="inlineStr">
        <is>
          <t>A 200-2022</t>
        </is>
      </c>
      <c r="B90" s="1" t="n">
        <v>44564</v>
      </c>
      <c r="C90" s="1" t="n">
        <v>45923</v>
      </c>
      <c r="D90" t="inlineStr">
        <is>
          <t>VÄSTRA GÖTALANDS LÄN</t>
        </is>
      </c>
      <c r="E90" t="inlineStr">
        <is>
          <t>ALE</t>
        </is>
      </c>
      <c r="G90" t="n">
        <v>6.8</v>
      </c>
      <c r="H90" t="n">
        <v>0</v>
      </c>
      <c r="I90" t="n">
        <v>0</v>
      </c>
      <c r="J90" t="n">
        <v>0</v>
      </c>
      <c r="K90" t="n">
        <v>0</v>
      </c>
      <c r="L90" t="n">
        <v>0</v>
      </c>
      <c r="M90" t="n">
        <v>0</v>
      </c>
      <c r="N90" t="n">
        <v>0</v>
      </c>
      <c r="O90" t="n">
        <v>0</v>
      </c>
      <c r="P90" t="n">
        <v>0</v>
      </c>
      <c r="Q90" t="n">
        <v>0</v>
      </c>
      <c r="R90" s="2" t="inlineStr"/>
    </row>
    <row r="91" ht="15" customHeight="1">
      <c r="A91" t="inlineStr">
        <is>
          <t>A 69325-2020</t>
        </is>
      </c>
      <c r="B91" s="1" t="n">
        <v>44193</v>
      </c>
      <c r="C91" s="1" t="n">
        <v>45923</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36403-2024</t>
        </is>
      </c>
      <c r="B92" s="1" t="n">
        <v>45535.69445601852</v>
      </c>
      <c r="C92" s="1" t="n">
        <v>45923</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17044-2025</t>
        </is>
      </c>
      <c r="B93" s="1" t="n">
        <v>45755.58891203703</v>
      </c>
      <c r="C93" s="1" t="n">
        <v>45923</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55405-2021</t>
        </is>
      </c>
      <c r="B94" s="1" t="n">
        <v>44475.53733796296</v>
      </c>
      <c r="C94" s="1" t="n">
        <v>45923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5916-2023</t>
        </is>
      </c>
      <c r="B95" s="1" t="n">
        <v>44963</v>
      </c>
      <c r="C95" s="1" t="n">
        <v>45923</v>
      </c>
      <c r="D95" t="inlineStr">
        <is>
          <t>VÄSTRA GÖTALANDS LÄN</t>
        </is>
      </c>
      <c r="E95" t="inlineStr">
        <is>
          <t>ALE</t>
        </is>
      </c>
      <c r="G95" t="n">
        <v>4.2</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45923</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34104-2024</t>
        </is>
      </c>
      <c r="B97" s="1" t="n">
        <v>45523.79202546296</v>
      </c>
      <c r="C97" s="1" t="n">
        <v>45923</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48257-2022</t>
        </is>
      </c>
      <c r="B98" s="1" t="n">
        <v>44858.47591435185</v>
      </c>
      <c r="C98" s="1" t="n">
        <v>45923</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18999-2021</t>
        </is>
      </c>
      <c r="B99" s="1" t="n">
        <v>44308</v>
      </c>
      <c r="C99" s="1" t="n">
        <v>45923</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4363-2024</t>
        </is>
      </c>
      <c r="B100" s="1" t="n">
        <v>45325</v>
      </c>
      <c r="C100" s="1" t="n">
        <v>45923</v>
      </c>
      <c r="D100" t="inlineStr">
        <is>
          <t>VÄSTRA GÖTALANDS LÄN</t>
        </is>
      </c>
      <c r="E100" t="inlineStr">
        <is>
          <t>ALE</t>
        </is>
      </c>
      <c r="G100" t="n">
        <v>0.6</v>
      </c>
      <c r="H100" t="n">
        <v>0</v>
      </c>
      <c r="I100" t="n">
        <v>0</v>
      </c>
      <c r="J100" t="n">
        <v>0</v>
      </c>
      <c r="K100" t="n">
        <v>0</v>
      </c>
      <c r="L100" t="n">
        <v>0</v>
      </c>
      <c r="M100" t="n">
        <v>0</v>
      </c>
      <c r="N100" t="n">
        <v>0</v>
      </c>
      <c r="O100" t="n">
        <v>0</v>
      </c>
      <c r="P100" t="n">
        <v>0</v>
      </c>
      <c r="Q100" t="n">
        <v>0</v>
      </c>
      <c r="R100" s="2" t="inlineStr"/>
    </row>
    <row r="101" ht="15" customHeight="1">
      <c r="A101" t="inlineStr">
        <is>
          <t>A 1687-2024</t>
        </is>
      </c>
      <c r="B101" s="1" t="n">
        <v>45306</v>
      </c>
      <c r="C101" s="1" t="n">
        <v>45923</v>
      </c>
      <c r="D101" t="inlineStr">
        <is>
          <t>VÄSTRA GÖTALANDS LÄN</t>
        </is>
      </c>
      <c r="E101" t="inlineStr">
        <is>
          <t>ALE</t>
        </is>
      </c>
      <c r="G101" t="n">
        <v>3.4</v>
      </c>
      <c r="H101" t="n">
        <v>0</v>
      </c>
      <c r="I101" t="n">
        <v>0</v>
      </c>
      <c r="J101" t="n">
        <v>0</v>
      </c>
      <c r="K101" t="n">
        <v>0</v>
      </c>
      <c r="L101" t="n">
        <v>0</v>
      </c>
      <c r="M101" t="n">
        <v>0</v>
      </c>
      <c r="N101" t="n">
        <v>0</v>
      </c>
      <c r="O101" t="n">
        <v>0</v>
      </c>
      <c r="P101" t="n">
        <v>0</v>
      </c>
      <c r="Q101" t="n">
        <v>0</v>
      </c>
      <c r="R101" s="2" t="inlineStr"/>
    </row>
    <row r="102" ht="15" customHeight="1">
      <c r="A102" t="inlineStr">
        <is>
          <t>A 16601-2025</t>
        </is>
      </c>
      <c r="B102" s="1" t="n">
        <v>45753.53189814815</v>
      </c>
      <c r="C102" s="1" t="n">
        <v>45923</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50451-2024</t>
        </is>
      </c>
      <c r="B103" s="1" t="n">
        <v>45601.44248842593</v>
      </c>
      <c r="C103" s="1" t="n">
        <v>45923</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49680-2024</t>
        </is>
      </c>
      <c r="B104" s="1" t="n">
        <v>45596.66880787037</v>
      </c>
      <c r="C104" s="1" t="n">
        <v>45923</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20067-2023</t>
        </is>
      </c>
      <c r="B105" s="1" t="n">
        <v>45054</v>
      </c>
      <c r="C105" s="1" t="n">
        <v>45923</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1500-2024</t>
        </is>
      </c>
      <c r="B106" s="1" t="n">
        <v>45306</v>
      </c>
      <c r="C106" s="1" t="n">
        <v>45923</v>
      </c>
      <c r="D106" t="inlineStr">
        <is>
          <t>VÄSTRA GÖTALANDS LÄN</t>
        </is>
      </c>
      <c r="E106" t="inlineStr">
        <is>
          <t>ALE</t>
        </is>
      </c>
      <c r="G106" t="n">
        <v>1.3</v>
      </c>
      <c r="H106" t="n">
        <v>0</v>
      </c>
      <c r="I106" t="n">
        <v>0</v>
      </c>
      <c r="J106" t="n">
        <v>0</v>
      </c>
      <c r="K106" t="n">
        <v>0</v>
      </c>
      <c r="L106" t="n">
        <v>0</v>
      </c>
      <c r="M106" t="n">
        <v>0</v>
      </c>
      <c r="N106" t="n">
        <v>0</v>
      </c>
      <c r="O106" t="n">
        <v>0</v>
      </c>
      <c r="P106" t="n">
        <v>0</v>
      </c>
      <c r="Q106" t="n">
        <v>0</v>
      </c>
      <c r="R106" s="2" t="inlineStr"/>
    </row>
    <row r="107" ht="15" customHeight="1">
      <c r="A107" t="inlineStr">
        <is>
          <t>A 57473-2022</t>
        </is>
      </c>
      <c r="B107" s="1" t="n">
        <v>44896</v>
      </c>
      <c r="C107" s="1" t="n">
        <v>45923</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45923</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45923</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6916-2023</t>
        </is>
      </c>
      <c r="B110" s="1" t="n">
        <v>44967.53349537037</v>
      </c>
      <c r="C110" s="1" t="n">
        <v>45923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45923</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42446-2023</t>
        </is>
      </c>
      <c r="B112" s="1" t="n">
        <v>45180</v>
      </c>
      <c r="C112" s="1" t="n">
        <v>45923</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45923</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16344-2023</t>
        </is>
      </c>
      <c r="B114" s="1" t="n">
        <v>45028</v>
      </c>
      <c r="C114" s="1" t="n">
        <v>45923</v>
      </c>
      <c r="D114" t="inlineStr">
        <is>
          <t>VÄSTRA GÖTALANDS LÄN</t>
        </is>
      </c>
      <c r="E114" t="inlineStr">
        <is>
          <t>ALE</t>
        </is>
      </c>
      <c r="G114" t="n">
        <v>6.6</v>
      </c>
      <c r="H114" t="n">
        <v>0</v>
      </c>
      <c r="I114" t="n">
        <v>0</v>
      </c>
      <c r="J114" t="n">
        <v>0</v>
      </c>
      <c r="K114" t="n">
        <v>0</v>
      </c>
      <c r="L114" t="n">
        <v>0</v>
      </c>
      <c r="M114" t="n">
        <v>0</v>
      </c>
      <c r="N114" t="n">
        <v>0</v>
      </c>
      <c r="O114" t="n">
        <v>0</v>
      </c>
      <c r="P114" t="n">
        <v>0</v>
      </c>
      <c r="Q114" t="n">
        <v>0</v>
      </c>
      <c r="R114" s="2" t="inlineStr"/>
    </row>
    <row r="115" ht="15" customHeight="1">
      <c r="A115" t="inlineStr">
        <is>
          <t>A 32762-2023</t>
        </is>
      </c>
      <c r="B115" s="1" t="n">
        <v>45123.46649305556</v>
      </c>
      <c r="C115" s="1" t="n">
        <v>45923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41598-2022</t>
        </is>
      </c>
      <c r="B116" s="1" t="n">
        <v>44827.4609837963</v>
      </c>
      <c r="C116" s="1" t="n">
        <v>45923</v>
      </c>
      <c r="D116" t="inlineStr">
        <is>
          <t>VÄSTRA GÖTALANDS LÄN</t>
        </is>
      </c>
      <c r="E116" t="inlineStr">
        <is>
          <t>ALE</t>
        </is>
      </c>
      <c r="G116" t="n">
        <v>2</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45923</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15582-2025</t>
        </is>
      </c>
      <c r="B118" s="1" t="n">
        <v>45747.81394675926</v>
      </c>
      <c r="C118" s="1" t="n">
        <v>45923</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53121-2024</t>
        </is>
      </c>
      <c r="B119" s="1" t="n">
        <v>45611</v>
      </c>
      <c r="C119" s="1" t="n">
        <v>45923</v>
      </c>
      <c r="D119" t="inlineStr">
        <is>
          <t>VÄSTRA GÖTALANDS LÄN</t>
        </is>
      </c>
      <c r="E119" t="inlineStr">
        <is>
          <t>ALE</t>
        </is>
      </c>
      <c r="G119" t="n">
        <v>3.4</v>
      </c>
      <c r="H119" t="n">
        <v>0</v>
      </c>
      <c r="I119" t="n">
        <v>0</v>
      </c>
      <c r="J119" t="n">
        <v>0</v>
      </c>
      <c r="K119" t="n">
        <v>0</v>
      </c>
      <c r="L119" t="n">
        <v>0</v>
      </c>
      <c r="M119" t="n">
        <v>0</v>
      </c>
      <c r="N119" t="n">
        <v>0</v>
      </c>
      <c r="O119" t="n">
        <v>0</v>
      </c>
      <c r="P119" t="n">
        <v>0</v>
      </c>
      <c r="Q119" t="n">
        <v>0</v>
      </c>
      <c r="R119" s="2" t="inlineStr"/>
    </row>
    <row r="120" ht="15" customHeight="1">
      <c r="A120" t="inlineStr">
        <is>
          <t>A 47087-2023</t>
        </is>
      </c>
      <c r="B120" s="1" t="n">
        <v>45196</v>
      </c>
      <c r="C120" s="1" t="n">
        <v>45923</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4642-2024</t>
        </is>
      </c>
      <c r="B121" s="1" t="n">
        <v>45328.43502314815</v>
      </c>
      <c r="C121" s="1" t="n">
        <v>45923</v>
      </c>
      <c r="D121" t="inlineStr">
        <is>
          <t>VÄSTRA GÖTALANDS LÄN</t>
        </is>
      </c>
      <c r="E121" t="inlineStr">
        <is>
          <t>ALE</t>
        </is>
      </c>
      <c r="G121" t="n">
        <v>7.1</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45923</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3520-2022</t>
        </is>
      </c>
      <c r="B123" s="1" t="n">
        <v>44585.72818287037</v>
      </c>
      <c r="C123" s="1" t="n">
        <v>45923</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45790.48229166667</v>
      </c>
      <c r="C124" s="1" t="n">
        <v>45923</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4971-2024</t>
        </is>
      </c>
      <c r="B125" s="1" t="n">
        <v>45329</v>
      </c>
      <c r="C125" s="1" t="n">
        <v>45923</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66551-2020</t>
        </is>
      </c>
      <c r="B126" s="1" t="n">
        <v>44179</v>
      </c>
      <c r="C126" s="1" t="n">
        <v>45923</v>
      </c>
      <c r="D126" t="inlineStr">
        <is>
          <t>VÄSTRA GÖTALANDS LÄN</t>
        </is>
      </c>
      <c r="E126" t="inlineStr">
        <is>
          <t>ALE</t>
        </is>
      </c>
      <c r="G126" t="n">
        <v>4.5</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45923</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33237-2024</t>
        </is>
      </c>
      <c r="B128" s="1" t="n">
        <v>45518.59173611111</v>
      </c>
      <c r="C128" s="1" t="n">
        <v>45923</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44429-2023</t>
        </is>
      </c>
      <c r="B129" s="1" t="n">
        <v>45189.35101851852</v>
      </c>
      <c r="C129" s="1" t="n">
        <v>45923</v>
      </c>
      <c r="D129" t="inlineStr">
        <is>
          <t>VÄSTRA GÖTALANDS LÄN</t>
        </is>
      </c>
      <c r="E129" t="inlineStr">
        <is>
          <t>ALE</t>
        </is>
      </c>
      <c r="G129" t="n">
        <v>0.1</v>
      </c>
      <c r="H129" t="n">
        <v>0</v>
      </c>
      <c r="I129" t="n">
        <v>0</v>
      </c>
      <c r="J129" t="n">
        <v>0</v>
      </c>
      <c r="K129" t="n">
        <v>0</v>
      </c>
      <c r="L129" t="n">
        <v>0</v>
      </c>
      <c r="M129" t="n">
        <v>0</v>
      </c>
      <c r="N129" t="n">
        <v>0</v>
      </c>
      <c r="O129" t="n">
        <v>0</v>
      </c>
      <c r="P129" t="n">
        <v>0</v>
      </c>
      <c r="Q129" t="n">
        <v>0</v>
      </c>
      <c r="R129" s="2" t="inlineStr"/>
    </row>
    <row r="130" ht="15" customHeight="1">
      <c r="A130" t="inlineStr">
        <is>
          <t>A 7892-2024</t>
        </is>
      </c>
      <c r="B130" s="1" t="n">
        <v>45350.40921296296</v>
      </c>
      <c r="C130" s="1" t="n">
        <v>45923</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51164-2024</t>
        </is>
      </c>
      <c r="B131" s="1" t="n">
        <v>45603.5830787037</v>
      </c>
      <c r="C131" s="1" t="n">
        <v>45923</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4444-2024</t>
        </is>
      </c>
      <c r="B132" s="1" t="n">
        <v>45327</v>
      </c>
      <c r="C132" s="1" t="n">
        <v>45923</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72801-2021</t>
        </is>
      </c>
      <c r="B133" s="1" t="n">
        <v>44546</v>
      </c>
      <c r="C133" s="1" t="n">
        <v>45923</v>
      </c>
      <c r="D133" t="inlineStr">
        <is>
          <t>VÄSTRA GÖTALANDS LÄN</t>
        </is>
      </c>
      <c r="E133" t="inlineStr">
        <is>
          <t>ALE</t>
        </is>
      </c>
      <c r="F133" t="inlineStr">
        <is>
          <t>Naturvårdsverket</t>
        </is>
      </c>
      <c r="G133" t="n">
        <v>1.4</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45923</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45923</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25840-2025</t>
        </is>
      </c>
      <c r="B136" s="1" t="n">
        <v>45804</v>
      </c>
      <c r="C136" s="1" t="n">
        <v>45923</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8956-2025</t>
        </is>
      </c>
      <c r="B137" s="1" t="n">
        <v>45713.46825231481</v>
      </c>
      <c r="C137" s="1" t="n">
        <v>45923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8659-2025</t>
        </is>
      </c>
      <c r="B138" s="1" t="n">
        <v>45712</v>
      </c>
      <c r="C138" s="1" t="n">
        <v>45923</v>
      </c>
      <c r="D138" t="inlineStr">
        <is>
          <t>VÄSTRA GÖTALANDS LÄN</t>
        </is>
      </c>
      <c r="E138" t="inlineStr">
        <is>
          <t>ALE</t>
        </is>
      </c>
      <c r="G138" t="n">
        <v>5.7</v>
      </c>
      <c r="H138" t="n">
        <v>0</v>
      </c>
      <c r="I138" t="n">
        <v>0</v>
      </c>
      <c r="J138" t="n">
        <v>0</v>
      </c>
      <c r="K138" t="n">
        <v>0</v>
      </c>
      <c r="L138" t="n">
        <v>0</v>
      </c>
      <c r="M138" t="n">
        <v>0</v>
      </c>
      <c r="N138" t="n">
        <v>0</v>
      </c>
      <c r="O138" t="n">
        <v>0</v>
      </c>
      <c r="P138" t="n">
        <v>0</v>
      </c>
      <c r="Q138" t="n">
        <v>0</v>
      </c>
      <c r="R138" s="2" t="inlineStr"/>
    </row>
    <row r="139" ht="15" customHeight="1">
      <c r="A139" t="inlineStr">
        <is>
          <t>A 5344-2024</t>
        </is>
      </c>
      <c r="B139" s="1" t="n">
        <v>45331</v>
      </c>
      <c r="C139" s="1" t="n">
        <v>45923</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45923</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59933-2023</t>
        </is>
      </c>
      <c r="B141" s="1" t="n">
        <v>45257</v>
      </c>
      <c r="C141" s="1" t="n">
        <v>45923</v>
      </c>
      <c r="D141" t="inlineStr">
        <is>
          <t>VÄSTRA GÖTALANDS LÄN</t>
        </is>
      </c>
      <c r="E141" t="inlineStr">
        <is>
          <t>ALE</t>
        </is>
      </c>
      <c r="G141" t="n">
        <v>2.7</v>
      </c>
      <c r="H141" t="n">
        <v>0</v>
      </c>
      <c r="I141" t="n">
        <v>0</v>
      </c>
      <c r="J141" t="n">
        <v>0</v>
      </c>
      <c r="K141" t="n">
        <v>0</v>
      </c>
      <c r="L141" t="n">
        <v>0</v>
      </c>
      <c r="M141" t="n">
        <v>0</v>
      </c>
      <c r="N141" t="n">
        <v>0</v>
      </c>
      <c r="O141" t="n">
        <v>0</v>
      </c>
      <c r="P141" t="n">
        <v>0</v>
      </c>
      <c r="Q141" t="n">
        <v>0</v>
      </c>
      <c r="R141" s="2" t="inlineStr"/>
    </row>
    <row r="142" ht="15" customHeight="1">
      <c r="A142" t="inlineStr">
        <is>
          <t>A 1822-2024</t>
        </is>
      </c>
      <c r="B142" s="1" t="n">
        <v>45307.6205787037</v>
      </c>
      <c r="C142" s="1" t="n">
        <v>45923</v>
      </c>
      <c r="D142" t="inlineStr">
        <is>
          <t>VÄSTRA GÖTALANDS LÄN</t>
        </is>
      </c>
      <c r="E142" t="inlineStr">
        <is>
          <t>ALE</t>
        </is>
      </c>
      <c r="G142" t="n">
        <v>2</v>
      </c>
      <c r="H142" t="n">
        <v>0</v>
      </c>
      <c r="I142" t="n">
        <v>0</v>
      </c>
      <c r="J142" t="n">
        <v>0</v>
      </c>
      <c r="K142" t="n">
        <v>0</v>
      </c>
      <c r="L142" t="n">
        <v>0</v>
      </c>
      <c r="M142" t="n">
        <v>0</v>
      </c>
      <c r="N142" t="n">
        <v>0</v>
      </c>
      <c r="O142" t="n">
        <v>0</v>
      </c>
      <c r="P142" t="n">
        <v>0</v>
      </c>
      <c r="Q142" t="n">
        <v>0</v>
      </c>
      <c r="R142" s="2" t="inlineStr"/>
    </row>
    <row r="143" ht="15" customHeight="1">
      <c r="A143" t="inlineStr">
        <is>
          <t>A 9193-2025</t>
        </is>
      </c>
      <c r="B143" s="1" t="n">
        <v>45714</v>
      </c>
      <c r="C143" s="1" t="n">
        <v>45923</v>
      </c>
      <c r="D143" t="inlineStr">
        <is>
          <t>VÄSTRA GÖTALANDS LÄN</t>
        </is>
      </c>
      <c r="E143" t="inlineStr">
        <is>
          <t>ALE</t>
        </is>
      </c>
      <c r="G143" t="n">
        <v>7.1</v>
      </c>
      <c r="H143" t="n">
        <v>0</v>
      </c>
      <c r="I143" t="n">
        <v>0</v>
      </c>
      <c r="J143" t="n">
        <v>0</v>
      </c>
      <c r="K143" t="n">
        <v>0</v>
      </c>
      <c r="L143" t="n">
        <v>0</v>
      </c>
      <c r="M143" t="n">
        <v>0</v>
      </c>
      <c r="N143" t="n">
        <v>0</v>
      </c>
      <c r="O143" t="n">
        <v>0</v>
      </c>
      <c r="P143" t="n">
        <v>0</v>
      </c>
      <c r="Q143" t="n">
        <v>0</v>
      </c>
      <c r="R143" s="2" t="inlineStr"/>
    </row>
    <row r="144" ht="15" customHeight="1">
      <c r="A144" t="inlineStr">
        <is>
          <t>A 15241-2025</t>
        </is>
      </c>
      <c r="B144" s="1" t="n">
        <v>45744.61255787037</v>
      </c>
      <c r="C144" s="1" t="n">
        <v>45923</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6947-2024</t>
        </is>
      </c>
      <c r="B145" s="1" t="n">
        <v>45343</v>
      </c>
      <c r="C145" s="1" t="n">
        <v>45923</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29373-2025</t>
        </is>
      </c>
      <c r="B146" s="1" t="n">
        <v>45824.579375</v>
      </c>
      <c r="C146" s="1" t="n">
        <v>45923</v>
      </c>
      <c r="D146" t="inlineStr">
        <is>
          <t>VÄSTRA GÖTALANDS LÄN</t>
        </is>
      </c>
      <c r="E146" t="inlineStr">
        <is>
          <t>ALE</t>
        </is>
      </c>
      <c r="G146" t="n">
        <v>4.6</v>
      </c>
      <c r="H146" t="n">
        <v>0</v>
      </c>
      <c r="I146" t="n">
        <v>0</v>
      </c>
      <c r="J146" t="n">
        <v>0</v>
      </c>
      <c r="K146" t="n">
        <v>0</v>
      </c>
      <c r="L146" t="n">
        <v>0</v>
      </c>
      <c r="M146" t="n">
        <v>0</v>
      </c>
      <c r="N146" t="n">
        <v>0</v>
      </c>
      <c r="O146" t="n">
        <v>0</v>
      </c>
      <c r="P146" t="n">
        <v>0</v>
      </c>
      <c r="Q146" t="n">
        <v>0</v>
      </c>
      <c r="R146" s="2" t="inlineStr"/>
    </row>
    <row r="147" ht="15" customHeight="1">
      <c r="A147" t="inlineStr">
        <is>
          <t>A 13382-2025</t>
        </is>
      </c>
      <c r="B147" s="1" t="n">
        <v>45735.67928240741</v>
      </c>
      <c r="C147" s="1" t="n">
        <v>45923</v>
      </c>
      <c r="D147" t="inlineStr">
        <is>
          <t>VÄSTRA GÖTALANDS LÄN</t>
        </is>
      </c>
      <c r="E147" t="inlineStr">
        <is>
          <t>ALE</t>
        </is>
      </c>
      <c r="G147" t="n">
        <v>0.9</v>
      </c>
      <c r="H147" t="n">
        <v>0</v>
      </c>
      <c r="I147" t="n">
        <v>0</v>
      </c>
      <c r="J147" t="n">
        <v>0</v>
      </c>
      <c r="K147" t="n">
        <v>0</v>
      </c>
      <c r="L147" t="n">
        <v>0</v>
      </c>
      <c r="M147" t="n">
        <v>0</v>
      </c>
      <c r="N147" t="n">
        <v>0</v>
      </c>
      <c r="O147" t="n">
        <v>0</v>
      </c>
      <c r="P147" t="n">
        <v>0</v>
      </c>
      <c r="Q147" t="n">
        <v>0</v>
      </c>
      <c r="R147" s="2" t="inlineStr"/>
    </row>
    <row r="148" ht="15" customHeight="1">
      <c r="A148" t="inlineStr">
        <is>
          <t>A 13426-2025</t>
        </is>
      </c>
      <c r="B148" s="1" t="n">
        <v>45736.32780092592</v>
      </c>
      <c r="C148" s="1" t="n">
        <v>45923</v>
      </c>
      <c r="D148" t="inlineStr">
        <is>
          <t>VÄSTRA GÖTALANDS LÄN</t>
        </is>
      </c>
      <c r="E148" t="inlineStr">
        <is>
          <t>ALE</t>
        </is>
      </c>
      <c r="G148" t="n">
        <v>1.5</v>
      </c>
      <c r="H148" t="n">
        <v>0</v>
      </c>
      <c r="I148" t="n">
        <v>0</v>
      </c>
      <c r="J148" t="n">
        <v>0</v>
      </c>
      <c r="K148" t="n">
        <v>0</v>
      </c>
      <c r="L148" t="n">
        <v>0</v>
      </c>
      <c r="M148" t="n">
        <v>0</v>
      </c>
      <c r="N148" t="n">
        <v>0</v>
      </c>
      <c r="O148" t="n">
        <v>0</v>
      </c>
      <c r="P148" t="n">
        <v>0</v>
      </c>
      <c r="Q148" t="n">
        <v>0</v>
      </c>
      <c r="R148" s="2" t="inlineStr"/>
    </row>
    <row r="149" ht="15" customHeight="1">
      <c r="A149" t="inlineStr">
        <is>
          <t>A 13903-2025</t>
        </is>
      </c>
      <c r="B149" s="1" t="n">
        <v>45737.63481481482</v>
      </c>
      <c r="C149" s="1" t="n">
        <v>45923</v>
      </c>
      <c r="D149" t="inlineStr">
        <is>
          <t>VÄSTRA GÖTALANDS LÄN</t>
        </is>
      </c>
      <c r="E149" t="inlineStr">
        <is>
          <t>ALE</t>
        </is>
      </c>
      <c r="G149" t="n">
        <v>0.5</v>
      </c>
      <c r="H149" t="n">
        <v>0</v>
      </c>
      <c r="I149" t="n">
        <v>0</v>
      </c>
      <c r="J149" t="n">
        <v>0</v>
      </c>
      <c r="K149" t="n">
        <v>0</v>
      </c>
      <c r="L149" t="n">
        <v>0</v>
      </c>
      <c r="M149" t="n">
        <v>0</v>
      </c>
      <c r="N149" t="n">
        <v>0</v>
      </c>
      <c r="O149" t="n">
        <v>0</v>
      </c>
      <c r="P149" t="n">
        <v>0</v>
      </c>
      <c r="Q149" t="n">
        <v>0</v>
      </c>
      <c r="R149" s="2" t="inlineStr"/>
    </row>
    <row r="150" ht="15" customHeight="1">
      <c r="A150" t="inlineStr">
        <is>
          <t>A 31407-2025</t>
        </is>
      </c>
      <c r="B150" s="1" t="n">
        <v>45833</v>
      </c>
      <c r="C150" s="1" t="n">
        <v>45923</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ht="15" customHeight="1">
      <c r="A151" t="inlineStr">
        <is>
          <t>A 31409-2025</t>
        </is>
      </c>
      <c r="B151" s="1" t="n">
        <v>45833</v>
      </c>
      <c r="C151" s="1" t="n">
        <v>45923</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31533-2025</t>
        </is>
      </c>
      <c r="B152" s="1" t="n">
        <v>45833</v>
      </c>
      <c r="C152" s="1" t="n">
        <v>45923</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c r="A153" t="inlineStr">
        <is>
          <t>A 31488-2025</t>
        </is>
      </c>
      <c r="B153" s="1" t="n">
        <v>45833</v>
      </c>
      <c r="C153" s="1" t="n">
        <v>45923</v>
      </c>
      <c r="D153" t="inlineStr">
        <is>
          <t>VÄSTRA GÖTALANDS LÄN</t>
        </is>
      </c>
      <c r="E153" t="inlineStr">
        <is>
          <t>ALE</t>
        </is>
      </c>
      <c r="G153" t="n">
        <v>1.8</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2025-09-23T10:19:33Z</dcterms:created>
  <dcterms:modified xmlns:dcterms="http://purl.org/dc/terms/" xmlns:xsi="http://www.w3.org/2001/XMLSchema-instance" xsi:type="dcterms:W3CDTF">2025-09-23T10:19:34Z</dcterms:modified>
</cp:coreProperties>
</file>