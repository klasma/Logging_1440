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46003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46003</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46003</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46003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46003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46003</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46003</v>
      </c>
      <c r="D10" t="inlineStr">
        <is>
          <t>VÄSTRA GÖTALANDS LÄN</t>
        </is>
      </c>
      <c r="E10" t="inlineStr">
        <is>
          <t>ALE</t>
        </is>
      </c>
      <c r="G10" t="n">
        <v>5.6</v>
      </c>
      <c r="H10" t="n">
        <v>3</v>
      </c>
      <c r="I10" t="n">
        <v>7</v>
      </c>
      <c r="J10" t="n">
        <v>2</v>
      </c>
      <c r="K10" t="n">
        <v>0</v>
      </c>
      <c r="L10" t="n">
        <v>0</v>
      </c>
      <c r="M10" t="n">
        <v>0</v>
      </c>
      <c r="N10" t="n">
        <v>0</v>
      </c>
      <c r="O10" t="n">
        <v>2</v>
      </c>
      <c r="P10" t="n">
        <v>0</v>
      </c>
      <c r="Q10" t="n">
        <v>11</v>
      </c>
      <c r="R10" s="2" t="inlineStr">
        <is>
          <t>Motaggsvamp
Spillkråka
Blåmossa
Dropptaggsvamp
Kornknutmossa
Sotriska
Stor revmossa
Stubbspretmossa
Västlig hakmossa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46003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46003</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46003</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51991-2025</t>
        </is>
      </c>
      <c r="B14" s="1" t="n">
        <v>45952.58069444444</v>
      </c>
      <c r="C14" s="1" t="n">
        <v>46003</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46003</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46003</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46084-2025</t>
        </is>
      </c>
      <c r="B17" s="1" t="n">
        <v>45924.51282407407</v>
      </c>
      <c r="C17" s="1" t="n">
        <v>46003</v>
      </c>
      <c r="D17" t="inlineStr">
        <is>
          <t>VÄSTRA GÖTALANDS LÄN</t>
        </is>
      </c>
      <c r="E17" t="inlineStr">
        <is>
          <t>ALE</t>
        </is>
      </c>
      <c r="G17" t="n">
        <v>4.2</v>
      </c>
      <c r="H17" t="n">
        <v>3</v>
      </c>
      <c r="I17" t="n">
        <v>4</v>
      </c>
      <c r="J17" t="n">
        <v>2</v>
      </c>
      <c r="K17" t="n">
        <v>0</v>
      </c>
      <c r="L17" t="n">
        <v>0</v>
      </c>
      <c r="M17" t="n">
        <v>0</v>
      </c>
      <c r="N17" t="n">
        <v>0</v>
      </c>
      <c r="O17" t="n">
        <v>2</v>
      </c>
      <c r="P17" t="n">
        <v>0</v>
      </c>
      <c r="Q17" t="n">
        <v>7</v>
      </c>
      <c r="R17" s="2" t="inlineStr">
        <is>
          <t>Spillkråka
Talltita
Blåmossa
Havstulpanlav
Kambräken
Stor revmossa
Kungsfågel</t>
        </is>
      </c>
      <c r="S17">
        <f>HYPERLINK("https://klasma.github.io/Logging_1440/artfynd/A 46084-2025 artfynd.xlsx", "A 46084-2025")</f>
        <v/>
      </c>
      <c r="T17">
        <f>HYPERLINK("https://klasma.github.io/Logging_1440/kartor/A 46084-2025 karta.png", "A 46084-2025")</f>
        <v/>
      </c>
      <c r="V17">
        <f>HYPERLINK("https://klasma.github.io/Logging_1440/klagomål/A 46084-2025 FSC-klagomål.docx", "A 46084-2025")</f>
        <v/>
      </c>
      <c r="W17">
        <f>HYPERLINK("https://klasma.github.io/Logging_1440/klagomålsmail/A 46084-2025 FSC-klagomål mail.docx", "A 46084-2025")</f>
        <v/>
      </c>
      <c r="X17">
        <f>HYPERLINK("https://klasma.github.io/Logging_1440/tillsyn/A 46084-2025 tillsynsbegäran.docx", "A 46084-2025")</f>
        <v/>
      </c>
      <c r="Y17">
        <f>HYPERLINK("https://klasma.github.io/Logging_1440/tillsynsmail/A 46084-2025 tillsynsbegäran mail.docx", "A 46084-2025")</f>
        <v/>
      </c>
      <c r="Z17">
        <f>HYPERLINK("https://klasma.github.io/Logging_1440/fåglar/A 46084-2025 prioriterade fågelarter.docx", "A 46084-2025")</f>
        <v/>
      </c>
    </row>
    <row r="18" ht="15" customHeight="1">
      <c r="A18" t="inlineStr">
        <is>
          <t>A 17566-2024</t>
        </is>
      </c>
      <c r="B18" s="1" t="n">
        <v>45415</v>
      </c>
      <c r="C18" s="1" t="n">
        <v>46003</v>
      </c>
      <c r="D18" t="inlineStr">
        <is>
          <t>VÄSTRA GÖTALANDS LÄN</t>
        </is>
      </c>
      <c r="E18" t="inlineStr">
        <is>
          <t>ALE</t>
        </is>
      </c>
      <c r="G18" t="n">
        <v>6.9</v>
      </c>
      <c r="H18" t="n">
        <v>5</v>
      </c>
      <c r="I18" t="n">
        <v>2</v>
      </c>
      <c r="J18" t="n">
        <v>2</v>
      </c>
      <c r="K18" t="n">
        <v>1</v>
      </c>
      <c r="L18" t="n">
        <v>0</v>
      </c>
      <c r="M18" t="n">
        <v>0</v>
      </c>
      <c r="N18" t="n">
        <v>0</v>
      </c>
      <c r="O18" t="n">
        <v>3</v>
      </c>
      <c r="P18" t="n">
        <v>1</v>
      </c>
      <c r="Q18" t="n">
        <v>7</v>
      </c>
      <c r="R18" s="2" t="inlineStr">
        <is>
          <t>Knärot
Spillkråka
Tretåig hackspett
Blåmossa
Västlig hakmossa
Kungsfågel
Revlummer</t>
        </is>
      </c>
      <c r="S18">
        <f>HYPERLINK("https://klasma.github.io/Logging_1440/artfynd/A 17566-2024 artfynd.xlsx", "A 17566-2024")</f>
        <v/>
      </c>
      <c r="T18">
        <f>HYPERLINK("https://klasma.github.io/Logging_1440/kartor/A 17566-2024 karta.png", "A 17566-2024")</f>
        <v/>
      </c>
      <c r="U18">
        <f>HYPERLINK("https://klasma.github.io/Logging_1440/knärot/A 17566-2024 karta knärot.png", "A 17566-2024")</f>
        <v/>
      </c>
      <c r="V18">
        <f>HYPERLINK("https://klasma.github.io/Logging_1440/klagomål/A 17566-2024 FSC-klagomål.docx", "A 17566-2024")</f>
        <v/>
      </c>
      <c r="W18">
        <f>HYPERLINK("https://klasma.github.io/Logging_1440/klagomålsmail/A 17566-2024 FSC-klagomål mail.docx", "A 17566-2024")</f>
        <v/>
      </c>
      <c r="X18">
        <f>HYPERLINK("https://klasma.github.io/Logging_1440/tillsyn/A 17566-2024 tillsynsbegäran.docx", "A 17566-2024")</f>
        <v/>
      </c>
      <c r="Y18">
        <f>HYPERLINK("https://klasma.github.io/Logging_1440/tillsynsmail/A 17566-2024 tillsynsbegäran mail.docx", "A 17566-2024")</f>
        <v/>
      </c>
      <c r="Z18">
        <f>HYPERLINK("https://klasma.github.io/Logging_1440/fåglar/A 17566-2024 prioriterade fågelarter.docx", "A 17566-2024")</f>
        <v/>
      </c>
    </row>
    <row r="19" ht="15" customHeight="1">
      <c r="A19" t="inlineStr">
        <is>
          <t>A 563-2024</t>
        </is>
      </c>
      <c r="B19" s="1" t="n">
        <v>45299</v>
      </c>
      <c r="C19" s="1" t="n">
        <v>46003</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46003</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19934-2025</t>
        </is>
      </c>
      <c r="B21" s="1" t="n">
        <v>45771</v>
      </c>
      <c r="C21" s="1" t="n">
        <v>46003</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26491-2024</t>
        </is>
      </c>
      <c r="B22" s="1" t="n">
        <v>45469</v>
      </c>
      <c r="C22" s="1" t="n">
        <v>46003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7903-2024</t>
        </is>
      </c>
      <c r="B23" s="1" t="n">
        <v>45350</v>
      </c>
      <c r="C23" s="1" t="n">
        <v>46003</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46003</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46003</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8955-2025</t>
        </is>
      </c>
      <c r="B26" s="1" t="n">
        <v>45713.46528935185</v>
      </c>
      <c r="C26" s="1" t="n">
        <v>46003</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42660-2024</t>
        </is>
      </c>
      <c r="B27" s="1" t="n">
        <v>45566.33841435185</v>
      </c>
      <c r="C27" s="1" t="n">
        <v>46003</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63569-2023</t>
        </is>
      </c>
      <c r="B28" s="1" t="n">
        <v>45275</v>
      </c>
      <c r="C28" s="1" t="n">
        <v>46003</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40931-2025</t>
        </is>
      </c>
      <c r="B29" s="1" t="n">
        <v>45897.64783564815</v>
      </c>
      <c r="C29" s="1" t="n">
        <v>46003</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2270-2025</t>
        </is>
      </c>
      <c r="B30" s="1" t="n">
        <v>45673.54403935185</v>
      </c>
      <c r="C30" s="1" t="n">
        <v>46003</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46003</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46003</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46003</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46003</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46003</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12084-2025</t>
        </is>
      </c>
      <c r="B36" s="1" t="n">
        <v>45728.95387731482</v>
      </c>
      <c r="C36" s="1" t="n">
        <v>46003</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12982-2024</t>
        </is>
      </c>
      <c r="B37" s="1" t="n">
        <v>45385.53569444444</v>
      </c>
      <c r="C37" s="1" t="n">
        <v>46003</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26493-2024</t>
        </is>
      </c>
      <c r="B38" s="1" t="n">
        <v>45469</v>
      </c>
      <c r="C38" s="1" t="n">
        <v>46003</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26677-2025</t>
        </is>
      </c>
      <c r="B39" s="1" t="n">
        <v>45810.42446759259</v>
      </c>
      <c r="C39" s="1" t="n">
        <v>46003</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46003</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46003</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46003</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46003</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46003</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46003</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46003</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46003</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46003</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46003</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66893-2021</t>
        </is>
      </c>
      <c r="B50" s="1" t="n">
        <v>44522.49439814815</v>
      </c>
      <c r="C50" s="1" t="n">
        <v>46003</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15508-2022</t>
        </is>
      </c>
      <c r="B51" s="1" t="n">
        <v>44662.39761574074</v>
      </c>
      <c r="C51" s="1" t="n">
        <v>46003</v>
      </c>
      <c r="D51" t="inlineStr">
        <is>
          <t>VÄSTRA GÖTALANDS LÄN</t>
        </is>
      </c>
      <c r="E51" t="inlineStr">
        <is>
          <t>ALE</t>
        </is>
      </c>
      <c r="G51" t="n">
        <v>0.4</v>
      </c>
      <c r="H51" t="n">
        <v>0</v>
      </c>
      <c r="I51" t="n">
        <v>0</v>
      </c>
      <c r="J51" t="n">
        <v>0</v>
      </c>
      <c r="K51" t="n">
        <v>0</v>
      </c>
      <c r="L51" t="n">
        <v>0</v>
      </c>
      <c r="M51" t="n">
        <v>0</v>
      </c>
      <c r="N51" t="n">
        <v>0</v>
      </c>
      <c r="O51" t="n">
        <v>0</v>
      </c>
      <c r="P51" t="n">
        <v>0</v>
      </c>
      <c r="Q51" t="n">
        <v>0</v>
      </c>
      <c r="R51" s="2" t="inlineStr"/>
    </row>
    <row r="52" ht="15" customHeight="1">
      <c r="A52" t="inlineStr">
        <is>
          <t>A 31566-2021</t>
        </is>
      </c>
      <c r="B52" s="1" t="n">
        <v>44369</v>
      </c>
      <c r="C52" s="1" t="n">
        <v>46003</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46003</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46003</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46003</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31568-2021</t>
        </is>
      </c>
      <c r="B56" s="1" t="n">
        <v>44369</v>
      </c>
      <c r="C56" s="1" t="n">
        <v>46003</v>
      </c>
      <c r="D56" t="inlineStr">
        <is>
          <t>VÄSTRA GÖTALANDS LÄN</t>
        </is>
      </c>
      <c r="E56" t="inlineStr">
        <is>
          <t>ALE</t>
        </is>
      </c>
      <c r="G56" t="n">
        <v>0.5</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46003</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46003</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46003</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65222-2021</t>
        </is>
      </c>
      <c r="B60" s="1" t="n">
        <v>44515</v>
      </c>
      <c r="C60" s="1" t="n">
        <v>46003</v>
      </c>
      <c r="D60" t="inlineStr">
        <is>
          <t>VÄSTRA GÖTALANDS LÄN</t>
        </is>
      </c>
      <c r="E60" t="inlineStr">
        <is>
          <t>ALE</t>
        </is>
      </c>
      <c r="G60" t="n">
        <v>1.2</v>
      </c>
      <c r="H60" t="n">
        <v>0</v>
      </c>
      <c r="I60" t="n">
        <v>0</v>
      </c>
      <c r="J60" t="n">
        <v>0</v>
      </c>
      <c r="K60" t="n">
        <v>0</v>
      </c>
      <c r="L60" t="n">
        <v>0</v>
      </c>
      <c r="M60" t="n">
        <v>0</v>
      </c>
      <c r="N60" t="n">
        <v>0</v>
      </c>
      <c r="O60" t="n">
        <v>0</v>
      </c>
      <c r="P60" t="n">
        <v>0</v>
      </c>
      <c r="Q60" t="n">
        <v>0</v>
      </c>
      <c r="R60" s="2" t="inlineStr"/>
    </row>
    <row r="61" ht="15" customHeight="1">
      <c r="A61" t="inlineStr">
        <is>
          <t>A 22138-2021</t>
        </is>
      </c>
      <c r="B61" s="1" t="n">
        <v>44324.67472222223</v>
      </c>
      <c r="C61" s="1" t="n">
        <v>46003</v>
      </c>
      <c r="D61" t="inlineStr">
        <is>
          <t>VÄSTRA GÖTALANDS LÄN</t>
        </is>
      </c>
      <c r="E61" t="inlineStr">
        <is>
          <t>ALE</t>
        </is>
      </c>
      <c r="G61" t="n">
        <v>0.6</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46003</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53476-2023</t>
        </is>
      </c>
      <c r="B63" s="1" t="n">
        <v>45230.33737268519</v>
      </c>
      <c r="C63" s="1" t="n">
        <v>46003</v>
      </c>
      <c r="D63" t="inlineStr">
        <is>
          <t>VÄSTRA GÖTALANDS LÄN</t>
        </is>
      </c>
      <c r="E63" t="inlineStr">
        <is>
          <t>ALE</t>
        </is>
      </c>
      <c r="G63" t="n">
        <v>1.9</v>
      </c>
      <c r="H63" t="n">
        <v>0</v>
      </c>
      <c r="I63" t="n">
        <v>0</v>
      </c>
      <c r="J63" t="n">
        <v>0</v>
      </c>
      <c r="K63" t="n">
        <v>0</v>
      </c>
      <c r="L63" t="n">
        <v>0</v>
      </c>
      <c r="M63" t="n">
        <v>0</v>
      </c>
      <c r="N63" t="n">
        <v>0</v>
      </c>
      <c r="O63" t="n">
        <v>0</v>
      </c>
      <c r="P63" t="n">
        <v>0</v>
      </c>
      <c r="Q63" t="n">
        <v>0</v>
      </c>
      <c r="R63" s="2" t="inlineStr"/>
    </row>
    <row r="64" ht="15" customHeight="1">
      <c r="A64" t="inlineStr">
        <is>
          <t>A 3520-2022</t>
        </is>
      </c>
      <c r="B64" s="1" t="n">
        <v>44585.72818287037</v>
      </c>
      <c r="C64" s="1" t="n">
        <v>46003</v>
      </c>
      <c r="D64" t="inlineStr">
        <is>
          <t>VÄSTRA GÖTALANDS LÄN</t>
        </is>
      </c>
      <c r="E64" t="inlineStr">
        <is>
          <t>ALE</t>
        </is>
      </c>
      <c r="G64" t="n">
        <v>2.3</v>
      </c>
      <c r="H64" t="n">
        <v>0</v>
      </c>
      <c r="I64" t="n">
        <v>0</v>
      </c>
      <c r="J64" t="n">
        <v>0</v>
      </c>
      <c r="K64" t="n">
        <v>0</v>
      </c>
      <c r="L64" t="n">
        <v>0</v>
      </c>
      <c r="M64" t="n">
        <v>0</v>
      </c>
      <c r="N64" t="n">
        <v>0</v>
      </c>
      <c r="O64" t="n">
        <v>0</v>
      </c>
      <c r="P64" t="n">
        <v>0</v>
      </c>
      <c r="Q64" t="n">
        <v>0</v>
      </c>
      <c r="R64" s="2" t="inlineStr"/>
    </row>
    <row r="65" ht="15" customHeight="1">
      <c r="A65" t="inlineStr">
        <is>
          <t>A 66551-2020</t>
        </is>
      </c>
      <c r="B65" s="1" t="n">
        <v>44179</v>
      </c>
      <c r="C65" s="1" t="n">
        <v>46003</v>
      </c>
      <c r="D65" t="inlineStr">
        <is>
          <t>VÄSTRA GÖTALANDS LÄN</t>
        </is>
      </c>
      <c r="E65" t="inlineStr">
        <is>
          <t>ALE</t>
        </is>
      </c>
      <c r="G65" t="n">
        <v>4.5</v>
      </c>
      <c r="H65" t="n">
        <v>0</v>
      </c>
      <c r="I65" t="n">
        <v>0</v>
      </c>
      <c r="J65" t="n">
        <v>0</v>
      </c>
      <c r="K65" t="n">
        <v>0</v>
      </c>
      <c r="L65" t="n">
        <v>0</v>
      </c>
      <c r="M65" t="n">
        <v>0</v>
      </c>
      <c r="N65" t="n">
        <v>0</v>
      </c>
      <c r="O65" t="n">
        <v>0</v>
      </c>
      <c r="P65" t="n">
        <v>0</v>
      </c>
      <c r="Q65" t="n">
        <v>0</v>
      </c>
      <c r="R65" s="2" t="inlineStr"/>
    </row>
    <row r="66" ht="15" customHeight="1">
      <c r="A66" t="inlineStr">
        <is>
          <t>A 33237-2024</t>
        </is>
      </c>
      <c r="B66" s="1" t="n">
        <v>45518.59173611111</v>
      </c>
      <c r="C66" s="1" t="n">
        <v>46003</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44429-2023</t>
        </is>
      </c>
      <c r="B67" s="1" t="n">
        <v>45189.35101851852</v>
      </c>
      <c r="C67" s="1" t="n">
        <v>46003</v>
      </c>
      <c r="D67" t="inlineStr">
        <is>
          <t>VÄSTRA GÖTALANDS LÄN</t>
        </is>
      </c>
      <c r="E67" t="inlineStr">
        <is>
          <t>ALE</t>
        </is>
      </c>
      <c r="G67" t="n">
        <v>0.1</v>
      </c>
      <c r="H67" t="n">
        <v>0</v>
      </c>
      <c r="I67" t="n">
        <v>0</v>
      </c>
      <c r="J67" t="n">
        <v>0</v>
      </c>
      <c r="K67" t="n">
        <v>0</v>
      </c>
      <c r="L67" t="n">
        <v>0</v>
      </c>
      <c r="M67" t="n">
        <v>0</v>
      </c>
      <c r="N67" t="n">
        <v>0</v>
      </c>
      <c r="O67" t="n">
        <v>0</v>
      </c>
      <c r="P67" t="n">
        <v>0</v>
      </c>
      <c r="Q67" t="n">
        <v>0</v>
      </c>
      <c r="R67" s="2" t="inlineStr"/>
    </row>
    <row r="68" ht="15" customHeight="1">
      <c r="A68" t="inlineStr">
        <is>
          <t>A 7892-2024</t>
        </is>
      </c>
      <c r="B68" s="1" t="n">
        <v>45350.40921296296</v>
      </c>
      <c r="C68" s="1" t="n">
        <v>46003</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41607-2022</t>
        </is>
      </c>
      <c r="B69" s="1" t="n">
        <v>44827.46658564815</v>
      </c>
      <c r="C69" s="1" t="n">
        <v>46003</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51164-2024</t>
        </is>
      </c>
      <c r="B70" s="1" t="n">
        <v>45603.5830787037</v>
      </c>
      <c r="C70" s="1" t="n">
        <v>46003</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26157-2023</t>
        </is>
      </c>
      <c r="B71" s="1" t="n">
        <v>45091.50479166667</v>
      </c>
      <c r="C71" s="1" t="n">
        <v>46003</v>
      </c>
      <c r="D71" t="inlineStr">
        <is>
          <t>VÄSTRA GÖTALANDS LÄN</t>
        </is>
      </c>
      <c r="E71" t="inlineStr">
        <is>
          <t>ALE</t>
        </is>
      </c>
      <c r="G71" t="n">
        <v>2.6</v>
      </c>
      <c r="H71" t="n">
        <v>0</v>
      </c>
      <c r="I71" t="n">
        <v>0</v>
      </c>
      <c r="J71" t="n">
        <v>0</v>
      </c>
      <c r="K71" t="n">
        <v>0</v>
      </c>
      <c r="L71" t="n">
        <v>0</v>
      </c>
      <c r="M71" t="n">
        <v>0</v>
      </c>
      <c r="N71" t="n">
        <v>0</v>
      </c>
      <c r="O71" t="n">
        <v>0</v>
      </c>
      <c r="P71" t="n">
        <v>0</v>
      </c>
      <c r="Q71" t="n">
        <v>0</v>
      </c>
      <c r="R71" s="2" t="inlineStr"/>
    </row>
    <row r="72" ht="15" customHeight="1">
      <c r="A72" t="inlineStr">
        <is>
          <t>A 4444-2024</t>
        </is>
      </c>
      <c r="B72" s="1" t="n">
        <v>45327</v>
      </c>
      <c r="C72" s="1" t="n">
        <v>46003</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26083-2023</t>
        </is>
      </c>
      <c r="B73" s="1" t="n">
        <v>45091</v>
      </c>
      <c r="C73" s="1" t="n">
        <v>46003</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72801-2021</t>
        </is>
      </c>
      <c r="B74" s="1" t="n">
        <v>44546</v>
      </c>
      <c r="C74" s="1" t="n">
        <v>46003</v>
      </c>
      <c r="D74" t="inlineStr">
        <is>
          <t>VÄSTRA GÖTALANDS LÄN</t>
        </is>
      </c>
      <c r="E74" t="inlineStr">
        <is>
          <t>ALE</t>
        </is>
      </c>
      <c r="F74" t="inlineStr">
        <is>
          <t>Naturvårdsverket</t>
        </is>
      </c>
      <c r="G74" t="n">
        <v>1.4</v>
      </c>
      <c r="H74" t="n">
        <v>0</v>
      </c>
      <c r="I74" t="n">
        <v>0</v>
      </c>
      <c r="J74" t="n">
        <v>0</v>
      </c>
      <c r="K74" t="n">
        <v>0</v>
      </c>
      <c r="L74" t="n">
        <v>0</v>
      </c>
      <c r="M74" t="n">
        <v>0</v>
      </c>
      <c r="N74" t="n">
        <v>0</v>
      </c>
      <c r="O74" t="n">
        <v>0</v>
      </c>
      <c r="P74" t="n">
        <v>0</v>
      </c>
      <c r="Q74" t="n">
        <v>0</v>
      </c>
      <c r="R74" s="2" t="inlineStr"/>
    </row>
    <row r="75" ht="15" customHeight="1">
      <c r="A75" t="inlineStr">
        <is>
          <t>A 14493-2024</t>
        </is>
      </c>
      <c r="B75" s="1" t="n">
        <v>45394.58491898148</v>
      </c>
      <c r="C75" s="1" t="n">
        <v>46003</v>
      </c>
      <c r="D75" t="inlineStr">
        <is>
          <t>VÄSTRA GÖTALANDS LÄN</t>
        </is>
      </c>
      <c r="E75" t="inlineStr">
        <is>
          <t>ALE</t>
        </is>
      </c>
      <c r="G75" t="n">
        <v>2.3</v>
      </c>
      <c r="H75" t="n">
        <v>0</v>
      </c>
      <c r="I75" t="n">
        <v>0</v>
      </c>
      <c r="J75" t="n">
        <v>0</v>
      </c>
      <c r="K75" t="n">
        <v>0</v>
      </c>
      <c r="L75" t="n">
        <v>0</v>
      </c>
      <c r="M75" t="n">
        <v>0</v>
      </c>
      <c r="N75" t="n">
        <v>0</v>
      </c>
      <c r="O75" t="n">
        <v>0</v>
      </c>
      <c r="P75" t="n">
        <v>0</v>
      </c>
      <c r="Q75" t="n">
        <v>0</v>
      </c>
      <c r="R75" s="2" t="inlineStr"/>
    </row>
    <row r="76" ht="15" customHeight="1">
      <c r="A76" t="inlineStr">
        <is>
          <t>A 36763-2022</t>
        </is>
      </c>
      <c r="B76" s="1" t="n">
        <v>44805</v>
      </c>
      <c r="C76" s="1" t="n">
        <v>46003</v>
      </c>
      <c r="D76" t="inlineStr">
        <is>
          <t>VÄSTRA GÖTALANDS LÄN</t>
        </is>
      </c>
      <c r="E76" t="inlineStr">
        <is>
          <t>ALE</t>
        </is>
      </c>
      <c r="G76" t="n">
        <v>6.1</v>
      </c>
      <c r="H76" t="n">
        <v>0</v>
      </c>
      <c r="I76" t="n">
        <v>0</v>
      </c>
      <c r="J76" t="n">
        <v>0</v>
      </c>
      <c r="K76" t="n">
        <v>0</v>
      </c>
      <c r="L76" t="n">
        <v>0</v>
      </c>
      <c r="M76" t="n">
        <v>0</v>
      </c>
      <c r="N76" t="n">
        <v>0</v>
      </c>
      <c r="O76" t="n">
        <v>0</v>
      </c>
      <c r="P76" t="n">
        <v>0</v>
      </c>
      <c r="Q76" t="n">
        <v>0</v>
      </c>
      <c r="R76" s="2" t="inlineStr"/>
    </row>
    <row r="77" ht="15" customHeight="1">
      <c r="A77" t="inlineStr">
        <is>
          <t>A 1500-2024</t>
        </is>
      </c>
      <c r="B77" s="1" t="n">
        <v>45306</v>
      </c>
      <c r="C77" s="1" t="n">
        <v>46003</v>
      </c>
      <c r="D77" t="inlineStr">
        <is>
          <t>VÄSTRA GÖTALANDS LÄN</t>
        </is>
      </c>
      <c r="E77" t="inlineStr">
        <is>
          <t>ALE</t>
        </is>
      </c>
      <c r="G77" t="n">
        <v>1.3</v>
      </c>
      <c r="H77" t="n">
        <v>0</v>
      </c>
      <c r="I77" t="n">
        <v>0</v>
      </c>
      <c r="J77" t="n">
        <v>0</v>
      </c>
      <c r="K77" t="n">
        <v>0</v>
      </c>
      <c r="L77" t="n">
        <v>0</v>
      </c>
      <c r="M77" t="n">
        <v>0</v>
      </c>
      <c r="N77" t="n">
        <v>0</v>
      </c>
      <c r="O77" t="n">
        <v>0</v>
      </c>
      <c r="P77" t="n">
        <v>0</v>
      </c>
      <c r="Q77" t="n">
        <v>0</v>
      </c>
      <c r="R77" s="2" t="inlineStr"/>
    </row>
    <row r="78" ht="15" customHeight="1">
      <c r="A78" t="inlineStr">
        <is>
          <t>A 56493-2021</t>
        </is>
      </c>
      <c r="B78" s="1" t="n">
        <v>44480.57173611111</v>
      </c>
      <c r="C78" s="1" t="n">
        <v>46003</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8956-2025</t>
        </is>
      </c>
      <c r="B79" s="1" t="n">
        <v>45713.46825231481</v>
      </c>
      <c r="C79" s="1" t="n">
        <v>46003</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46003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5875-2023</t>
        </is>
      </c>
      <c r="B81" s="1" t="n">
        <v>44963</v>
      </c>
      <c r="C81" s="1" t="n">
        <v>46003</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3407-2023</t>
        </is>
      </c>
      <c r="B82" s="1" t="n">
        <v>44949.54909722223</v>
      </c>
      <c r="C82" s="1" t="n">
        <v>46003</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51564-2023</t>
        </is>
      </c>
      <c r="B83" s="1" t="n">
        <v>45222</v>
      </c>
      <c r="C83" s="1" t="n">
        <v>46003</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35959-2022</t>
        </is>
      </c>
      <c r="B84" s="1" t="n">
        <v>44802.57002314815</v>
      </c>
      <c r="C84" s="1" t="n">
        <v>46003</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200-2022</t>
        </is>
      </c>
      <c r="B85" s="1" t="n">
        <v>44564</v>
      </c>
      <c r="C85" s="1" t="n">
        <v>46003</v>
      </c>
      <c r="D85" t="inlineStr">
        <is>
          <t>VÄSTRA GÖTALANDS LÄN</t>
        </is>
      </c>
      <c r="E85" t="inlineStr">
        <is>
          <t>ALE</t>
        </is>
      </c>
      <c r="G85" t="n">
        <v>6.8</v>
      </c>
      <c r="H85" t="n">
        <v>0</v>
      </c>
      <c r="I85" t="n">
        <v>0</v>
      </c>
      <c r="J85" t="n">
        <v>0</v>
      </c>
      <c r="K85" t="n">
        <v>0</v>
      </c>
      <c r="L85" t="n">
        <v>0</v>
      </c>
      <c r="M85" t="n">
        <v>0</v>
      </c>
      <c r="N85" t="n">
        <v>0</v>
      </c>
      <c r="O85" t="n">
        <v>0</v>
      </c>
      <c r="P85" t="n">
        <v>0</v>
      </c>
      <c r="Q85" t="n">
        <v>0</v>
      </c>
      <c r="R85" s="2" t="inlineStr"/>
    </row>
    <row r="86" ht="15" customHeight="1">
      <c r="A86" t="inlineStr">
        <is>
          <t>A 1822-2024</t>
        </is>
      </c>
      <c r="B86" s="1" t="n">
        <v>45307.6205787037</v>
      </c>
      <c r="C86" s="1" t="n">
        <v>46003</v>
      </c>
      <c r="D86" t="inlineStr">
        <is>
          <t>VÄSTRA GÖTALANDS LÄN</t>
        </is>
      </c>
      <c r="E86" t="inlineStr">
        <is>
          <t>ALE</t>
        </is>
      </c>
      <c r="G86" t="n">
        <v>2</v>
      </c>
      <c r="H86" t="n">
        <v>0</v>
      </c>
      <c r="I86" t="n">
        <v>0</v>
      </c>
      <c r="J86" t="n">
        <v>0</v>
      </c>
      <c r="K86" t="n">
        <v>0</v>
      </c>
      <c r="L86" t="n">
        <v>0</v>
      </c>
      <c r="M86" t="n">
        <v>0</v>
      </c>
      <c r="N86" t="n">
        <v>0</v>
      </c>
      <c r="O86" t="n">
        <v>0</v>
      </c>
      <c r="P86" t="n">
        <v>0</v>
      </c>
      <c r="Q86" t="n">
        <v>0</v>
      </c>
      <c r="R86" s="2" t="inlineStr"/>
    </row>
    <row r="87" ht="15" customHeight="1">
      <c r="A87" t="inlineStr">
        <is>
          <t>A 17044-2025</t>
        </is>
      </c>
      <c r="B87" s="1" t="n">
        <v>45755.58891203703</v>
      </c>
      <c r="C87" s="1" t="n">
        <v>46003</v>
      </c>
      <c r="D87" t="inlineStr">
        <is>
          <t>VÄSTRA GÖTALANDS LÄN</t>
        </is>
      </c>
      <c r="E87" t="inlineStr">
        <is>
          <t>ALE</t>
        </is>
      </c>
      <c r="G87" t="n">
        <v>1.5</v>
      </c>
      <c r="H87" t="n">
        <v>0</v>
      </c>
      <c r="I87" t="n">
        <v>0</v>
      </c>
      <c r="J87" t="n">
        <v>0</v>
      </c>
      <c r="K87" t="n">
        <v>0</v>
      </c>
      <c r="L87" t="n">
        <v>0</v>
      </c>
      <c r="M87" t="n">
        <v>0</v>
      </c>
      <c r="N87" t="n">
        <v>0</v>
      </c>
      <c r="O87" t="n">
        <v>0</v>
      </c>
      <c r="P87" t="n">
        <v>0</v>
      </c>
      <c r="Q87" t="n">
        <v>0</v>
      </c>
      <c r="R87" s="2" t="inlineStr"/>
    </row>
    <row r="88" ht="15" customHeight="1">
      <c r="A88" t="inlineStr">
        <is>
          <t>A 15241-2025</t>
        </is>
      </c>
      <c r="B88" s="1" t="n">
        <v>45744.61255787037</v>
      </c>
      <c r="C88" s="1" t="n">
        <v>46003</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36403-2024</t>
        </is>
      </c>
      <c r="B89" s="1" t="n">
        <v>45535.69445601852</v>
      </c>
      <c r="C89" s="1" t="n">
        <v>46003</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55405-2021</t>
        </is>
      </c>
      <c r="B90" s="1" t="n">
        <v>44475.53733796296</v>
      </c>
      <c r="C90" s="1" t="n">
        <v>46003</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6916-2023</t>
        </is>
      </c>
      <c r="B91" s="1" t="n">
        <v>44967.53349537037</v>
      </c>
      <c r="C91" s="1" t="n">
        <v>46003</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64199-2021</t>
        </is>
      </c>
      <c r="B92" s="1" t="n">
        <v>44510</v>
      </c>
      <c r="C92" s="1" t="n">
        <v>46003</v>
      </c>
      <c r="D92" t="inlineStr">
        <is>
          <t>VÄSTRA GÖTALANDS LÄN</t>
        </is>
      </c>
      <c r="E92" t="inlineStr">
        <is>
          <t>ALE</t>
        </is>
      </c>
      <c r="G92" t="n">
        <v>5.7</v>
      </c>
      <c r="H92" t="n">
        <v>0</v>
      </c>
      <c r="I92" t="n">
        <v>0</v>
      </c>
      <c r="J92" t="n">
        <v>0</v>
      </c>
      <c r="K92" t="n">
        <v>0</v>
      </c>
      <c r="L92" t="n">
        <v>0</v>
      </c>
      <c r="M92" t="n">
        <v>0</v>
      </c>
      <c r="N92" t="n">
        <v>0</v>
      </c>
      <c r="O92" t="n">
        <v>0</v>
      </c>
      <c r="P92" t="n">
        <v>0</v>
      </c>
      <c r="Q92" t="n">
        <v>0</v>
      </c>
      <c r="R92" s="2" t="inlineStr"/>
    </row>
    <row r="93" ht="15" customHeight="1">
      <c r="A93" t="inlineStr">
        <is>
          <t>A 15582-2025</t>
        </is>
      </c>
      <c r="B93" s="1" t="n">
        <v>45747.81394675926</v>
      </c>
      <c r="C93" s="1" t="n">
        <v>46003</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6947-2024</t>
        </is>
      </c>
      <c r="B94" s="1" t="n">
        <v>45343</v>
      </c>
      <c r="C94" s="1" t="n">
        <v>46003</v>
      </c>
      <c r="D94" t="inlineStr">
        <is>
          <t>VÄSTRA GÖTALANDS LÄN</t>
        </is>
      </c>
      <c r="E94" t="inlineStr">
        <is>
          <t>ALE</t>
        </is>
      </c>
      <c r="G94" t="n">
        <v>3.7</v>
      </c>
      <c r="H94" t="n">
        <v>0</v>
      </c>
      <c r="I94" t="n">
        <v>0</v>
      </c>
      <c r="J94" t="n">
        <v>0</v>
      </c>
      <c r="K94" t="n">
        <v>0</v>
      </c>
      <c r="L94" t="n">
        <v>0</v>
      </c>
      <c r="M94" t="n">
        <v>0</v>
      </c>
      <c r="N94" t="n">
        <v>0</v>
      </c>
      <c r="O94" t="n">
        <v>0</v>
      </c>
      <c r="P94" t="n">
        <v>0</v>
      </c>
      <c r="Q94" t="n">
        <v>0</v>
      </c>
      <c r="R94" s="2" t="inlineStr"/>
    </row>
    <row r="95" ht="15" customHeight="1">
      <c r="A95" t="inlineStr">
        <is>
          <t>A 34104-2024</t>
        </is>
      </c>
      <c r="B95" s="1" t="n">
        <v>45523.79202546296</v>
      </c>
      <c r="C95" s="1" t="n">
        <v>46003</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46003</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48257-2022</t>
        </is>
      </c>
      <c r="B97" s="1" t="n">
        <v>44858.47591435185</v>
      </c>
      <c r="C97" s="1" t="n">
        <v>46003</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18999-2021</t>
        </is>
      </c>
      <c r="B98" s="1" t="n">
        <v>44308</v>
      </c>
      <c r="C98" s="1" t="n">
        <v>46003</v>
      </c>
      <c r="D98" t="inlineStr">
        <is>
          <t>VÄSTRA GÖTALANDS LÄN</t>
        </is>
      </c>
      <c r="E98" t="inlineStr">
        <is>
          <t>ALE</t>
        </is>
      </c>
      <c r="G98" t="n">
        <v>3.7</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46003</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1687-2024</t>
        </is>
      </c>
      <c r="B100" s="1" t="n">
        <v>45306</v>
      </c>
      <c r="C100" s="1" t="n">
        <v>46003</v>
      </c>
      <c r="D100" t="inlineStr">
        <is>
          <t>VÄSTRA GÖTALANDS LÄN</t>
        </is>
      </c>
      <c r="E100" t="inlineStr">
        <is>
          <t>ALE</t>
        </is>
      </c>
      <c r="G100" t="n">
        <v>3.4</v>
      </c>
      <c r="H100" t="n">
        <v>0</v>
      </c>
      <c r="I100" t="n">
        <v>0</v>
      </c>
      <c r="J100" t="n">
        <v>0</v>
      </c>
      <c r="K100" t="n">
        <v>0</v>
      </c>
      <c r="L100" t="n">
        <v>0</v>
      </c>
      <c r="M100" t="n">
        <v>0</v>
      </c>
      <c r="N100" t="n">
        <v>0</v>
      </c>
      <c r="O100" t="n">
        <v>0</v>
      </c>
      <c r="P100" t="n">
        <v>0</v>
      </c>
      <c r="Q100" t="n">
        <v>0</v>
      </c>
      <c r="R100" s="2" t="inlineStr"/>
    </row>
    <row r="101" ht="15" customHeight="1">
      <c r="A101" t="inlineStr">
        <is>
          <t>A 50451-2024</t>
        </is>
      </c>
      <c r="B101" s="1" t="n">
        <v>45601.44248842593</v>
      </c>
      <c r="C101" s="1" t="n">
        <v>46003</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49680-2024</t>
        </is>
      </c>
      <c r="B102" s="1" t="n">
        <v>45596.66880787037</v>
      </c>
      <c r="C102" s="1" t="n">
        <v>46003</v>
      </c>
      <c r="D102" t="inlineStr">
        <is>
          <t>VÄSTRA GÖTALANDS LÄN</t>
        </is>
      </c>
      <c r="E102" t="inlineStr">
        <is>
          <t>ALE</t>
        </is>
      </c>
      <c r="G102" t="n">
        <v>3.7</v>
      </c>
      <c r="H102" t="n">
        <v>0</v>
      </c>
      <c r="I102" t="n">
        <v>0</v>
      </c>
      <c r="J102" t="n">
        <v>0</v>
      </c>
      <c r="K102" t="n">
        <v>0</v>
      </c>
      <c r="L102" t="n">
        <v>0</v>
      </c>
      <c r="M102" t="n">
        <v>0</v>
      </c>
      <c r="N102" t="n">
        <v>0</v>
      </c>
      <c r="O102" t="n">
        <v>0</v>
      </c>
      <c r="P102" t="n">
        <v>0</v>
      </c>
      <c r="Q102" t="n">
        <v>0</v>
      </c>
      <c r="R102" s="2" t="inlineStr"/>
    </row>
    <row r="103" ht="15" customHeight="1">
      <c r="A103" t="inlineStr">
        <is>
          <t>A 34153-2024</t>
        </is>
      </c>
      <c r="B103" s="1" t="n">
        <v>45524.38400462963</v>
      </c>
      <c r="C103" s="1" t="n">
        <v>46003</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41309-2024</t>
        </is>
      </c>
      <c r="B104" s="1" t="n">
        <v>45559</v>
      </c>
      <c r="C104" s="1" t="n">
        <v>46003</v>
      </c>
      <c r="D104" t="inlineStr">
        <is>
          <t>VÄSTRA GÖTALANDS LÄN</t>
        </is>
      </c>
      <c r="E104" t="inlineStr">
        <is>
          <t>ALE</t>
        </is>
      </c>
      <c r="G104" t="n">
        <v>8.4</v>
      </c>
      <c r="H104" t="n">
        <v>0</v>
      </c>
      <c r="I104" t="n">
        <v>0</v>
      </c>
      <c r="J104" t="n">
        <v>0</v>
      </c>
      <c r="K104" t="n">
        <v>0</v>
      </c>
      <c r="L104" t="n">
        <v>0</v>
      </c>
      <c r="M104" t="n">
        <v>0</v>
      </c>
      <c r="N104" t="n">
        <v>0</v>
      </c>
      <c r="O104" t="n">
        <v>0</v>
      </c>
      <c r="P104" t="n">
        <v>0</v>
      </c>
      <c r="Q104" t="n">
        <v>0</v>
      </c>
      <c r="R104" s="2" t="inlineStr"/>
    </row>
    <row r="105" ht="15" customHeight="1">
      <c r="A105" t="inlineStr">
        <is>
          <t>A 15499-2022</t>
        </is>
      </c>
      <c r="B105" s="1" t="n">
        <v>44662</v>
      </c>
      <c r="C105" s="1" t="n">
        <v>46003</v>
      </c>
      <c r="D105" t="inlineStr">
        <is>
          <t>VÄSTRA GÖTALANDS LÄN</t>
        </is>
      </c>
      <c r="E105" t="inlineStr">
        <is>
          <t>ALE</t>
        </is>
      </c>
      <c r="G105" t="n">
        <v>4.7</v>
      </c>
      <c r="H105" t="n">
        <v>0</v>
      </c>
      <c r="I105" t="n">
        <v>0</v>
      </c>
      <c r="J105" t="n">
        <v>0</v>
      </c>
      <c r="K105" t="n">
        <v>0</v>
      </c>
      <c r="L105" t="n">
        <v>0</v>
      </c>
      <c r="M105" t="n">
        <v>0</v>
      </c>
      <c r="N105" t="n">
        <v>0</v>
      </c>
      <c r="O105" t="n">
        <v>0</v>
      </c>
      <c r="P105" t="n">
        <v>0</v>
      </c>
      <c r="Q105" t="n">
        <v>0</v>
      </c>
      <c r="R105" s="2" t="inlineStr"/>
    </row>
    <row r="106" ht="15" customHeight="1">
      <c r="A106" t="inlineStr">
        <is>
          <t>A 3413-2023</t>
        </is>
      </c>
      <c r="B106" s="1" t="n">
        <v>44949</v>
      </c>
      <c r="C106" s="1" t="n">
        <v>46003</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27314-2021</t>
        </is>
      </c>
      <c r="B107" s="1" t="n">
        <v>44351.36537037037</v>
      </c>
      <c r="C107" s="1" t="n">
        <v>46003</v>
      </c>
      <c r="D107" t="inlineStr">
        <is>
          <t>VÄSTRA GÖTALANDS LÄN</t>
        </is>
      </c>
      <c r="E107" t="inlineStr">
        <is>
          <t>ALE</t>
        </is>
      </c>
      <c r="G107" t="n">
        <v>11.3</v>
      </c>
      <c r="H107" t="n">
        <v>0</v>
      </c>
      <c r="I107" t="n">
        <v>0</v>
      </c>
      <c r="J107" t="n">
        <v>0</v>
      </c>
      <c r="K107" t="n">
        <v>0</v>
      </c>
      <c r="L107" t="n">
        <v>0</v>
      </c>
      <c r="M107" t="n">
        <v>0</v>
      </c>
      <c r="N107" t="n">
        <v>0</v>
      </c>
      <c r="O107" t="n">
        <v>0</v>
      </c>
      <c r="P107" t="n">
        <v>0</v>
      </c>
      <c r="Q107" t="n">
        <v>0</v>
      </c>
      <c r="R107" s="2" t="inlineStr"/>
    </row>
    <row r="108" ht="15" customHeight="1">
      <c r="A108" t="inlineStr">
        <is>
          <t>A 7807-2023</t>
        </is>
      </c>
      <c r="B108" s="1" t="n">
        <v>44973</v>
      </c>
      <c r="C108" s="1" t="n">
        <v>46003</v>
      </c>
      <c r="D108" t="inlineStr">
        <is>
          <t>VÄSTRA GÖTALANDS LÄN</t>
        </is>
      </c>
      <c r="E108" t="inlineStr">
        <is>
          <t>ALE</t>
        </is>
      </c>
      <c r="G108" t="n">
        <v>10.5</v>
      </c>
      <c r="H108" t="n">
        <v>0</v>
      </c>
      <c r="I108" t="n">
        <v>0</v>
      </c>
      <c r="J108" t="n">
        <v>0</v>
      </c>
      <c r="K108" t="n">
        <v>0</v>
      </c>
      <c r="L108" t="n">
        <v>0</v>
      </c>
      <c r="M108" t="n">
        <v>0</v>
      </c>
      <c r="N108" t="n">
        <v>0</v>
      </c>
      <c r="O108" t="n">
        <v>0</v>
      </c>
      <c r="P108" t="n">
        <v>0</v>
      </c>
      <c r="Q108" t="n">
        <v>0</v>
      </c>
      <c r="R108" s="2" t="inlineStr"/>
    </row>
    <row r="109" ht="15" customHeight="1">
      <c r="A109" t="inlineStr">
        <is>
          <t>A 1960-2024</t>
        </is>
      </c>
      <c r="B109" s="1" t="n">
        <v>45308.50962962963</v>
      </c>
      <c r="C109" s="1" t="n">
        <v>46003</v>
      </c>
      <c r="D109" t="inlineStr">
        <is>
          <t>VÄSTRA GÖTALANDS LÄN</t>
        </is>
      </c>
      <c r="E109" t="inlineStr">
        <is>
          <t>ALE</t>
        </is>
      </c>
      <c r="G109" t="n">
        <v>1.9</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46003</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3418-2023</t>
        </is>
      </c>
      <c r="B111" s="1" t="n">
        <v>44949.56182870371</v>
      </c>
      <c r="C111" s="1" t="n">
        <v>46003</v>
      </c>
      <c r="D111" t="inlineStr">
        <is>
          <t>VÄSTRA GÖTALANDS LÄN</t>
        </is>
      </c>
      <c r="E111" t="inlineStr">
        <is>
          <t>ALE</t>
        </is>
      </c>
      <c r="G111" t="n">
        <v>1.1</v>
      </c>
      <c r="H111" t="n">
        <v>0</v>
      </c>
      <c r="I111" t="n">
        <v>0</v>
      </c>
      <c r="J111" t="n">
        <v>0</v>
      </c>
      <c r="K111" t="n">
        <v>0</v>
      </c>
      <c r="L111" t="n">
        <v>0</v>
      </c>
      <c r="M111" t="n">
        <v>0</v>
      </c>
      <c r="N111" t="n">
        <v>0</v>
      </c>
      <c r="O111" t="n">
        <v>0</v>
      </c>
      <c r="P111" t="n">
        <v>0</v>
      </c>
      <c r="Q111" t="n">
        <v>0</v>
      </c>
      <c r="R111" s="2" t="inlineStr"/>
    </row>
    <row r="112" ht="15" customHeight="1">
      <c r="A112" t="inlineStr">
        <is>
          <t>A 65226-2021</t>
        </is>
      </c>
      <c r="B112" s="1" t="n">
        <v>44515</v>
      </c>
      <c r="C112" s="1" t="n">
        <v>46003</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40074-2025</t>
        </is>
      </c>
      <c r="B113" s="1" t="n">
        <v>45894.44685185186</v>
      </c>
      <c r="C113" s="1" t="n">
        <v>46003</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46003</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42446-2023</t>
        </is>
      </c>
      <c r="B115" s="1" t="n">
        <v>45180</v>
      </c>
      <c r="C115" s="1" t="n">
        <v>46003</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67160-2021</t>
        </is>
      </c>
      <c r="B116" s="1" t="n">
        <v>44523</v>
      </c>
      <c r="C116" s="1" t="n">
        <v>46003</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3457-2022</t>
        </is>
      </c>
      <c r="B117" s="1" t="n">
        <v>44585</v>
      </c>
      <c r="C117" s="1" t="n">
        <v>46003</v>
      </c>
      <c r="D117" t="inlineStr">
        <is>
          <t>VÄSTRA GÖTALANDS LÄN</t>
        </is>
      </c>
      <c r="E117" t="inlineStr">
        <is>
          <t>ALE</t>
        </is>
      </c>
      <c r="G117" t="n">
        <v>5.1</v>
      </c>
      <c r="H117" t="n">
        <v>0</v>
      </c>
      <c r="I117" t="n">
        <v>0</v>
      </c>
      <c r="J117" t="n">
        <v>0</v>
      </c>
      <c r="K117" t="n">
        <v>0</v>
      </c>
      <c r="L117" t="n">
        <v>0</v>
      </c>
      <c r="M117" t="n">
        <v>0</v>
      </c>
      <c r="N117" t="n">
        <v>0</v>
      </c>
      <c r="O117" t="n">
        <v>0</v>
      </c>
      <c r="P117" t="n">
        <v>0</v>
      </c>
      <c r="Q117" t="n">
        <v>0</v>
      </c>
      <c r="R117" s="2" t="inlineStr"/>
    </row>
    <row r="118" ht="15" customHeight="1">
      <c r="A118" t="inlineStr">
        <is>
          <t>A 16344-2023</t>
        </is>
      </c>
      <c r="B118" s="1" t="n">
        <v>45028</v>
      </c>
      <c r="C118" s="1" t="n">
        <v>46003</v>
      </c>
      <c r="D118" t="inlineStr">
        <is>
          <t>VÄSTRA GÖTALANDS LÄN</t>
        </is>
      </c>
      <c r="E118" t="inlineStr">
        <is>
          <t>ALE</t>
        </is>
      </c>
      <c r="G118" t="n">
        <v>6.6</v>
      </c>
      <c r="H118" t="n">
        <v>0</v>
      </c>
      <c r="I118" t="n">
        <v>0</v>
      </c>
      <c r="J118" t="n">
        <v>0</v>
      </c>
      <c r="K118" t="n">
        <v>0</v>
      </c>
      <c r="L118" t="n">
        <v>0</v>
      </c>
      <c r="M118" t="n">
        <v>0</v>
      </c>
      <c r="N118" t="n">
        <v>0</v>
      </c>
      <c r="O118" t="n">
        <v>0</v>
      </c>
      <c r="P118" t="n">
        <v>0</v>
      </c>
      <c r="Q118" t="n">
        <v>0</v>
      </c>
      <c r="R118" s="2" t="inlineStr"/>
    </row>
    <row r="119" ht="15" customHeight="1">
      <c r="A119" t="inlineStr">
        <is>
          <t>A 32762-2023</t>
        </is>
      </c>
      <c r="B119" s="1" t="n">
        <v>45123.46649305556</v>
      </c>
      <c r="C119" s="1" t="n">
        <v>46003</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69325-2020</t>
        </is>
      </c>
      <c r="B120" s="1" t="n">
        <v>44193</v>
      </c>
      <c r="C120" s="1" t="n">
        <v>46003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41598-2022</t>
        </is>
      </c>
      <c r="B121" s="1" t="n">
        <v>44827.4609837963</v>
      </c>
      <c r="C121" s="1" t="n">
        <v>46003</v>
      </c>
      <c r="D121" t="inlineStr">
        <is>
          <t>VÄSTRA GÖTALANDS LÄN</t>
        </is>
      </c>
      <c r="E121" t="inlineStr">
        <is>
          <t>ALE</t>
        </is>
      </c>
      <c r="G121" t="n">
        <v>2</v>
      </c>
      <c r="H121" t="n">
        <v>0</v>
      </c>
      <c r="I121" t="n">
        <v>0</v>
      </c>
      <c r="J121" t="n">
        <v>0</v>
      </c>
      <c r="K121" t="n">
        <v>0</v>
      </c>
      <c r="L121" t="n">
        <v>0</v>
      </c>
      <c r="M121" t="n">
        <v>0</v>
      </c>
      <c r="N121" t="n">
        <v>0</v>
      </c>
      <c r="O121" t="n">
        <v>0</v>
      </c>
      <c r="P121" t="n">
        <v>0</v>
      </c>
      <c r="Q121" t="n">
        <v>0</v>
      </c>
      <c r="R121" s="2" t="inlineStr"/>
    </row>
    <row r="122" ht="15" customHeight="1">
      <c r="A122" t="inlineStr">
        <is>
          <t>A 14458-2024</t>
        </is>
      </c>
      <c r="B122" s="1" t="n">
        <v>45394</v>
      </c>
      <c r="C122" s="1" t="n">
        <v>46003</v>
      </c>
      <c r="D122" t="inlineStr">
        <is>
          <t>VÄSTRA GÖTALANDS LÄN</t>
        </is>
      </c>
      <c r="E122" t="inlineStr">
        <is>
          <t>ALE</t>
        </is>
      </c>
      <c r="G122" t="n">
        <v>0.5</v>
      </c>
      <c r="H122" t="n">
        <v>0</v>
      </c>
      <c r="I122" t="n">
        <v>0</v>
      </c>
      <c r="J122" t="n">
        <v>0</v>
      </c>
      <c r="K122" t="n">
        <v>0</v>
      </c>
      <c r="L122" t="n">
        <v>0</v>
      </c>
      <c r="M122" t="n">
        <v>0</v>
      </c>
      <c r="N122" t="n">
        <v>0</v>
      </c>
      <c r="O122" t="n">
        <v>0</v>
      </c>
      <c r="P122" t="n">
        <v>0</v>
      </c>
      <c r="Q122" t="n">
        <v>0</v>
      </c>
      <c r="R122" s="2" t="inlineStr"/>
    </row>
    <row r="123" ht="15" customHeight="1">
      <c r="A123" t="inlineStr">
        <is>
          <t>A 5916-2023</t>
        </is>
      </c>
      <c r="B123" s="1" t="n">
        <v>44963</v>
      </c>
      <c r="C123" s="1" t="n">
        <v>46003</v>
      </c>
      <c r="D123" t="inlineStr">
        <is>
          <t>VÄSTRA GÖTALANDS LÄN</t>
        </is>
      </c>
      <c r="E123" t="inlineStr">
        <is>
          <t>ALE</t>
        </is>
      </c>
      <c r="G123" t="n">
        <v>4.2</v>
      </c>
      <c r="H123" t="n">
        <v>0</v>
      </c>
      <c r="I123" t="n">
        <v>0</v>
      </c>
      <c r="J123" t="n">
        <v>0</v>
      </c>
      <c r="K123" t="n">
        <v>0</v>
      </c>
      <c r="L123" t="n">
        <v>0</v>
      </c>
      <c r="M123" t="n">
        <v>0</v>
      </c>
      <c r="N123" t="n">
        <v>0</v>
      </c>
      <c r="O123" t="n">
        <v>0</v>
      </c>
      <c r="P123" t="n">
        <v>0</v>
      </c>
      <c r="Q123" t="n">
        <v>0</v>
      </c>
      <c r="R123" s="2" t="inlineStr"/>
    </row>
    <row r="124" ht="15" customHeight="1">
      <c r="A124" t="inlineStr">
        <is>
          <t>A 13426-2025</t>
        </is>
      </c>
      <c r="B124" s="1" t="n">
        <v>45736.32780092592</v>
      </c>
      <c r="C124" s="1" t="n">
        <v>46003</v>
      </c>
      <c r="D124" t="inlineStr">
        <is>
          <t>VÄSTRA GÖTALANDS LÄN</t>
        </is>
      </c>
      <c r="E124" t="inlineStr">
        <is>
          <t>ALE</t>
        </is>
      </c>
      <c r="G124" t="n">
        <v>1.5</v>
      </c>
      <c r="H124" t="n">
        <v>0</v>
      </c>
      <c r="I124" t="n">
        <v>0</v>
      </c>
      <c r="J124" t="n">
        <v>0</v>
      </c>
      <c r="K124" t="n">
        <v>0</v>
      </c>
      <c r="L124" t="n">
        <v>0</v>
      </c>
      <c r="M124" t="n">
        <v>0</v>
      </c>
      <c r="N124" t="n">
        <v>0</v>
      </c>
      <c r="O124" t="n">
        <v>0</v>
      </c>
      <c r="P124" t="n">
        <v>0</v>
      </c>
      <c r="Q124" t="n">
        <v>0</v>
      </c>
      <c r="R124" s="2" t="inlineStr"/>
    </row>
    <row r="125" ht="15" customHeight="1">
      <c r="A125" t="inlineStr">
        <is>
          <t>A 47087-2023</t>
        </is>
      </c>
      <c r="B125" s="1" t="n">
        <v>45196</v>
      </c>
      <c r="C125" s="1" t="n">
        <v>46003</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4642-2024</t>
        </is>
      </c>
      <c r="B126" s="1" t="n">
        <v>45328.43502314815</v>
      </c>
      <c r="C126" s="1" t="n">
        <v>46003</v>
      </c>
      <c r="D126" t="inlineStr">
        <is>
          <t>VÄSTRA GÖTALANDS LÄN</t>
        </is>
      </c>
      <c r="E126" t="inlineStr">
        <is>
          <t>ALE</t>
        </is>
      </c>
      <c r="G126" t="n">
        <v>7.1</v>
      </c>
      <c r="H126" t="n">
        <v>0</v>
      </c>
      <c r="I126" t="n">
        <v>0</v>
      </c>
      <c r="J126" t="n">
        <v>0</v>
      </c>
      <c r="K126" t="n">
        <v>0</v>
      </c>
      <c r="L126" t="n">
        <v>0</v>
      </c>
      <c r="M126" t="n">
        <v>0</v>
      </c>
      <c r="N126" t="n">
        <v>0</v>
      </c>
      <c r="O126" t="n">
        <v>0</v>
      </c>
      <c r="P126" t="n">
        <v>0</v>
      </c>
      <c r="Q126" t="n">
        <v>0</v>
      </c>
      <c r="R126" s="2" t="inlineStr"/>
    </row>
    <row r="127" ht="15" customHeight="1">
      <c r="A127" t="inlineStr">
        <is>
          <t>A 22946-2025</t>
        </is>
      </c>
      <c r="B127" s="1" t="n">
        <v>45790.48229166667</v>
      </c>
      <c r="C127" s="1" t="n">
        <v>46003</v>
      </c>
      <c r="D127" t="inlineStr">
        <is>
          <t>VÄSTRA GÖTALANDS LÄN</t>
        </is>
      </c>
      <c r="E127" t="inlineStr">
        <is>
          <t>ALE</t>
        </is>
      </c>
      <c r="G127" t="n">
        <v>0.6</v>
      </c>
      <c r="H127" t="n">
        <v>0</v>
      </c>
      <c r="I127" t="n">
        <v>0</v>
      </c>
      <c r="J127" t="n">
        <v>0</v>
      </c>
      <c r="K127" t="n">
        <v>0</v>
      </c>
      <c r="L127" t="n">
        <v>0</v>
      </c>
      <c r="M127" t="n">
        <v>0</v>
      </c>
      <c r="N127" t="n">
        <v>0</v>
      </c>
      <c r="O127" t="n">
        <v>0</v>
      </c>
      <c r="P127" t="n">
        <v>0</v>
      </c>
      <c r="Q127" t="n">
        <v>0</v>
      </c>
      <c r="R127" s="2" t="inlineStr"/>
    </row>
    <row r="128" ht="15" customHeight="1">
      <c r="A128" t="inlineStr">
        <is>
          <t>A 14731-2022</t>
        </is>
      </c>
      <c r="B128" s="1" t="n">
        <v>44656</v>
      </c>
      <c r="C128" s="1" t="n">
        <v>46003</v>
      </c>
      <c r="D128" t="inlineStr">
        <is>
          <t>VÄSTRA GÖTALANDS LÄN</t>
        </is>
      </c>
      <c r="E128" t="inlineStr">
        <is>
          <t>ALE</t>
        </is>
      </c>
      <c r="G128" t="n">
        <v>1.8</v>
      </c>
      <c r="H128" t="n">
        <v>0</v>
      </c>
      <c r="I128" t="n">
        <v>0</v>
      </c>
      <c r="J128" t="n">
        <v>0</v>
      </c>
      <c r="K128" t="n">
        <v>0</v>
      </c>
      <c r="L128" t="n">
        <v>0</v>
      </c>
      <c r="M128" t="n">
        <v>0</v>
      </c>
      <c r="N128" t="n">
        <v>0</v>
      </c>
      <c r="O128" t="n">
        <v>0</v>
      </c>
      <c r="P128" t="n">
        <v>0</v>
      </c>
      <c r="Q128" t="n">
        <v>0</v>
      </c>
      <c r="R128" s="2" t="inlineStr"/>
    </row>
    <row r="129" ht="15" customHeight="1">
      <c r="A129" t="inlineStr">
        <is>
          <t>A 4363-2024</t>
        </is>
      </c>
      <c r="B129" s="1" t="n">
        <v>45325</v>
      </c>
      <c r="C129" s="1" t="n">
        <v>46003</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4971-2024</t>
        </is>
      </c>
      <c r="B130" s="1" t="n">
        <v>45329</v>
      </c>
      <c r="C130" s="1" t="n">
        <v>46003</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16601-2025</t>
        </is>
      </c>
      <c r="B131" s="1" t="n">
        <v>45753.53189814815</v>
      </c>
      <c r="C131" s="1" t="n">
        <v>46003</v>
      </c>
      <c r="D131" t="inlineStr">
        <is>
          <t>VÄSTRA GÖTALANDS LÄN</t>
        </is>
      </c>
      <c r="E131" t="inlineStr">
        <is>
          <t>ALE</t>
        </is>
      </c>
      <c r="G131" t="n">
        <v>1.7</v>
      </c>
      <c r="H131" t="n">
        <v>0</v>
      </c>
      <c r="I131" t="n">
        <v>0</v>
      </c>
      <c r="J131" t="n">
        <v>0</v>
      </c>
      <c r="K131" t="n">
        <v>0</v>
      </c>
      <c r="L131" t="n">
        <v>0</v>
      </c>
      <c r="M131" t="n">
        <v>0</v>
      </c>
      <c r="N131" t="n">
        <v>0</v>
      </c>
      <c r="O131" t="n">
        <v>0</v>
      </c>
      <c r="P131" t="n">
        <v>0</v>
      </c>
      <c r="Q131" t="n">
        <v>0</v>
      </c>
      <c r="R131" s="2" t="inlineStr"/>
    </row>
    <row r="132" ht="15" customHeight="1">
      <c r="A132" t="inlineStr">
        <is>
          <t>A 37461-2024</t>
        </is>
      </c>
      <c r="B132" s="1" t="n">
        <v>45540.72516203704</v>
      </c>
      <c r="C132" s="1" t="n">
        <v>46003</v>
      </c>
      <c r="D132" t="inlineStr">
        <is>
          <t>VÄSTRA GÖTALANDS LÄN</t>
        </is>
      </c>
      <c r="E132" t="inlineStr">
        <is>
          <t>ALE</t>
        </is>
      </c>
      <c r="G132" t="n">
        <v>1.6</v>
      </c>
      <c r="H132" t="n">
        <v>0</v>
      </c>
      <c r="I132" t="n">
        <v>0</v>
      </c>
      <c r="J132" t="n">
        <v>0</v>
      </c>
      <c r="K132" t="n">
        <v>0</v>
      </c>
      <c r="L132" t="n">
        <v>0</v>
      </c>
      <c r="M132" t="n">
        <v>0</v>
      </c>
      <c r="N132" t="n">
        <v>0</v>
      </c>
      <c r="O132" t="n">
        <v>0</v>
      </c>
      <c r="P132" t="n">
        <v>0</v>
      </c>
      <c r="Q132" t="n">
        <v>0</v>
      </c>
      <c r="R132" s="2" t="inlineStr"/>
    </row>
    <row r="133" ht="15" customHeight="1">
      <c r="A133" t="inlineStr">
        <is>
          <t>A 20067-2023</t>
        </is>
      </c>
      <c r="B133" s="1" t="n">
        <v>45054</v>
      </c>
      <c r="C133" s="1" t="n">
        <v>46003</v>
      </c>
      <c r="D133" t="inlineStr">
        <is>
          <t>VÄSTRA GÖTALANDS LÄN</t>
        </is>
      </c>
      <c r="E133" t="inlineStr">
        <is>
          <t>ALE</t>
        </is>
      </c>
      <c r="G133" t="n">
        <v>0.4</v>
      </c>
      <c r="H133" t="n">
        <v>0</v>
      </c>
      <c r="I133" t="n">
        <v>0</v>
      </c>
      <c r="J133" t="n">
        <v>0</v>
      </c>
      <c r="K133" t="n">
        <v>0</v>
      </c>
      <c r="L133" t="n">
        <v>0</v>
      </c>
      <c r="M133" t="n">
        <v>0</v>
      </c>
      <c r="N133" t="n">
        <v>0</v>
      </c>
      <c r="O133" t="n">
        <v>0</v>
      </c>
      <c r="P133" t="n">
        <v>0</v>
      </c>
      <c r="Q133" t="n">
        <v>0</v>
      </c>
      <c r="R133" s="2" t="inlineStr"/>
    </row>
    <row r="134" ht="15" customHeight="1">
      <c r="A134" t="inlineStr">
        <is>
          <t>A 46226-2025</t>
        </is>
      </c>
      <c r="B134" s="1" t="n">
        <v>45924</v>
      </c>
      <c r="C134" s="1" t="n">
        <v>46003</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46227-2025</t>
        </is>
      </c>
      <c r="B135" s="1" t="n">
        <v>45924.90386574074</v>
      </c>
      <c r="C135" s="1" t="n">
        <v>46003</v>
      </c>
      <c r="D135" t="inlineStr">
        <is>
          <t>VÄSTRA GÖTALANDS LÄN</t>
        </is>
      </c>
      <c r="E135" t="inlineStr">
        <is>
          <t>ALE</t>
        </is>
      </c>
      <c r="G135" t="n">
        <v>0.3</v>
      </c>
      <c r="H135" t="n">
        <v>0</v>
      </c>
      <c r="I135" t="n">
        <v>0</v>
      </c>
      <c r="J135" t="n">
        <v>0</v>
      </c>
      <c r="K135" t="n">
        <v>0</v>
      </c>
      <c r="L135" t="n">
        <v>0</v>
      </c>
      <c r="M135" t="n">
        <v>0</v>
      </c>
      <c r="N135" t="n">
        <v>0</v>
      </c>
      <c r="O135" t="n">
        <v>0</v>
      </c>
      <c r="P135" t="n">
        <v>0</v>
      </c>
      <c r="Q135" t="n">
        <v>0</v>
      </c>
      <c r="R135" s="2" t="inlineStr"/>
    </row>
    <row r="136" ht="15" customHeight="1">
      <c r="A136" t="inlineStr">
        <is>
          <t>A 47330-2025</t>
        </is>
      </c>
      <c r="B136" s="1" t="n">
        <v>45930.56170138889</v>
      </c>
      <c r="C136" s="1" t="n">
        <v>46003</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25849-2025</t>
        </is>
      </c>
      <c r="B137" s="1" t="n">
        <v>45804</v>
      </c>
      <c r="C137" s="1" t="n">
        <v>46003</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25848-2025</t>
        </is>
      </c>
      <c r="B138" s="1" t="n">
        <v>45804</v>
      </c>
      <c r="C138" s="1" t="n">
        <v>46003</v>
      </c>
      <c r="D138" t="inlineStr">
        <is>
          <t>VÄSTRA GÖTALANDS LÄN</t>
        </is>
      </c>
      <c r="E138" t="inlineStr">
        <is>
          <t>ALE</t>
        </is>
      </c>
      <c r="G138" t="n">
        <v>1.1</v>
      </c>
      <c r="H138" t="n">
        <v>0</v>
      </c>
      <c r="I138" t="n">
        <v>0</v>
      </c>
      <c r="J138" t="n">
        <v>0</v>
      </c>
      <c r="K138" t="n">
        <v>0</v>
      </c>
      <c r="L138" t="n">
        <v>0</v>
      </c>
      <c r="M138" t="n">
        <v>0</v>
      </c>
      <c r="N138" t="n">
        <v>0</v>
      </c>
      <c r="O138" t="n">
        <v>0</v>
      </c>
      <c r="P138" t="n">
        <v>0</v>
      </c>
      <c r="Q138" t="n">
        <v>0</v>
      </c>
      <c r="R138" s="2" t="inlineStr"/>
    </row>
    <row r="139" ht="15" customHeight="1">
      <c r="A139" t="inlineStr">
        <is>
          <t>A 25840-2025</t>
        </is>
      </c>
      <c r="B139" s="1" t="n">
        <v>45804</v>
      </c>
      <c r="C139" s="1" t="n">
        <v>46003</v>
      </c>
      <c r="D139" t="inlineStr">
        <is>
          <t>VÄSTRA GÖTALANDS LÄN</t>
        </is>
      </c>
      <c r="E139" t="inlineStr">
        <is>
          <t>ALE</t>
        </is>
      </c>
      <c r="G139" t="n">
        <v>3.8</v>
      </c>
      <c r="H139" t="n">
        <v>0</v>
      </c>
      <c r="I139" t="n">
        <v>0</v>
      </c>
      <c r="J139" t="n">
        <v>0</v>
      </c>
      <c r="K139" t="n">
        <v>0</v>
      </c>
      <c r="L139" t="n">
        <v>0</v>
      </c>
      <c r="M139" t="n">
        <v>0</v>
      </c>
      <c r="N139" t="n">
        <v>0</v>
      </c>
      <c r="O139" t="n">
        <v>0</v>
      </c>
      <c r="P139" t="n">
        <v>0</v>
      </c>
      <c r="Q139" t="n">
        <v>0</v>
      </c>
      <c r="R139" s="2" t="inlineStr"/>
    </row>
    <row r="140" ht="15" customHeight="1">
      <c r="A140" t="inlineStr">
        <is>
          <t>A 47592-2025</t>
        </is>
      </c>
      <c r="B140" s="1" t="n">
        <v>45931.44649305556</v>
      </c>
      <c r="C140" s="1" t="n">
        <v>46003</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47593-2025</t>
        </is>
      </c>
      <c r="B141" s="1" t="n">
        <v>45931.4480787037</v>
      </c>
      <c r="C141" s="1" t="n">
        <v>46003</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47728-2025</t>
        </is>
      </c>
      <c r="B142" s="1" t="n">
        <v>45931.63186342592</v>
      </c>
      <c r="C142" s="1" t="n">
        <v>46003</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57473-2022</t>
        </is>
      </c>
      <c r="B143" s="1" t="n">
        <v>44896</v>
      </c>
      <c r="C143" s="1" t="n">
        <v>46003</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56905-2025</t>
        </is>
      </c>
      <c r="B144" s="1" t="n">
        <v>45978.57502314815</v>
      </c>
      <c r="C144" s="1" t="n">
        <v>46003</v>
      </c>
      <c r="D144" t="inlineStr">
        <is>
          <t>VÄSTRA GÖTALANDS LÄN</t>
        </is>
      </c>
      <c r="E144" t="inlineStr">
        <is>
          <t>ALE</t>
        </is>
      </c>
      <c r="G144" t="n">
        <v>5.2</v>
      </c>
      <c r="H144" t="n">
        <v>0</v>
      </c>
      <c r="I144" t="n">
        <v>0</v>
      </c>
      <c r="J144" t="n">
        <v>0</v>
      </c>
      <c r="K144" t="n">
        <v>0</v>
      </c>
      <c r="L144" t="n">
        <v>0</v>
      </c>
      <c r="M144" t="n">
        <v>0</v>
      </c>
      <c r="N144" t="n">
        <v>0</v>
      </c>
      <c r="O144" t="n">
        <v>0</v>
      </c>
      <c r="P144" t="n">
        <v>0</v>
      </c>
      <c r="Q144" t="n">
        <v>0</v>
      </c>
      <c r="R144" s="2" t="inlineStr"/>
    </row>
    <row r="145" ht="15" customHeight="1">
      <c r="A145" t="inlineStr">
        <is>
          <t>A 1566-2022</t>
        </is>
      </c>
      <c r="B145" s="1" t="n">
        <v>44573</v>
      </c>
      <c r="C145" s="1" t="n">
        <v>46003</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8659-2025</t>
        </is>
      </c>
      <c r="B146" s="1" t="n">
        <v>45712</v>
      </c>
      <c r="C146" s="1" t="n">
        <v>46003</v>
      </c>
      <c r="D146" t="inlineStr">
        <is>
          <t>VÄSTRA GÖTALANDS LÄN</t>
        </is>
      </c>
      <c r="E146" t="inlineStr">
        <is>
          <t>ALE</t>
        </is>
      </c>
      <c r="G146" t="n">
        <v>5.7</v>
      </c>
      <c r="H146" t="n">
        <v>0</v>
      </c>
      <c r="I146" t="n">
        <v>0</v>
      </c>
      <c r="J146" t="n">
        <v>0</v>
      </c>
      <c r="K146" t="n">
        <v>0</v>
      </c>
      <c r="L146" t="n">
        <v>0</v>
      </c>
      <c r="M146" t="n">
        <v>0</v>
      </c>
      <c r="N146" t="n">
        <v>0</v>
      </c>
      <c r="O146" t="n">
        <v>0</v>
      </c>
      <c r="P146" t="n">
        <v>0</v>
      </c>
      <c r="Q146" t="n">
        <v>0</v>
      </c>
      <c r="R146" s="2" t="inlineStr"/>
    </row>
    <row r="147" ht="15" customHeight="1">
      <c r="A147" t="inlineStr">
        <is>
          <t>A 12445-2022</t>
        </is>
      </c>
      <c r="B147" s="1" t="n">
        <v>44638</v>
      </c>
      <c r="C147" s="1" t="n">
        <v>46003</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5344-2024</t>
        </is>
      </c>
      <c r="B148" s="1" t="n">
        <v>45331</v>
      </c>
      <c r="C148" s="1" t="n">
        <v>46003</v>
      </c>
      <c r="D148" t="inlineStr">
        <is>
          <t>VÄSTRA GÖTALANDS LÄN</t>
        </is>
      </c>
      <c r="E148" t="inlineStr">
        <is>
          <t>ALE</t>
        </is>
      </c>
      <c r="G148" t="n">
        <v>2.5</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46003</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59933-2023</t>
        </is>
      </c>
      <c r="B150" s="1" t="n">
        <v>45257</v>
      </c>
      <c r="C150" s="1" t="n">
        <v>46003</v>
      </c>
      <c r="D150" t="inlineStr">
        <is>
          <t>VÄSTRA GÖTALANDS LÄN</t>
        </is>
      </c>
      <c r="E150" t="inlineStr">
        <is>
          <t>ALE</t>
        </is>
      </c>
      <c r="G150" t="n">
        <v>2.7</v>
      </c>
      <c r="H150" t="n">
        <v>0</v>
      </c>
      <c r="I150" t="n">
        <v>0</v>
      </c>
      <c r="J150" t="n">
        <v>0</v>
      </c>
      <c r="K150" t="n">
        <v>0</v>
      </c>
      <c r="L150" t="n">
        <v>0</v>
      </c>
      <c r="M150" t="n">
        <v>0</v>
      </c>
      <c r="N150" t="n">
        <v>0</v>
      </c>
      <c r="O150" t="n">
        <v>0</v>
      </c>
      <c r="P150" t="n">
        <v>0</v>
      </c>
      <c r="Q150" t="n">
        <v>0</v>
      </c>
      <c r="R150" s="2" t="inlineStr"/>
    </row>
    <row r="151" ht="15" customHeight="1">
      <c r="A151" t="inlineStr">
        <is>
          <t>A 48213-2025</t>
        </is>
      </c>
      <c r="B151" s="1" t="n">
        <v>45933</v>
      </c>
      <c r="C151" s="1" t="n">
        <v>46003</v>
      </c>
      <c r="D151" t="inlineStr">
        <is>
          <t>VÄSTRA GÖTALANDS LÄN</t>
        </is>
      </c>
      <c r="E151" t="inlineStr">
        <is>
          <t>ALE</t>
        </is>
      </c>
      <c r="G151" t="n">
        <v>3.3</v>
      </c>
      <c r="H151" t="n">
        <v>0</v>
      </c>
      <c r="I151" t="n">
        <v>0</v>
      </c>
      <c r="J151" t="n">
        <v>0</v>
      </c>
      <c r="K151" t="n">
        <v>0</v>
      </c>
      <c r="L151" t="n">
        <v>0</v>
      </c>
      <c r="M151" t="n">
        <v>0</v>
      </c>
      <c r="N151" t="n">
        <v>0</v>
      </c>
      <c r="O151" t="n">
        <v>0</v>
      </c>
      <c r="P151" t="n">
        <v>0</v>
      </c>
      <c r="Q151" t="n">
        <v>0</v>
      </c>
      <c r="R151" s="2" t="inlineStr"/>
    </row>
    <row r="152" ht="15" customHeight="1">
      <c r="A152" t="inlineStr">
        <is>
          <t>A 48218-2025</t>
        </is>
      </c>
      <c r="B152" s="1" t="n">
        <v>45933</v>
      </c>
      <c r="C152" s="1" t="n">
        <v>46003</v>
      </c>
      <c r="D152" t="inlineStr">
        <is>
          <t>VÄSTRA GÖTALANDS LÄN</t>
        </is>
      </c>
      <c r="E152" t="inlineStr">
        <is>
          <t>ALE</t>
        </is>
      </c>
      <c r="G152" t="n">
        <v>1.4</v>
      </c>
      <c r="H152" t="n">
        <v>0</v>
      </c>
      <c r="I152" t="n">
        <v>0</v>
      </c>
      <c r="J152" t="n">
        <v>0</v>
      </c>
      <c r="K152" t="n">
        <v>0</v>
      </c>
      <c r="L152" t="n">
        <v>0</v>
      </c>
      <c r="M152" t="n">
        <v>0</v>
      </c>
      <c r="N152" t="n">
        <v>0</v>
      </c>
      <c r="O152" t="n">
        <v>0</v>
      </c>
      <c r="P152" t="n">
        <v>0</v>
      </c>
      <c r="Q152" t="n">
        <v>0</v>
      </c>
      <c r="R152" s="2" t="inlineStr"/>
    </row>
    <row r="153" ht="15" customHeight="1">
      <c r="A153" t="inlineStr">
        <is>
          <t>A 29373-2025</t>
        </is>
      </c>
      <c r="B153" s="1" t="n">
        <v>45824.579375</v>
      </c>
      <c r="C153" s="1" t="n">
        <v>46003</v>
      </c>
      <c r="D153" t="inlineStr">
        <is>
          <t>VÄSTRA GÖTALANDS LÄN</t>
        </is>
      </c>
      <c r="E153" t="inlineStr">
        <is>
          <t>ALE</t>
        </is>
      </c>
      <c r="G153" t="n">
        <v>4.6</v>
      </c>
      <c r="H153" t="n">
        <v>0</v>
      </c>
      <c r="I153" t="n">
        <v>0</v>
      </c>
      <c r="J153" t="n">
        <v>0</v>
      </c>
      <c r="K153" t="n">
        <v>0</v>
      </c>
      <c r="L153" t="n">
        <v>0</v>
      </c>
      <c r="M153" t="n">
        <v>0</v>
      </c>
      <c r="N153" t="n">
        <v>0</v>
      </c>
      <c r="O153" t="n">
        <v>0</v>
      </c>
      <c r="P153" t="n">
        <v>0</v>
      </c>
      <c r="Q153" t="n">
        <v>0</v>
      </c>
      <c r="R153" s="2" t="inlineStr"/>
    </row>
    <row r="154" ht="15" customHeight="1">
      <c r="A154" t="inlineStr">
        <is>
          <t>A 13382-2025</t>
        </is>
      </c>
      <c r="B154" s="1" t="n">
        <v>45735.67928240741</v>
      </c>
      <c r="C154" s="1" t="n">
        <v>46003</v>
      </c>
      <c r="D154" t="inlineStr">
        <is>
          <t>VÄSTRA GÖTALANDS LÄN</t>
        </is>
      </c>
      <c r="E154" t="inlineStr">
        <is>
          <t>ALE</t>
        </is>
      </c>
      <c r="G154" t="n">
        <v>0.9</v>
      </c>
      <c r="H154" t="n">
        <v>0</v>
      </c>
      <c r="I154" t="n">
        <v>0</v>
      </c>
      <c r="J154" t="n">
        <v>0</v>
      </c>
      <c r="K154" t="n">
        <v>0</v>
      </c>
      <c r="L154" t="n">
        <v>0</v>
      </c>
      <c r="M154" t="n">
        <v>0</v>
      </c>
      <c r="N154" t="n">
        <v>0</v>
      </c>
      <c r="O154" t="n">
        <v>0</v>
      </c>
      <c r="P154" t="n">
        <v>0</v>
      </c>
      <c r="Q154" t="n">
        <v>0</v>
      </c>
      <c r="R154" s="2" t="inlineStr"/>
    </row>
    <row r="155" ht="15" customHeight="1">
      <c r="A155" t="inlineStr">
        <is>
          <t>A 13903-2025</t>
        </is>
      </c>
      <c r="B155" s="1" t="n">
        <v>45737.63481481482</v>
      </c>
      <c r="C155" s="1" t="n">
        <v>46003</v>
      </c>
      <c r="D155" t="inlineStr">
        <is>
          <t>VÄSTRA GÖTALANDS LÄN</t>
        </is>
      </c>
      <c r="E155" t="inlineStr">
        <is>
          <t>ALE</t>
        </is>
      </c>
      <c r="G155" t="n">
        <v>0.5</v>
      </c>
      <c r="H155" t="n">
        <v>0</v>
      </c>
      <c r="I155" t="n">
        <v>0</v>
      </c>
      <c r="J155" t="n">
        <v>0</v>
      </c>
      <c r="K155" t="n">
        <v>0</v>
      </c>
      <c r="L155" t="n">
        <v>0</v>
      </c>
      <c r="M155" t="n">
        <v>0</v>
      </c>
      <c r="N155" t="n">
        <v>0</v>
      </c>
      <c r="O155" t="n">
        <v>0</v>
      </c>
      <c r="P155" t="n">
        <v>0</v>
      </c>
      <c r="Q155" t="n">
        <v>0</v>
      </c>
      <c r="R155" s="2" t="inlineStr"/>
    </row>
    <row r="156" ht="15" customHeight="1">
      <c r="A156" t="inlineStr">
        <is>
          <t>A 50189-2025</t>
        </is>
      </c>
      <c r="B156" s="1" t="n">
        <v>45943.63476851852</v>
      </c>
      <c r="C156" s="1" t="n">
        <v>46003</v>
      </c>
      <c r="D156" t="inlineStr">
        <is>
          <t>VÄSTRA GÖTALANDS LÄN</t>
        </is>
      </c>
      <c r="E156" t="inlineStr">
        <is>
          <t>ALE</t>
        </is>
      </c>
      <c r="G156" t="n">
        <v>3</v>
      </c>
      <c r="H156" t="n">
        <v>0</v>
      </c>
      <c r="I156" t="n">
        <v>0</v>
      </c>
      <c r="J156" t="n">
        <v>0</v>
      </c>
      <c r="K156" t="n">
        <v>0</v>
      </c>
      <c r="L156" t="n">
        <v>0</v>
      </c>
      <c r="M156" t="n">
        <v>0</v>
      </c>
      <c r="N156" t="n">
        <v>0</v>
      </c>
      <c r="O156" t="n">
        <v>0</v>
      </c>
      <c r="P156" t="n">
        <v>0</v>
      </c>
      <c r="Q156" t="n">
        <v>0</v>
      </c>
      <c r="R156" s="2" t="inlineStr"/>
    </row>
    <row r="157" ht="15" customHeight="1">
      <c r="A157" t="inlineStr">
        <is>
          <t>A 31407-2025</t>
        </is>
      </c>
      <c r="B157" s="1" t="n">
        <v>45833</v>
      </c>
      <c r="C157" s="1" t="n">
        <v>46003</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31409-2025</t>
        </is>
      </c>
      <c r="B158" s="1" t="n">
        <v>45833</v>
      </c>
      <c r="C158" s="1" t="n">
        <v>46003</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31533-2025</t>
        </is>
      </c>
      <c r="B159" s="1" t="n">
        <v>45833</v>
      </c>
      <c r="C159" s="1" t="n">
        <v>46003</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31488-2025</t>
        </is>
      </c>
      <c r="B160" s="1" t="n">
        <v>45833</v>
      </c>
      <c r="C160" s="1" t="n">
        <v>46003</v>
      </c>
      <c r="D160" t="inlineStr">
        <is>
          <t>VÄSTRA GÖTALANDS LÄN</t>
        </is>
      </c>
      <c r="E160" t="inlineStr">
        <is>
          <t>ALE</t>
        </is>
      </c>
      <c r="G160" t="n">
        <v>1.8</v>
      </c>
      <c r="H160" t="n">
        <v>0</v>
      </c>
      <c r="I160" t="n">
        <v>0</v>
      </c>
      <c r="J160" t="n">
        <v>0</v>
      </c>
      <c r="K160" t="n">
        <v>0</v>
      </c>
      <c r="L160" t="n">
        <v>0</v>
      </c>
      <c r="M160" t="n">
        <v>0</v>
      </c>
      <c r="N160" t="n">
        <v>0</v>
      </c>
      <c r="O160" t="n">
        <v>0</v>
      </c>
      <c r="P160" t="n">
        <v>0</v>
      </c>
      <c r="Q160" t="n">
        <v>0</v>
      </c>
      <c r="R160" s="2" t="inlineStr"/>
    </row>
    <row r="161" ht="15" customHeight="1">
      <c r="A161" t="inlineStr">
        <is>
          <t>A 58414-2025</t>
        </is>
      </c>
      <c r="B161" s="1" t="n">
        <v>45985.57778935185</v>
      </c>
      <c r="C161" s="1" t="n">
        <v>46003</v>
      </c>
      <c r="D161" t="inlineStr">
        <is>
          <t>VÄSTRA GÖTALANDS LÄN</t>
        </is>
      </c>
      <c r="E161" t="inlineStr">
        <is>
          <t>ALE</t>
        </is>
      </c>
      <c r="G161" t="n">
        <v>4.3</v>
      </c>
      <c r="H161" t="n">
        <v>0</v>
      </c>
      <c r="I161" t="n">
        <v>0</v>
      </c>
      <c r="J161" t="n">
        <v>0</v>
      </c>
      <c r="K161" t="n">
        <v>0</v>
      </c>
      <c r="L161" t="n">
        <v>0</v>
      </c>
      <c r="M161" t="n">
        <v>0</v>
      </c>
      <c r="N161" t="n">
        <v>0</v>
      </c>
      <c r="O161" t="n">
        <v>0</v>
      </c>
      <c r="P161" t="n">
        <v>0</v>
      </c>
      <c r="Q161" t="n">
        <v>0</v>
      </c>
      <c r="R161" s="2" t="inlineStr"/>
    </row>
    <row r="162" ht="15" customHeight="1">
      <c r="A162" t="inlineStr">
        <is>
          <t>A 58412-2025</t>
        </is>
      </c>
      <c r="B162" s="1" t="n">
        <v>45985.57564814815</v>
      </c>
      <c r="C162" s="1" t="n">
        <v>46003</v>
      </c>
      <c r="D162" t="inlineStr">
        <is>
          <t>VÄSTRA GÖTALANDS LÄN</t>
        </is>
      </c>
      <c r="E162" t="inlineStr">
        <is>
          <t>ALE</t>
        </is>
      </c>
      <c r="G162" t="n">
        <v>3.2</v>
      </c>
      <c r="H162" t="n">
        <v>0</v>
      </c>
      <c r="I162" t="n">
        <v>0</v>
      </c>
      <c r="J162" t="n">
        <v>0</v>
      </c>
      <c r="K162" t="n">
        <v>0</v>
      </c>
      <c r="L162" t="n">
        <v>0</v>
      </c>
      <c r="M162" t="n">
        <v>0</v>
      </c>
      <c r="N162" t="n">
        <v>0</v>
      </c>
      <c r="O162" t="n">
        <v>0</v>
      </c>
      <c r="P162" t="n">
        <v>0</v>
      </c>
      <c r="Q162" t="n">
        <v>0</v>
      </c>
      <c r="R162" s="2" t="inlineStr"/>
    </row>
    <row r="163" ht="15" customHeight="1">
      <c r="A163" t="inlineStr">
        <is>
          <t>A 59409-2025</t>
        </is>
      </c>
      <c r="B163" s="1" t="n">
        <v>45989.49545138889</v>
      </c>
      <c r="C163" s="1" t="n">
        <v>46003</v>
      </c>
      <c r="D163" t="inlineStr">
        <is>
          <t>VÄSTRA GÖTALANDS LÄN</t>
        </is>
      </c>
      <c r="E163" t="inlineStr">
        <is>
          <t>ALE</t>
        </is>
      </c>
      <c r="G163" t="n">
        <v>0.3</v>
      </c>
      <c r="H163" t="n">
        <v>0</v>
      </c>
      <c r="I163" t="n">
        <v>0</v>
      </c>
      <c r="J163" t="n">
        <v>0</v>
      </c>
      <c r="K163" t="n">
        <v>0</v>
      </c>
      <c r="L163" t="n">
        <v>0</v>
      </c>
      <c r="M163" t="n">
        <v>0</v>
      </c>
      <c r="N163" t="n">
        <v>0</v>
      </c>
      <c r="O163" t="n">
        <v>0</v>
      </c>
      <c r="P163" t="n">
        <v>0</v>
      </c>
      <c r="Q163" t="n">
        <v>0</v>
      </c>
      <c r="R163" s="2" t="inlineStr"/>
    </row>
    <row r="164" ht="15" customHeight="1">
      <c r="A164" t="inlineStr">
        <is>
          <t>A 50973-2025</t>
        </is>
      </c>
      <c r="B164" s="1" t="n">
        <v>45947.31263888889</v>
      </c>
      <c r="C164" s="1" t="n">
        <v>46003</v>
      </c>
      <c r="D164" t="inlineStr">
        <is>
          <t>VÄSTRA GÖTALANDS LÄN</t>
        </is>
      </c>
      <c r="E164" t="inlineStr">
        <is>
          <t>ALE</t>
        </is>
      </c>
      <c r="G164" t="n">
        <v>12</v>
      </c>
      <c r="H164" t="n">
        <v>0</v>
      </c>
      <c r="I164" t="n">
        <v>0</v>
      </c>
      <c r="J164" t="n">
        <v>0</v>
      </c>
      <c r="K164" t="n">
        <v>0</v>
      </c>
      <c r="L164" t="n">
        <v>0</v>
      </c>
      <c r="M164" t="n">
        <v>0</v>
      </c>
      <c r="N164" t="n">
        <v>0</v>
      </c>
      <c r="O164" t="n">
        <v>0</v>
      </c>
      <c r="P164" t="n">
        <v>0</v>
      </c>
      <c r="Q164" t="n">
        <v>0</v>
      </c>
      <c r="R164" s="2" t="inlineStr"/>
    </row>
    <row r="165" ht="15" customHeight="1">
      <c r="A165" t="inlineStr">
        <is>
          <t>A 60287-2025</t>
        </is>
      </c>
      <c r="B165" s="1" t="n">
        <v>45994.64711805555</v>
      </c>
      <c r="C165" s="1" t="n">
        <v>46003</v>
      </c>
      <c r="D165" t="inlineStr">
        <is>
          <t>VÄSTRA GÖTALANDS LÄN</t>
        </is>
      </c>
      <c r="E165" t="inlineStr">
        <is>
          <t>ALE</t>
        </is>
      </c>
      <c r="G165" t="n">
        <v>1.2</v>
      </c>
      <c r="H165" t="n">
        <v>0</v>
      </c>
      <c r="I165" t="n">
        <v>0</v>
      </c>
      <c r="J165" t="n">
        <v>0</v>
      </c>
      <c r="K165" t="n">
        <v>0</v>
      </c>
      <c r="L165" t="n">
        <v>0</v>
      </c>
      <c r="M165" t="n">
        <v>0</v>
      </c>
      <c r="N165" t="n">
        <v>0</v>
      </c>
      <c r="O165" t="n">
        <v>0</v>
      </c>
      <c r="P165" t="n">
        <v>0</v>
      </c>
      <c r="Q165" t="n">
        <v>0</v>
      </c>
      <c r="R165" s="2" t="inlineStr"/>
    </row>
    <row r="166" ht="15" customHeight="1">
      <c r="A166" t="inlineStr">
        <is>
          <t>A 51976-2025</t>
        </is>
      </c>
      <c r="B166" s="1" t="n">
        <v>45952.56412037037</v>
      </c>
      <c r="C166" s="1" t="n">
        <v>46003</v>
      </c>
      <c r="D166" t="inlineStr">
        <is>
          <t>VÄSTRA GÖTALANDS LÄN</t>
        </is>
      </c>
      <c r="E166" t="inlineStr">
        <is>
          <t>ALE</t>
        </is>
      </c>
      <c r="G166" t="n">
        <v>5.2</v>
      </c>
      <c r="H166" t="n">
        <v>0</v>
      </c>
      <c r="I166" t="n">
        <v>0</v>
      </c>
      <c r="J166" t="n">
        <v>0</v>
      </c>
      <c r="K166" t="n">
        <v>0</v>
      </c>
      <c r="L166" t="n">
        <v>0</v>
      </c>
      <c r="M166" t="n">
        <v>0</v>
      </c>
      <c r="N166" t="n">
        <v>0</v>
      </c>
      <c r="O166" t="n">
        <v>0</v>
      </c>
      <c r="P166" t="n">
        <v>0</v>
      </c>
      <c r="Q166" t="n">
        <v>0</v>
      </c>
      <c r="R166" s="2" t="inlineStr"/>
    </row>
    <row r="167" ht="15" customHeight="1">
      <c r="A167" t="inlineStr">
        <is>
          <t>A 60293-2025</t>
        </is>
      </c>
      <c r="B167" s="1" t="n">
        <v>45994.65568287037</v>
      </c>
      <c r="C167" s="1" t="n">
        <v>46003</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52391-2025</t>
        </is>
      </c>
      <c r="B168" s="1" t="n">
        <v>45954.34305555555</v>
      </c>
      <c r="C168" s="1" t="n">
        <v>46003</v>
      </c>
      <c r="D168" t="inlineStr">
        <is>
          <t>VÄSTRA GÖTALANDS LÄN</t>
        </is>
      </c>
      <c r="E168" t="inlineStr">
        <is>
          <t>ALE</t>
        </is>
      </c>
      <c r="G168" t="n">
        <v>10.6</v>
      </c>
      <c r="H168" t="n">
        <v>0</v>
      </c>
      <c r="I168" t="n">
        <v>0</v>
      </c>
      <c r="J168" t="n">
        <v>0</v>
      </c>
      <c r="K168" t="n">
        <v>0</v>
      </c>
      <c r="L168" t="n">
        <v>0</v>
      </c>
      <c r="M168" t="n">
        <v>0</v>
      </c>
      <c r="N168" t="n">
        <v>0</v>
      </c>
      <c r="O168" t="n">
        <v>0</v>
      </c>
      <c r="P168" t="n">
        <v>0</v>
      </c>
      <c r="Q168" t="n">
        <v>0</v>
      </c>
      <c r="R168" s="2" t="inlineStr"/>
    </row>
    <row r="169" ht="15" customHeight="1">
      <c r="A169" t="inlineStr">
        <is>
          <t>A 52423-2025</t>
        </is>
      </c>
      <c r="B169" s="1" t="n">
        <v>45954.37650462963</v>
      </c>
      <c r="C169" s="1" t="n">
        <v>46003</v>
      </c>
      <c r="D169" t="inlineStr">
        <is>
          <t>VÄSTRA GÖTALANDS LÄN</t>
        </is>
      </c>
      <c r="E169" t="inlineStr">
        <is>
          <t>ALE</t>
        </is>
      </c>
      <c r="G169" t="n">
        <v>4.1</v>
      </c>
      <c r="H169" t="n">
        <v>0</v>
      </c>
      <c r="I169" t="n">
        <v>0</v>
      </c>
      <c r="J169" t="n">
        <v>0</v>
      </c>
      <c r="K169" t="n">
        <v>0</v>
      </c>
      <c r="L169" t="n">
        <v>0</v>
      </c>
      <c r="M169" t="n">
        <v>0</v>
      </c>
      <c r="N169" t="n">
        <v>0</v>
      </c>
      <c r="O169" t="n">
        <v>0</v>
      </c>
      <c r="P169" t="n">
        <v>0</v>
      </c>
      <c r="Q169" t="n">
        <v>0</v>
      </c>
      <c r="R169" s="2" t="inlineStr"/>
    </row>
    <row r="170" ht="15" customHeight="1">
      <c r="A170" t="inlineStr">
        <is>
          <t>A 61771-2025</t>
        </is>
      </c>
      <c r="B170" s="1" t="n">
        <v>46002.6478587963</v>
      </c>
      <c r="C170" s="1" t="n">
        <v>46003</v>
      </c>
      <c r="D170" t="inlineStr">
        <is>
          <t>VÄSTRA GÖTALANDS LÄN</t>
        </is>
      </c>
      <c r="E170" t="inlineStr">
        <is>
          <t>ALE</t>
        </is>
      </c>
      <c r="G170" t="n">
        <v>3.9</v>
      </c>
      <c r="H170" t="n">
        <v>0</v>
      </c>
      <c r="I170" t="n">
        <v>0</v>
      </c>
      <c r="J170" t="n">
        <v>0</v>
      </c>
      <c r="K170" t="n">
        <v>0</v>
      </c>
      <c r="L170" t="n">
        <v>0</v>
      </c>
      <c r="M170" t="n">
        <v>0</v>
      </c>
      <c r="N170" t="n">
        <v>0</v>
      </c>
      <c r="O170" t="n">
        <v>0</v>
      </c>
      <c r="P170" t="n">
        <v>0</v>
      </c>
      <c r="Q170" t="n">
        <v>0</v>
      </c>
      <c r="R170" s="2" t="inlineStr"/>
    </row>
    <row r="171">
      <c r="A171" t="inlineStr">
        <is>
          <t>A 61744-2025</t>
        </is>
      </c>
      <c r="B171" s="1" t="n">
        <v>46002.60298611111</v>
      </c>
      <c r="C171" s="1" t="n">
        <v>46003</v>
      </c>
      <c r="D171" t="inlineStr">
        <is>
          <t>VÄSTRA GÖTALANDS LÄN</t>
        </is>
      </c>
      <c r="E171" t="inlineStr">
        <is>
          <t>ALE</t>
        </is>
      </c>
      <c r="G171" t="n">
        <v>3.1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2025-12-12T10:28:15Z</dcterms:created>
  <dcterms:modified xmlns:dcterms="http://purl.org/dc/terms/" xmlns:xsi="http://www.w3.org/2001/XMLSchema-instance" xsi:type="dcterms:W3CDTF">2025-12-12T10:28:15Z</dcterms:modified>
</cp:coreProperties>
</file>