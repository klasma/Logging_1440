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46301</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46301</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46301</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46301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46301</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46301</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46301</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46301</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46301</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46301</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46301</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46301</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46301</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46301</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46301</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40629-2026</t>
        </is>
      </c>
      <c r="B25" t="inlineStr">
        <is>
          <t>avverkningsanmälan</t>
        </is>
      </c>
      <c r="C25" t="inlineStr">
        <is>
          <t>Föryngringsavverkning</t>
        </is>
      </c>
      <c r="D25" s="1" t="n">
        <v>46295</v>
      </c>
      <c r="E25" s="1" t="n">
        <v>46301</v>
      </c>
      <c r="F25" t="inlineStr">
        <is>
          <t>VÄSTRA GÖTALANDS LÄN</t>
        </is>
      </c>
      <c r="G25" t="inlineStr">
        <is>
          <t>ALE</t>
        </is>
      </c>
      <c r="I25" t="n">
        <v>3.5</v>
      </c>
      <c r="J25" t="n">
        <v>1</v>
      </c>
      <c r="K25" t="n">
        <v>1</v>
      </c>
      <c r="L25" t="n">
        <v>1</v>
      </c>
      <c r="M25" t="n">
        <v>0</v>
      </c>
      <c r="N25" t="n">
        <v>0</v>
      </c>
      <c r="O25" t="n">
        <v>0</v>
      </c>
      <c r="P25" t="n">
        <v>0</v>
      </c>
      <c r="Q25" t="n">
        <v>1</v>
      </c>
      <c r="R25" t="n">
        <v>0</v>
      </c>
      <c r="S25" t="n">
        <v>3</v>
      </c>
      <c r="T25" t="n">
        <v>3</v>
      </c>
      <c r="U25" t="n">
        <v>3</v>
      </c>
      <c r="V25" s="2" t="inlineStr">
        <is>
          <t>Mindre hackspett
Blomkålssvamp
Kransmossa</t>
        </is>
      </c>
      <c r="W25">
        <f>HYPERLINK("https://klasma.github.io/Logging_1440/artfynd/A 40629-2026 artfynd.xlsx", "A 40629-2026")</f>
        <v/>
      </c>
      <c r="X25">
        <f>HYPERLINK("https://klasma.github.io/Logging_1440/kartor/A 40629-2026 karta.png", "A 40629-2026")</f>
        <v/>
      </c>
      <c r="Y25">
        <f>HYPERLINK("https://klasma.github.io/Logging_1440/kartor_geotiff/A 40629-2026 georefererad karta.tif", "A 40629-2026")</f>
        <v/>
      </c>
      <c r="AA25">
        <f>HYPERLINK("https://klasma.github.io/Logging_1440/klagomål/A 40629-2026 FSC-klagomål.docx", "A 40629-2026")</f>
        <v/>
      </c>
      <c r="AB25">
        <f>HYPERLINK("https://klasma.github.io/Logging_1440/klagomålsmail/A 40629-2026 FSC-klagomål mail.docx", "A 40629-2026")</f>
        <v/>
      </c>
      <c r="AC25">
        <f>HYPERLINK("https://klasma.github.io/Logging_1440/tillsyn/A 40629-2026 tillsynsbegäran.docx", "A 40629-2026")</f>
        <v/>
      </c>
      <c r="AD25">
        <f>HYPERLINK("https://klasma.github.io/Logging_1440/tillsynsmail/A 40629-2026 tillsynsbegäran mail.docx", "A 40629-2026")</f>
        <v/>
      </c>
      <c r="AE25">
        <f>HYPERLINK("https://klasma.github.io/Logging_1440/fåglar/A 40629-2026 prioriterade fågelarter.docx", "A 40629-2026")</f>
        <v/>
      </c>
    </row>
    <row r="26" ht="15" customHeight="1">
      <c r="A26" t="inlineStr">
        <is>
          <t>A 37461-2024</t>
        </is>
      </c>
      <c r="B26" t="inlineStr">
        <is>
          <t>avverkningsanmälan</t>
        </is>
      </c>
      <c r="C26" t="inlineStr">
        <is>
          <t>Föryngringsavverkning</t>
        </is>
      </c>
      <c r="D26" s="1" t="n">
        <v>45540</v>
      </c>
      <c r="E26" s="1" t="n">
        <v>46301</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2270-2025</t>
        </is>
      </c>
      <c r="B27" t="inlineStr">
        <is>
          <t>avverkningsanmälan</t>
        </is>
      </c>
      <c r="C27" t="inlineStr">
        <is>
          <t>Föryngringsavverkning</t>
        </is>
      </c>
      <c r="D27" s="1" t="n">
        <v>45673</v>
      </c>
      <c r="E27" s="1" t="n">
        <v>46301</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46301</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16534-2025</t>
        </is>
      </c>
      <c r="B29" t="inlineStr">
        <is>
          <t>avverkningsanmälan</t>
        </is>
      </c>
      <c r="C29" t="inlineStr">
        <is>
          <t>Föryngringsavverkning</t>
        </is>
      </c>
      <c r="D29" s="1" t="n">
        <v>45751</v>
      </c>
      <c r="E29" s="1" t="n">
        <v>46301</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46301</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46301</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46301</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46301</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46301</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46301</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13380-2025</t>
        </is>
      </c>
      <c r="B36" t="inlineStr">
        <is>
          <t>avverkningsanmälan</t>
        </is>
      </c>
      <c r="C36" t="inlineStr">
        <is>
          <t>Föryngringsavverkning</t>
        </is>
      </c>
      <c r="D36" s="1" t="n">
        <v>45735</v>
      </c>
      <c r="E36" s="1" t="n">
        <v>46301</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S 4485-2024</t>
        </is>
      </c>
      <c r="B37" t="inlineStr">
        <is>
          <t>samrådsanmälan</t>
        </is>
      </c>
      <c r="C37" t="inlineStr">
        <is>
          <t>Annan skogsbruksåtgärd</t>
        </is>
      </c>
      <c r="D37" s="1" t="n">
        <v>45595</v>
      </c>
      <c r="E37" s="1" t="n">
        <v>46301</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46301</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46301</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26677-2025</t>
        </is>
      </c>
      <c r="B40" t="inlineStr">
        <is>
          <t>avverkningsanmälan</t>
        </is>
      </c>
      <c r="C40" t="inlineStr">
        <is>
          <t>Föryngringsavverkning</t>
        </is>
      </c>
      <c r="D40" s="1" t="n">
        <v>45810</v>
      </c>
      <c r="E40" s="1" t="n">
        <v>46301</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46301</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46301</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9783-2026</t>
        </is>
      </c>
      <c r="B43" t="inlineStr">
        <is>
          <t>avverkningsanmälan</t>
        </is>
      </c>
      <c r="C43" t="inlineStr">
        <is>
          <t>Föryngringsavverkning</t>
        </is>
      </c>
      <c r="D43" s="1" t="n">
        <v>46072</v>
      </c>
      <c r="E43" s="1" t="n">
        <v>46301</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52423-2025</t>
        </is>
      </c>
      <c r="B44" t="inlineStr">
        <is>
          <t>avverkningsanmälan</t>
        </is>
      </c>
      <c r="C44" t="inlineStr">
        <is>
          <t>Föryngringsavverkning</t>
        </is>
      </c>
      <c r="D44" s="1" t="n">
        <v>45954</v>
      </c>
      <c r="E44" s="1" t="n">
        <v>46301</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200-2022</t>
        </is>
      </c>
      <c r="B45" t="inlineStr">
        <is>
          <t>avverkningsanmälan</t>
        </is>
      </c>
      <c r="C45" t="inlineStr">
        <is>
          <t>Föryngringsavverkning</t>
        </is>
      </c>
      <c r="D45" s="1" t="n">
        <v>44564</v>
      </c>
      <c r="E45" s="1" t="n">
        <v>46301</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62524-2025</t>
        </is>
      </c>
      <c r="B46" t="inlineStr">
        <is>
          <t>avverkningsanmälan</t>
        </is>
      </c>
      <c r="C46" t="inlineStr">
        <is>
          <t>Föryngringsavverkning</t>
        </is>
      </c>
      <c r="D46" s="1" t="n">
        <v>46007</v>
      </c>
      <c r="E46" s="1" t="n">
        <v>46301</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46301</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41598-2022</t>
        </is>
      </c>
      <c r="B48" t="inlineStr">
        <is>
          <t>avverkningsanmälan</t>
        </is>
      </c>
      <c r="C48" t="inlineStr">
        <is>
          <t>Föryngringsavverkning</t>
        </is>
      </c>
      <c r="D48" s="1" t="n">
        <v>44827</v>
      </c>
      <c r="E48" s="1" t="n">
        <v>46301</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26493-2024</t>
        </is>
      </c>
      <c r="B49" t="inlineStr">
        <is>
          <t>avverkningsanmälan</t>
        </is>
      </c>
      <c r="C49" t="inlineStr">
        <is>
          <t>Avverkning för annat ändamål</t>
        </is>
      </c>
      <c r="D49" s="1" t="n">
        <v>45469</v>
      </c>
      <c r="E49" s="1" t="n">
        <v>46301</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33237-2024</t>
        </is>
      </c>
      <c r="B50" t="inlineStr">
        <is>
          <t>avverkningsanmälan</t>
        </is>
      </c>
      <c r="C50" t="inlineStr">
        <is>
          <t>Föryngringsavverkning</t>
        </is>
      </c>
      <c r="D50" s="1" t="n">
        <v>45518</v>
      </c>
      <c r="E50" s="1" t="n">
        <v>46301</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15241-2025</t>
        </is>
      </c>
      <c r="B51" t="inlineStr">
        <is>
          <t>avverkningsanmälan</t>
        </is>
      </c>
      <c r="C51" t="inlineStr">
        <is>
          <t>Föryngringsavverkning</t>
        </is>
      </c>
      <c r="D51" s="1" t="n">
        <v>45744</v>
      </c>
      <c r="E51" s="1" t="n">
        <v>46301</v>
      </c>
      <c r="F51" t="inlineStr">
        <is>
          <t>VÄSTRA GÖTALANDS LÄN</t>
        </is>
      </c>
      <c r="G51" t="inlineStr">
        <is>
          <t>ALE</t>
        </is>
      </c>
      <c r="I51" t="n">
        <v>2.2</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HYPERLINK("https://klasma.github.io/Logging_1440/artfynd/A 15241-2025 artfynd.xlsx", "A 15241-2025")</f>
        <v/>
      </c>
      <c r="X51">
        <f>HYPERLINK("https://klasma.github.io/Logging_1440/kartor/A 15241-2025 karta.png", "A 15241-2025")</f>
        <v/>
      </c>
      <c r="Y51">
        <f>HYPERLINK("https://klasma.github.io/Logging_1440/kartor_geotiff/A 15241-2025 georefererad karta.tif", "A 15241-2025")</f>
        <v/>
      </c>
      <c r="AA51">
        <f>HYPERLINK("https://klasma.github.io/Logging_1440/klagomål/A 15241-2025 FSC-klagomål.docx", "A 15241-2025")</f>
        <v/>
      </c>
      <c r="AB51">
        <f>HYPERLINK("https://klasma.github.io/Logging_1440/klagomålsmail/A 15241-2025 FSC-klagomål mail.docx", "A 15241-2025")</f>
        <v/>
      </c>
      <c r="AC51">
        <f>HYPERLINK("https://klasma.github.io/Logging_1440/tillsyn/A 15241-2025 tillsynsbegäran.docx", "A 15241-2025")</f>
        <v/>
      </c>
      <c r="AD51">
        <f>HYPERLINK("https://klasma.github.io/Logging_1440/tillsynsmail/A 15241-2025 tillsynsbegäran mail.docx", "A 15241-2025")</f>
        <v/>
      </c>
      <c r="AE51">
        <f>HYPERLINK("https://klasma.github.io/Logging_1440/fåglar/A 15241-2025 prioriterade fågelarter.docx", "A 15241-2025")</f>
        <v/>
      </c>
    </row>
    <row r="52" ht="15" customHeight="1">
      <c r="A52" t="inlineStr">
        <is>
          <t>A 4363-2024</t>
        </is>
      </c>
      <c r="B52" t="inlineStr">
        <is>
          <t>avverkningsanmälan</t>
        </is>
      </c>
      <c r="C52" t="inlineStr">
        <is>
          <t>Avverkning för annat ändamål</t>
        </is>
      </c>
      <c r="D52" s="1" t="n">
        <v>45325</v>
      </c>
      <c r="E52" s="1" t="n">
        <v>46301</v>
      </c>
      <c r="F52" t="inlineStr">
        <is>
          <t>VÄSTRA GÖTALANDS LÄN</t>
        </is>
      </c>
      <c r="G52" t="inlineStr">
        <is>
          <t>ALE</t>
        </is>
      </c>
      <c r="I52" t="n">
        <v>0.6</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HYPERLINK("https://klasma.github.io/Logging_1440/artfynd/A 4363-2024 artfynd.xlsx", "A 4363-2024")</f>
        <v/>
      </c>
      <c r="X52">
        <f>HYPERLINK("https://klasma.github.io/Logging_1440/kartor/A 4363-2024 karta.png", "A 4363-2024")</f>
        <v/>
      </c>
      <c r="Y52">
        <f>HYPERLINK("https://klasma.github.io/Logging_1440/kartor_geotiff/A 4363-2024 georefererad karta.tif", "A 4363-2024")</f>
        <v/>
      </c>
      <c r="AA52">
        <f>HYPERLINK("https://klasma.github.io/Logging_1440/klagomål/A 4363-2024 FSC-klagomål.docx", "A 4363-2024")</f>
        <v/>
      </c>
      <c r="AB52">
        <f>HYPERLINK("https://klasma.github.io/Logging_1440/klagomålsmail/A 4363-2024 FSC-klagomål mail.docx", "A 4363-2024")</f>
        <v/>
      </c>
      <c r="AC52">
        <f>HYPERLINK("https://klasma.github.io/Logging_1440/tillsyn/A 4363-2024 tillsynsbegäran.docx", "A 4363-2024")</f>
        <v/>
      </c>
      <c r="AD52">
        <f>HYPERLINK("https://klasma.github.io/Logging_1440/tillsynsmail/A 4363-2024 tillsynsbegäran mail.docx", "A 4363-2024")</f>
        <v/>
      </c>
      <c r="AE52">
        <f>HYPERLINK("https://klasma.github.io/Logging_1440/fåglar/A 4363-2024 prioriterade fågelarter.docx", "A 4363-2024")</f>
        <v/>
      </c>
    </row>
    <row r="53" ht="15" customHeight="1">
      <c r="A53" t="inlineStr">
        <is>
          <t>A 33142-2026</t>
        </is>
      </c>
      <c r="B53" t="inlineStr">
        <is>
          <t>avverkningsanmälan</t>
        </is>
      </c>
      <c r="C53" t="inlineStr">
        <is>
          <t>Föryngringsavverkning</t>
        </is>
      </c>
      <c r="D53" s="1" t="n">
        <v>46245</v>
      </c>
      <c r="E53" s="1" t="n">
        <v>46301</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A 15582-2025</t>
        </is>
      </c>
      <c r="B54" t="inlineStr">
        <is>
          <t>avverkningsanmälan</t>
        </is>
      </c>
      <c r="C54" t="inlineStr">
        <is>
          <t>Föryngringsavverkning</t>
        </is>
      </c>
      <c r="D54" s="1" t="n">
        <v>45747</v>
      </c>
      <c r="E54" s="1" t="n">
        <v>46301</v>
      </c>
      <c r="F54" t="inlineStr">
        <is>
          <t>VÄSTRA GÖTALANDS LÄN</t>
        </is>
      </c>
      <c r="G54" t="inlineStr">
        <is>
          <t>ALE</t>
        </is>
      </c>
      <c r="I54" t="n">
        <v>2.2</v>
      </c>
      <c r="J54" t="n">
        <v>1</v>
      </c>
      <c r="K54" t="n">
        <v>0</v>
      </c>
      <c r="L54" t="n">
        <v>0</v>
      </c>
      <c r="M54" t="n">
        <v>0</v>
      </c>
      <c r="N54" t="n">
        <v>0</v>
      </c>
      <c r="O54" t="n">
        <v>0</v>
      </c>
      <c r="P54" t="n">
        <v>0</v>
      </c>
      <c r="Q54" t="n">
        <v>0</v>
      </c>
      <c r="R54" t="n">
        <v>0</v>
      </c>
      <c r="S54" t="n">
        <v>1</v>
      </c>
      <c r="T54" t="n">
        <v>1</v>
      </c>
      <c r="U54" t="n">
        <v>1</v>
      </c>
      <c r="V54" s="2" t="inlineStr">
        <is>
          <t>Tjäder</t>
        </is>
      </c>
      <c r="W54">
        <f>HYPERLINK("https://klasma.github.io/Logging_1440/artfynd/A 15582-2025 artfynd.xlsx", "A 15582-2025")</f>
        <v/>
      </c>
      <c r="X54">
        <f>HYPERLINK("https://klasma.github.io/Logging_1440/kartor/A 15582-2025 karta.png", "A 15582-2025")</f>
        <v/>
      </c>
      <c r="Y54">
        <f>HYPERLINK("https://klasma.github.io/Logging_1440/kartor_geotiff/A 15582-2025 georefererad karta.tif", "A 15582-2025")</f>
        <v/>
      </c>
      <c r="AA54">
        <f>HYPERLINK("https://klasma.github.io/Logging_1440/klagomål/A 15582-2025 FSC-klagomål.docx", "A 15582-2025")</f>
        <v/>
      </c>
      <c r="AB54">
        <f>HYPERLINK("https://klasma.github.io/Logging_1440/klagomålsmail/A 15582-2025 FSC-klagomål mail.docx", "A 15582-2025")</f>
        <v/>
      </c>
      <c r="AC54">
        <f>HYPERLINK("https://klasma.github.io/Logging_1440/tillsyn/A 15582-2025 tillsynsbegäran.docx", "A 15582-2025")</f>
        <v/>
      </c>
      <c r="AD54">
        <f>HYPERLINK("https://klasma.github.io/Logging_1440/tillsynsmail/A 15582-2025 tillsynsbegäran mail.docx", "A 15582-2025")</f>
        <v/>
      </c>
      <c r="AE54">
        <f>HYPERLINK("https://klasma.github.io/Logging_1440/fåglar/A 15582-2025 prioriterade fågelarter.docx", "A 15582-2025")</f>
        <v/>
      </c>
    </row>
    <row r="55" ht="15" customHeight="1">
      <c r="A55" t="inlineStr">
        <is>
          <t>A 40658-2026</t>
        </is>
      </c>
      <c r="B55" t="inlineStr">
        <is>
          <t>avverkningsanmälan</t>
        </is>
      </c>
      <c r="C55" t="inlineStr">
        <is>
          <t>Föryngringsavverkning</t>
        </is>
      </c>
      <c r="D55" s="1" t="n">
        <v>46294</v>
      </c>
      <c r="E55" s="1" t="n">
        <v>46301</v>
      </c>
      <c r="F55" t="inlineStr">
        <is>
          <t>VÄSTRA GÖTALANDS LÄN</t>
        </is>
      </c>
      <c r="G55" t="inlineStr">
        <is>
          <t>ALE</t>
        </is>
      </c>
      <c r="H55" t="inlineStr">
        <is>
          <t>Kyrkan</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HYPERLINK("https://klasma.github.io/Logging_1440/artfynd/A 40658-2026 artfynd.xlsx", "A 40658-2026")</f>
        <v/>
      </c>
      <c r="X55">
        <f>HYPERLINK("https://klasma.github.io/Logging_1440/kartor/A 40658-2026 karta.png", "A 40658-2026")</f>
        <v/>
      </c>
      <c r="Y55">
        <f>HYPERLINK("https://klasma.github.io/Logging_1440/kartor_geotiff/A 40658-2026 georefererad karta.tif", "A 40658-2026")</f>
        <v/>
      </c>
      <c r="AA55">
        <f>HYPERLINK("https://klasma.github.io/Logging_1440/klagomål/A 40658-2026 FSC-klagomål.docx", "A 40658-2026")</f>
        <v/>
      </c>
      <c r="AB55">
        <f>HYPERLINK("https://klasma.github.io/Logging_1440/klagomålsmail/A 40658-2026 FSC-klagomål mail.docx", "A 40658-2026")</f>
        <v/>
      </c>
      <c r="AC55">
        <f>HYPERLINK("https://klasma.github.io/Logging_1440/tillsyn/A 40658-2026 tillsynsbegäran.docx", "A 40658-2026")</f>
        <v/>
      </c>
      <c r="AD55">
        <f>HYPERLINK("https://klasma.github.io/Logging_1440/tillsynsmail/A 40658-2026 tillsynsbegäran mail.docx", "A 40658-2026")</f>
        <v/>
      </c>
    </row>
    <row r="56" ht="15" customHeight="1">
      <c r="A56" t="inlineStr">
        <is>
          <t>S 1062-2023</t>
        </is>
      </c>
      <c r="B56" t="inlineStr">
        <is>
          <t>samrådsanmälan</t>
        </is>
      </c>
      <c r="C56" t="inlineStr">
        <is>
          <t>Annan skogsbruksåtgärd</t>
        </is>
      </c>
      <c r="D56" s="1" t="n">
        <v>45011</v>
      </c>
      <c r="E56" s="1" t="n">
        <v>46301</v>
      </c>
      <c r="F56" t="inlineStr">
        <is>
          <t>VÄSTRA GÖTALANDS LÄN</t>
        </is>
      </c>
      <c r="G56" t="inlineStr">
        <is>
          <t>ALE</t>
        </is>
      </c>
      <c r="I56" t="n">
        <v>2.2</v>
      </c>
      <c r="J56" t="n">
        <v>0</v>
      </c>
      <c r="K56" t="n">
        <v>1</v>
      </c>
      <c r="L56" t="n">
        <v>0</v>
      </c>
      <c r="M56" t="n">
        <v>0</v>
      </c>
      <c r="N56" t="n">
        <v>0</v>
      </c>
      <c r="O56" t="n">
        <v>0</v>
      </c>
      <c r="P56" t="n">
        <v>0</v>
      </c>
      <c r="Q56" t="n">
        <v>0</v>
      </c>
      <c r="R56" t="n">
        <v>0</v>
      </c>
      <c r="S56" t="n">
        <v>1</v>
      </c>
      <c r="T56" t="n">
        <v>5</v>
      </c>
      <c r="U56" t="n">
        <v>0</v>
      </c>
      <c r="V56" s="2" t="inlineStr">
        <is>
          <t>Guldlockmossa</t>
        </is>
      </c>
      <c r="W56">
        <f>HYPERLINK("https://klasma.github.io/Logging_1440/artfynd/S 1062-2023 artfynd.xlsx", "S 1062-2023")</f>
        <v/>
      </c>
      <c r="X56">
        <f>HYPERLINK("https://klasma.github.io/Logging_1440/kartor/S 1062-2023 karta.png", "S 1062-2023")</f>
        <v/>
      </c>
      <c r="Y56">
        <f>HYPERLINK("https://klasma.github.io/Logging_1440/kartor_geotiff/S 1062-2023 georefererad karta.tif", "S 1062-2023")</f>
        <v/>
      </c>
      <c r="AA56">
        <f>HYPERLINK("https://klasma.github.io/Logging_1440/klagomål/S 1062-2023 FSC-klagomål.docx", "S 1062-2023")</f>
        <v/>
      </c>
      <c r="AB56">
        <f>HYPERLINK("https://klasma.github.io/Logging_1440/klagomålsmail/S 1062-2023 FSC-klagomål mail.docx", "S 1062-2023")</f>
        <v/>
      </c>
      <c r="AC56">
        <f>HYPERLINK("https://klasma.github.io/Logging_1440/tillsyn/S 1062-2023 tillsynsbegäran.docx", "S 1062-2023")</f>
        <v/>
      </c>
      <c r="AD56">
        <f>HYPERLINK("https://klasma.github.io/Logging_1440/tillsynsmail/S 1062-2023 tillsynsbegäran mail.docx", "S 1062-2023")</f>
        <v/>
      </c>
    </row>
    <row r="57" ht="15" customHeight="1">
      <c r="A57" t="inlineStr">
        <is>
          <t>A 62855-2021</t>
        </is>
      </c>
      <c r="B57" t="inlineStr">
        <is>
          <t>avverkningsanmälan</t>
        </is>
      </c>
      <c r="C57" t="inlineStr">
        <is>
          <t>Föryngringsavverkning</t>
        </is>
      </c>
      <c r="D57" s="1" t="n">
        <v>44504</v>
      </c>
      <c r="E57" s="1" t="n">
        <v>46301</v>
      </c>
      <c r="F57" t="inlineStr">
        <is>
          <t>VÄSTRA GÖTALANDS LÄN</t>
        </is>
      </c>
      <c r="G57" t="inlineStr">
        <is>
          <t>ALE</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67165-2021</t>
        </is>
      </c>
      <c r="B58" t="inlineStr">
        <is>
          <t>avverkningsanmälan</t>
        </is>
      </c>
      <c r="C58" t="inlineStr">
        <is>
          <t>Föryngringsavverkning</t>
        </is>
      </c>
      <c r="D58" s="1" t="n">
        <v>44523</v>
      </c>
      <c r="E58" s="1" t="n">
        <v>46301</v>
      </c>
      <c r="F58" t="inlineStr">
        <is>
          <t>VÄSTRA GÖTALANDS LÄN</t>
        </is>
      </c>
      <c r="G58" t="inlineStr">
        <is>
          <t>ALE</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3179-2022</t>
        </is>
      </c>
      <c r="B59" t="inlineStr">
        <is>
          <t>avverkningsanmälan</t>
        </is>
      </c>
      <c r="C59" t="inlineStr">
        <is>
          <t>Föryngringsavverkning</t>
        </is>
      </c>
      <c r="D59" s="1" t="n">
        <v>44582</v>
      </c>
      <c r="E59" s="1" t="n">
        <v>46301</v>
      </c>
      <c r="F59" t="inlineStr">
        <is>
          <t>VÄSTRA GÖTALANDS LÄN</t>
        </is>
      </c>
      <c r="G59" t="inlineStr">
        <is>
          <t>ALE</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65222-2021</t>
        </is>
      </c>
      <c r="B60" t="inlineStr">
        <is>
          <t>avverkningsanmälan</t>
        </is>
      </c>
      <c r="C60" t="inlineStr">
        <is>
          <t>Föryngringsavverkning</t>
        </is>
      </c>
      <c r="D60" s="1" t="n">
        <v>44515</v>
      </c>
      <c r="E60" s="1" t="n">
        <v>46301</v>
      </c>
      <c r="F60" t="inlineStr">
        <is>
          <t>VÄSTRA GÖTALANDS LÄN</t>
        </is>
      </c>
      <c r="G60" t="inlineStr">
        <is>
          <t>ALE</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66893-2021</t>
        </is>
      </c>
      <c r="B61" t="inlineStr">
        <is>
          <t>avverkningsanmälan</t>
        </is>
      </c>
      <c r="C61" t="inlineStr">
        <is>
          <t>Föryngringsavverkning</t>
        </is>
      </c>
      <c r="D61" s="1" t="n">
        <v>44522</v>
      </c>
      <c r="E61" s="1" t="n">
        <v>46301</v>
      </c>
      <c r="F61" t="inlineStr">
        <is>
          <t>VÄSTRA GÖTALANDS LÄN</t>
        </is>
      </c>
      <c r="G61" t="inlineStr">
        <is>
          <t>ALE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46301</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46301</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53476-2023</t>
        </is>
      </c>
      <c r="B64" t="inlineStr">
        <is>
          <t>avverkningsanmälan</t>
        </is>
      </c>
      <c r="C64" t="inlineStr">
        <is>
          <t>Föryngringsavverkning</t>
        </is>
      </c>
      <c r="D64" s="1" t="n">
        <v>45230</v>
      </c>
      <c r="E64" s="1" t="n">
        <v>46301</v>
      </c>
      <c r="F64" t="inlineStr">
        <is>
          <t>VÄSTRA GÖTALANDS LÄN</t>
        </is>
      </c>
      <c r="G64" t="inlineStr">
        <is>
          <t>ALE</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26157-2023</t>
        </is>
      </c>
      <c r="B65" t="inlineStr">
        <is>
          <t>avverkningsanmälan</t>
        </is>
      </c>
      <c r="C65" t="inlineStr">
        <is>
          <t>Föryngringsavverkning</t>
        </is>
      </c>
      <c r="D65" s="1" t="n">
        <v>45091</v>
      </c>
      <c r="E65" s="1" t="n">
        <v>46301</v>
      </c>
      <c r="F65" t="inlineStr">
        <is>
          <t>VÄSTRA GÖTALANDS LÄN</t>
        </is>
      </c>
      <c r="G65" t="inlineStr">
        <is>
          <t>ALE</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36763-2022</t>
        </is>
      </c>
      <c r="B66" t="inlineStr">
        <is>
          <t>avverkningsanmälan</t>
        </is>
      </c>
      <c r="C66" t="inlineStr">
        <is>
          <t>Föryngringsavverkning</t>
        </is>
      </c>
      <c r="D66" s="1" t="n">
        <v>44805</v>
      </c>
      <c r="E66" s="1" t="n">
        <v>46301</v>
      </c>
      <c r="F66" t="inlineStr">
        <is>
          <t>VÄSTRA GÖTALANDS LÄN</t>
        </is>
      </c>
      <c r="G66" t="inlineStr">
        <is>
          <t>ALE</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5875-2023</t>
        </is>
      </c>
      <c r="B67" t="inlineStr">
        <is>
          <t>avverkningsanmälan</t>
        </is>
      </c>
      <c r="C67" t="inlineStr">
        <is>
          <t>Föryngringsavverkning</t>
        </is>
      </c>
      <c r="D67" s="1" t="n">
        <v>44963</v>
      </c>
      <c r="E67" s="1" t="n">
        <v>46301</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46301</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3407-2023</t>
        </is>
      </c>
      <c r="B69" t="inlineStr">
        <is>
          <t>avverkningsanmälan</t>
        </is>
      </c>
      <c r="C69" t="inlineStr">
        <is>
          <t>Föryngringsavverkning</t>
        </is>
      </c>
      <c r="D69" s="1" t="n">
        <v>44949</v>
      </c>
      <c r="E69" s="1" t="n">
        <v>46301</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51564-2023</t>
        </is>
      </c>
      <c r="B70" t="inlineStr">
        <is>
          <t>avverkningsanmälan</t>
        </is>
      </c>
      <c r="C70" t="inlineStr">
        <is>
          <t>Föryngringsavverkning</t>
        </is>
      </c>
      <c r="D70" s="1" t="n">
        <v>45222</v>
      </c>
      <c r="E70" s="1" t="n">
        <v>46301</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36403-2024</t>
        </is>
      </c>
      <c r="B71" t="inlineStr">
        <is>
          <t>avverkningsanmälan</t>
        </is>
      </c>
      <c r="C71" t="inlineStr">
        <is>
          <t>Föryngringsavverkning</t>
        </is>
      </c>
      <c r="D71" s="1" t="n">
        <v>45535</v>
      </c>
      <c r="E71" s="1" t="n">
        <v>46301</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46301</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18637-2023</t>
        </is>
      </c>
      <c r="B73" t="inlineStr">
        <is>
          <t>avverkningsanmälan</t>
        </is>
      </c>
      <c r="C73" t="inlineStr">
        <is>
          <t>Föryngringsavverkning</t>
        </is>
      </c>
      <c r="D73" s="1" t="n">
        <v>45043</v>
      </c>
      <c r="E73" s="1" t="n">
        <v>46301</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59933-2023</t>
        </is>
      </c>
      <c r="B74" t="inlineStr">
        <is>
          <t>avverkningsanmälan</t>
        </is>
      </c>
      <c r="C74" t="inlineStr">
        <is>
          <t>Föryngringsavverkning</t>
        </is>
      </c>
      <c r="D74" s="1" t="n">
        <v>45257</v>
      </c>
      <c r="E74" s="1" t="n">
        <v>46301</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13903-2025</t>
        </is>
      </c>
      <c r="B75" t="inlineStr">
        <is>
          <t>avverkningsanmälan</t>
        </is>
      </c>
      <c r="C75" t="inlineStr">
        <is>
          <t>Föryngringsavverkning</t>
        </is>
      </c>
      <c r="D75" s="1" t="n">
        <v>45737</v>
      </c>
      <c r="E75" s="1" t="n">
        <v>46301</v>
      </c>
      <c r="F75" t="inlineStr">
        <is>
          <t>VÄSTRA GÖTALANDS LÄN</t>
        </is>
      </c>
      <c r="G75" t="inlineStr">
        <is>
          <t>ALE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31409-2025</t>
        </is>
      </c>
      <c r="B76" t="inlineStr">
        <is>
          <t>avverkningsanmälan</t>
        </is>
      </c>
      <c r="C76" t="inlineStr">
        <is>
          <t>Föryngringsavverkning</t>
        </is>
      </c>
      <c r="D76" s="1" t="n">
        <v>45833</v>
      </c>
      <c r="E76" s="1" t="n">
        <v>46301</v>
      </c>
      <c r="F76" t="inlineStr">
        <is>
          <t>VÄSTRA GÖTALANDS LÄN</t>
        </is>
      </c>
      <c r="G76" t="inlineStr">
        <is>
          <t>ALE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31533-2025</t>
        </is>
      </c>
      <c r="B77" t="inlineStr">
        <is>
          <t>avverkningsanmälan</t>
        </is>
      </c>
      <c r="C77" t="inlineStr">
        <is>
          <t>Föryngringsavverkning</t>
        </is>
      </c>
      <c r="D77" s="1" t="n">
        <v>45833</v>
      </c>
      <c r="E77" s="1" t="n">
        <v>46301</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31488-2025</t>
        </is>
      </c>
      <c r="B78" t="inlineStr">
        <is>
          <t>avverkningsanmälan</t>
        </is>
      </c>
      <c r="C78" t="inlineStr">
        <is>
          <t>Föryngringsavverkning</t>
        </is>
      </c>
      <c r="D78" s="1" t="n">
        <v>45833</v>
      </c>
      <c r="E78" s="1" t="n">
        <v>46301</v>
      </c>
      <c r="F78" t="inlineStr">
        <is>
          <t>VÄSTRA GÖTALANDS LÄN</t>
        </is>
      </c>
      <c r="G78" t="inlineStr">
        <is>
          <t>ALE</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24642-2022</t>
        </is>
      </c>
      <c r="B79" t="inlineStr">
        <is>
          <t>avverkningsanmälan</t>
        </is>
      </c>
      <c r="C79" t="inlineStr">
        <is>
          <t>Föryngringsavverkning</t>
        </is>
      </c>
      <c r="D79" s="1" t="n">
        <v>44727</v>
      </c>
      <c r="E79" s="1" t="n">
        <v>46301</v>
      </c>
      <c r="F79" t="inlineStr">
        <is>
          <t>VÄSTRA GÖTALANDS LÄN</t>
        </is>
      </c>
      <c r="G79" t="inlineStr">
        <is>
          <t>ALE</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6621-2026</t>
        </is>
      </c>
      <c r="B80" t="inlineStr">
        <is>
          <t>avverkningsanmälan</t>
        </is>
      </c>
      <c r="C80" t="inlineStr">
        <is>
          <t>Föryngringsavverkning</t>
        </is>
      </c>
      <c r="D80" s="1" t="n">
        <v>46056</v>
      </c>
      <c r="E80" s="1" t="n">
        <v>46301</v>
      </c>
      <c r="F80" t="inlineStr">
        <is>
          <t>VÄSTRA GÖTALANDS LÄN</t>
        </is>
      </c>
      <c r="G80" t="inlineStr">
        <is>
          <t>ALE</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7296-2026</t>
        </is>
      </c>
      <c r="B81" t="inlineStr">
        <is>
          <t>avverkningsanmälan</t>
        </is>
      </c>
      <c r="C81" t="inlineStr">
        <is>
          <t>Föryngringsavverkning</t>
        </is>
      </c>
      <c r="D81" s="1" t="n">
        <v>46058</v>
      </c>
      <c r="E81" s="1" t="n">
        <v>46301</v>
      </c>
      <c r="F81" t="inlineStr">
        <is>
          <t>VÄSTRA GÖTALANDS LÄN</t>
        </is>
      </c>
      <c r="G81" t="inlineStr">
        <is>
          <t>ALE</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26083-2023</t>
        </is>
      </c>
      <c r="B82" t="inlineStr">
        <is>
          <t>avverkningsanmälan</t>
        </is>
      </c>
      <c r="C82" t="inlineStr">
        <is>
          <t>Föryngringsavverkning</t>
        </is>
      </c>
      <c r="D82" s="1" t="n">
        <v>45091</v>
      </c>
      <c r="E82" s="1" t="n">
        <v>46301</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46301</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8110-2026</t>
        </is>
      </c>
      <c r="B84" t="inlineStr">
        <is>
          <t>avverkningsanmälan</t>
        </is>
      </c>
      <c r="C84" t="inlineStr">
        <is>
          <t>Föryngringsavverkning</t>
        </is>
      </c>
      <c r="D84" s="1" t="n">
        <v>46062</v>
      </c>
      <c r="E84" s="1" t="n">
        <v>46301</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8112-2026</t>
        </is>
      </c>
      <c r="B85" t="inlineStr">
        <is>
          <t>avverkningsanmälan</t>
        </is>
      </c>
      <c r="C85" t="inlineStr">
        <is>
          <t>Föryngringsavverkning</t>
        </is>
      </c>
      <c r="D85" s="1" t="n">
        <v>46062</v>
      </c>
      <c r="E85" s="1" t="n">
        <v>46301</v>
      </c>
      <c r="F85" t="inlineStr">
        <is>
          <t>VÄSTRA GÖTALANDS LÄN</t>
        </is>
      </c>
      <c r="G85" t="inlineStr">
        <is>
          <t>ALE</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8111-2026</t>
        </is>
      </c>
      <c r="B86" t="inlineStr">
        <is>
          <t>avverkningsanmälan</t>
        </is>
      </c>
      <c r="C86" t="inlineStr">
        <is>
          <t>Föryngringsavverkning</t>
        </is>
      </c>
      <c r="D86" s="1" t="n">
        <v>46062</v>
      </c>
      <c r="E86" s="1" t="n">
        <v>46301</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46301</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46301</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46301</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46301</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10459-2026</t>
        </is>
      </c>
      <c r="B91" t="inlineStr">
        <is>
          <t>avverkningsanmälan</t>
        </is>
      </c>
      <c r="C91" t="inlineStr">
        <is>
          <t>Föryngringsavverkning</t>
        </is>
      </c>
      <c r="D91" s="1" t="n">
        <v>46077</v>
      </c>
      <c r="E91" s="1" t="n">
        <v>46301</v>
      </c>
      <c r="F91" t="inlineStr">
        <is>
          <t>VÄSTRA GÖTALANDS LÄN</t>
        </is>
      </c>
      <c r="G91" t="inlineStr">
        <is>
          <t>ALE</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46301</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46301</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35959-2022</t>
        </is>
      </c>
      <c r="B94" t="inlineStr">
        <is>
          <t>avverkningsanmälan</t>
        </is>
      </c>
      <c r="C94" t="inlineStr">
        <is>
          <t>Föryngringsavverkning</t>
        </is>
      </c>
      <c r="D94" s="1" t="n">
        <v>44802</v>
      </c>
      <c r="E94" s="1" t="n">
        <v>46301</v>
      </c>
      <c r="F94" t="inlineStr">
        <is>
          <t>VÄSTRA GÖTALANDS LÄN</t>
        </is>
      </c>
      <c r="G94" t="inlineStr">
        <is>
          <t>ALE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17044-2025</t>
        </is>
      </c>
      <c r="B95" t="inlineStr">
        <is>
          <t>avverkningsanmälan</t>
        </is>
      </c>
      <c r="C95" t="inlineStr">
        <is>
          <t>Föryngringsavverkning</t>
        </is>
      </c>
      <c r="D95" s="1" t="n">
        <v>45755</v>
      </c>
      <c r="E95" s="1" t="n">
        <v>46301</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46301</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17199-2026</t>
        </is>
      </c>
      <c r="B97" t="inlineStr">
        <is>
          <t>avverkningsanmälan</t>
        </is>
      </c>
      <c r="C97" t="inlineStr">
        <is>
          <t>Föryngringsavverkning</t>
        </is>
      </c>
      <c r="D97" s="1" t="n">
        <v>46118</v>
      </c>
      <c r="E97" s="1" t="n">
        <v>46301</v>
      </c>
      <c r="F97" t="inlineStr">
        <is>
          <t>VÄSTRA GÖTALANDS LÄN</t>
        </is>
      </c>
      <c r="G97" t="inlineStr">
        <is>
          <t>ALE</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48257-2022</t>
        </is>
      </c>
      <c r="B98" t="inlineStr">
        <is>
          <t>avverkningsanmälan</t>
        </is>
      </c>
      <c r="C98" t="inlineStr">
        <is>
          <t>Föryngringsavverkning</t>
        </is>
      </c>
      <c r="D98" s="1" t="n">
        <v>44858</v>
      </c>
      <c r="E98" s="1" t="n">
        <v>46301</v>
      </c>
      <c r="F98" t="inlineStr">
        <is>
          <t>VÄSTRA GÖTALANDS LÄN</t>
        </is>
      </c>
      <c r="G98" t="inlineStr">
        <is>
          <t>ALE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31407-2025</t>
        </is>
      </c>
      <c r="B99" t="inlineStr">
        <is>
          <t>avverkningsanmälan</t>
        </is>
      </c>
      <c r="C99" t="inlineStr">
        <is>
          <t>Föryngringsavverkning</t>
        </is>
      </c>
      <c r="D99" s="1" t="n">
        <v>45833</v>
      </c>
      <c r="E99" s="1" t="n">
        <v>46301</v>
      </c>
      <c r="F99" t="inlineStr">
        <is>
          <t>VÄSTRA GÖTALANDS LÄN</t>
        </is>
      </c>
      <c r="G99" t="inlineStr">
        <is>
          <t>ALE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59409-2025</t>
        </is>
      </c>
      <c r="B100" t="inlineStr">
        <is>
          <t>avverkningsanmälan</t>
        </is>
      </c>
      <c r="C100" t="inlineStr">
        <is>
          <t>Föryngringsavverkning</t>
        </is>
      </c>
      <c r="D100" s="1" t="n">
        <v>45989</v>
      </c>
      <c r="E100" s="1" t="n">
        <v>46301</v>
      </c>
      <c r="F100" t="inlineStr">
        <is>
          <t>VÄSTRA GÖTALANDS LÄN</t>
        </is>
      </c>
      <c r="G100" t="inlineStr">
        <is>
          <t>ALE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60287-2025</t>
        </is>
      </c>
      <c r="B101" t="inlineStr">
        <is>
          <t>avverkningsanmälan</t>
        </is>
      </c>
      <c r="C101" t="inlineStr">
        <is>
          <t>Föryngringsavverkning</t>
        </is>
      </c>
      <c r="D101" s="1" t="n">
        <v>45994</v>
      </c>
      <c r="E101" s="1" t="n">
        <v>46301</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1687-2024</t>
        </is>
      </c>
      <c r="B102" t="inlineStr">
        <is>
          <t>avverkningsanmälan</t>
        </is>
      </c>
      <c r="C102" t="inlineStr">
        <is>
          <t>Föryngringsavverkning</t>
        </is>
      </c>
      <c r="D102" s="1" t="n">
        <v>45306</v>
      </c>
      <c r="E102" s="1" t="n">
        <v>46301</v>
      </c>
      <c r="F102" t="inlineStr">
        <is>
          <t>VÄSTRA GÖTALANDS LÄN</t>
        </is>
      </c>
      <c r="G102" t="inlineStr">
        <is>
          <t>ALE</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19613-2026</t>
        </is>
      </c>
      <c r="B103" t="inlineStr">
        <is>
          <t>avverkningsanmälan</t>
        </is>
      </c>
      <c r="C103" t="inlineStr">
        <is>
          <t>Föryngringsavverkning</t>
        </is>
      </c>
      <c r="D103" s="1" t="n">
        <v>46134</v>
      </c>
      <c r="E103" s="1" t="n">
        <v>46301</v>
      </c>
      <c r="F103" t="inlineStr">
        <is>
          <t>VÄSTRA GÖTALANDS LÄN</t>
        </is>
      </c>
      <c r="G103" t="inlineStr">
        <is>
          <t>ALE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49680-2024</t>
        </is>
      </c>
      <c r="B104" t="inlineStr">
        <is>
          <t>avverkningsanmälan</t>
        </is>
      </c>
      <c r="C104" t="inlineStr">
        <is>
          <t>Föryngringsavverkning</t>
        </is>
      </c>
      <c r="D104" s="1" t="n">
        <v>45596</v>
      </c>
      <c r="E104" s="1" t="n">
        <v>46301</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61744-2025</t>
        </is>
      </c>
      <c r="B105" t="inlineStr">
        <is>
          <t>avverkningsanmälan</t>
        </is>
      </c>
      <c r="C105" t="inlineStr">
        <is>
          <t>Föryngringsavverkning</t>
        </is>
      </c>
      <c r="D105" s="1" t="n">
        <v>46002</v>
      </c>
      <c r="E105" s="1" t="n">
        <v>46301</v>
      </c>
      <c r="F105" t="inlineStr">
        <is>
          <t>VÄSTRA GÖTALANDS LÄN</t>
        </is>
      </c>
      <c r="G105" t="inlineStr">
        <is>
          <t>ALE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61771-2025</t>
        </is>
      </c>
      <c r="B106" t="inlineStr">
        <is>
          <t>avverkningsanmälan</t>
        </is>
      </c>
      <c r="C106" t="inlineStr">
        <is>
          <t>Föryngringsavverkning</t>
        </is>
      </c>
      <c r="D106" s="1" t="n">
        <v>46002</v>
      </c>
      <c r="E106" s="1" t="n">
        <v>46301</v>
      </c>
      <c r="F106" t="inlineStr">
        <is>
          <t>VÄSTRA GÖTALANDS LÄN</t>
        </is>
      </c>
      <c r="G106" t="inlineStr">
        <is>
          <t>ALE</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25840-2025</t>
        </is>
      </c>
      <c r="B107" t="inlineStr">
        <is>
          <t>avverkningsanmälan</t>
        </is>
      </c>
      <c r="C107" t="inlineStr">
        <is>
          <t>Avverkning för annat ändamål</t>
        </is>
      </c>
      <c r="D107" s="1" t="n">
        <v>45804</v>
      </c>
      <c r="E107" s="1" t="n">
        <v>46301</v>
      </c>
      <c r="F107" t="inlineStr">
        <is>
          <t>VÄSTRA GÖTALANDS LÄN</t>
        </is>
      </c>
      <c r="G107" t="inlineStr">
        <is>
          <t>ALE</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7807-2023</t>
        </is>
      </c>
      <c r="B108" t="inlineStr">
        <is>
          <t>avverkningsanmälan</t>
        </is>
      </c>
      <c r="C108" t="inlineStr">
        <is>
          <t>Föryngringsavverkning</t>
        </is>
      </c>
      <c r="D108" s="1" t="n">
        <v>44973</v>
      </c>
      <c r="E108" s="1" t="n">
        <v>46301</v>
      </c>
      <c r="F108" t="inlineStr">
        <is>
          <t>VÄSTRA GÖTALANDS LÄN</t>
        </is>
      </c>
      <c r="G108" t="inlineStr">
        <is>
          <t>ALE</t>
        </is>
      </c>
      <c r="I108" t="n">
        <v>10.5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55488-2022</t>
        </is>
      </c>
      <c r="B109" t="inlineStr">
        <is>
          <t>avverkningsanmälan</t>
        </is>
      </c>
      <c r="C109" t="inlineStr">
        <is>
          <t>Föryngringsavverkning</t>
        </is>
      </c>
      <c r="D109" s="1" t="n">
        <v>44887</v>
      </c>
      <c r="E109" s="1" t="n">
        <v>46301</v>
      </c>
      <c r="F109" t="inlineStr">
        <is>
          <t>VÄSTRA GÖTALANDS LÄN</t>
        </is>
      </c>
      <c r="G109" t="inlineStr">
        <is>
          <t>ALE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2414-2026</t>
        </is>
      </c>
      <c r="B110" t="inlineStr">
        <is>
          <t>avverkningsanmälan</t>
        </is>
      </c>
      <c r="C110" t="inlineStr">
        <is>
          <t>Föryngringsavverkning</t>
        </is>
      </c>
      <c r="D110" s="1" t="n">
        <v>46036</v>
      </c>
      <c r="E110" s="1" t="n">
        <v>46301</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42446-2023</t>
        </is>
      </c>
      <c r="B111" t="inlineStr">
        <is>
          <t>avverkningsanmälan</t>
        </is>
      </c>
      <c r="C111" t="inlineStr">
        <is>
          <t>Föryngringsavverkning</t>
        </is>
      </c>
      <c r="D111" s="1" t="n">
        <v>45180</v>
      </c>
      <c r="E111" s="1" t="n">
        <v>46301</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67160-2021</t>
        </is>
      </c>
      <c r="B112" t="inlineStr">
        <is>
          <t>avverkningsanmälan</t>
        </is>
      </c>
      <c r="C112" t="inlineStr">
        <is>
          <t>Föryngringsavverkning</t>
        </is>
      </c>
      <c r="D112" s="1" t="n">
        <v>44523</v>
      </c>
      <c r="E112" s="1" t="n">
        <v>46301</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62828-2025</t>
        </is>
      </c>
      <c r="B113" t="inlineStr">
        <is>
          <t>avverkningsanmälan</t>
        </is>
      </c>
      <c r="C113" t="inlineStr">
        <is>
          <t>Föryngringsavverkning</t>
        </is>
      </c>
      <c r="D113" s="1" t="n">
        <v>46008</v>
      </c>
      <c r="E113" s="1" t="n">
        <v>46301</v>
      </c>
      <c r="F113" t="inlineStr">
        <is>
          <t>VÄSTRA GÖTALANDS LÄN</t>
        </is>
      </c>
      <c r="G113" t="inlineStr">
        <is>
          <t>ALE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16344-2023</t>
        </is>
      </c>
      <c r="B114" t="inlineStr">
        <is>
          <t>avverkningsanmälan</t>
        </is>
      </c>
      <c r="C114" t="inlineStr">
        <is>
          <t>Föryngringsavverkning</t>
        </is>
      </c>
      <c r="D114" s="1" t="n">
        <v>45028</v>
      </c>
      <c r="E114" s="1" t="n">
        <v>46301</v>
      </c>
      <c r="F114" t="inlineStr">
        <is>
          <t>VÄSTRA GÖTALANDS LÄN</t>
        </is>
      </c>
      <c r="G114" t="inlineStr">
        <is>
          <t>ALE</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40074-2025</t>
        </is>
      </c>
      <c r="B115" t="inlineStr">
        <is>
          <t>avverkningsanmälan</t>
        </is>
      </c>
      <c r="C115" t="inlineStr">
        <is>
          <t>Föryngringsavverkning</t>
        </is>
      </c>
      <c r="D115" s="1" t="n">
        <v>45894</v>
      </c>
      <c r="E115" s="1" t="n">
        <v>46301</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32762-2023</t>
        </is>
      </c>
      <c r="B116" t="inlineStr">
        <is>
          <t>avverkningsanmälan</t>
        </is>
      </c>
      <c r="C116" t="inlineStr">
        <is>
          <t>Föryngringsavverkning</t>
        </is>
      </c>
      <c r="D116" s="1" t="n">
        <v>45123</v>
      </c>
      <c r="E116" s="1" t="n">
        <v>46301</v>
      </c>
      <c r="F116" t="inlineStr">
        <is>
          <t>VÄSTRA GÖTALANDS LÄN</t>
        </is>
      </c>
      <c r="G116" t="inlineStr">
        <is>
          <t>ALE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14458-2024</t>
        </is>
      </c>
      <c r="B117" t="inlineStr">
        <is>
          <t>avverkningsanmälan</t>
        </is>
      </c>
      <c r="C117" t="inlineStr">
        <is>
          <t>Avverkning för annat ändamål</t>
        </is>
      </c>
      <c r="D117" s="1" t="n">
        <v>45394</v>
      </c>
      <c r="E117" s="1" t="n">
        <v>46301</v>
      </c>
      <c r="F117" t="inlineStr">
        <is>
          <t>VÄSTRA GÖTALANDS LÄN</t>
        </is>
      </c>
      <c r="G117" t="inlineStr">
        <is>
          <t>ALE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46301</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4642-2024</t>
        </is>
      </c>
      <c r="B119" t="inlineStr">
        <is>
          <t>avverkningsanmälan</t>
        </is>
      </c>
      <c r="C119" t="inlineStr">
        <is>
          <t>Föryngringsavverkning</t>
        </is>
      </c>
      <c r="D119" s="1" t="n">
        <v>45328</v>
      </c>
      <c r="E119" s="1" t="n">
        <v>46301</v>
      </c>
      <c r="F119" t="inlineStr">
        <is>
          <t>VÄSTRA GÖTALANDS LÄN</t>
        </is>
      </c>
      <c r="G119" t="inlineStr">
        <is>
          <t>ALE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22420-2026</t>
        </is>
      </c>
      <c r="B120" t="inlineStr">
        <is>
          <t>avverkningsanmälan</t>
        </is>
      </c>
      <c r="C120" t="inlineStr">
        <is>
          <t>Föryngringsavverkning</t>
        </is>
      </c>
      <c r="D120" s="1" t="n">
        <v>46154</v>
      </c>
      <c r="E120" s="1" t="n">
        <v>46301</v>
      </c>
      <c r="F120" t="inlineStr">
        <is>
          <t>VÄSTRA GÖTALANDS LÄN</t>
        </is>
      </c>
      <c r="G120" t="inlineStr">
        <is>
          <t>ALE</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14731-2022</t>
        </is>
      </c>
      <c r="B121" t="inlineStr">
        <is>
          <t>avverkningsanmälan</t>
        </is>
      </c>
      <c r="C121" t="inlineStr">
        <is>
          <t>Föryngringsavverkning</t>
        </is>
      </c>
      <c r="D121" s="1" t="n">
        <v>44656</v>
      </c>
      <c r="E121" s="1" t="n">
        <v>46301</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3520-2022</t>
        </is>
      </c>
      <c r="B122" t="inlineStr">
        <is>
          <t>avverkningsanmälan</t>
        </is>
      </c>
      <c r="C122" t="inlineStr">
        <is>
          <t>Föryngringsavverkning</t>
        </is>
      </c>
      <c r="D122" s="1" t="n">
        <v>44585</v>
      </c>
      <c r="E122" s="1" t="n">
        <v>46301</v>
      </c>
      <c r="F122" t="inlineStr">
        <is>
          <t>VÄSTRA GÖTALANDS LÄN</t>
        </is>
      </c>
      <c r="G122" t="inlineStr">
        <is>
          <t>ALE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46301</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46301</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51164-2024</t>
        </is>
      </c>
      <c r="B125" t="inlineStr">
        <is>
          <t>avverkningsanmälan</t>
        </is>
      </c>
      <c r="C125" t="inlineStr">
        <is>
          <t>Föryngringsavverkning</t>
        </is>
      </c>
      <c r="D125" s="1" t="n">
        <v>45603</v>
      </c>
      <c r="E125" s="1" t="n">
        <v>46301</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4444-2024</t>
        </is>
      </c>
      <c r="B126" t="inlineStr">
        <is>
          <t>avverkningsanmälan</t>
        </is>
      </c>
      <c r="C126" t="inlineStr">
        <is>
          <t>Föryngringsavverkning</t>
        </is>
      </c>
      <c r="D126" s="1" t="n">
        <v>45327</v>
      </c>
      <c r="E126" s="1" t="n">
        <v>46301</v>
      </c>
      <c r="F126" t="inlineStr">
        <is>
          <t>VÄSTRA GÖTALANDS LÄN</t>
        </is>
      </c>
      <c r="G126" t="inlineStr">
        <is>
          <t>ALE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46301</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46301</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1822-2024</t>
        </is>
      </c>
      <c r="B129" t="inlineStr">
        <is>
          <t>avverkningsanmälan</t>
        </is>
      </c>
      <c r="C129" t="inlineStr">
        <is>
          <t>Föryngringsavverkning</t>
        </is>
      </c>
      <c r="D129" s="1" t="n">
        <v>45307</v>
      </c>
      <c r="E129" s="1" t="n">
        <v>46301</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28023-2026</t>
        </is>
      </c>
      <c r="B130" t="inlineStr">
        <is>
          <t>avverkningsanmälan</t>
        </is>
      </c>
      <c r="C130" t="inlineStr">
        <is>
          <t>Föryngringsavverkning</t>
        </is>
      </c>
      <c r="D130" s="1" t="n">
        <v>46195</v>
      </c>
      <c r="E130" s="1" t="n">
        <v>46301</v>
      </c>
      <c r="F130" t="inlineStr">
        <is>
          <t>VÄSTRA GÖTALANDS LÄN</t>
        </is>
      </c>
      <c r="G130" t="inlineStr">
        <is>
          <t>ALE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28028-2026</t>
        </is>
      </c>
      <c r="B131" t="inlineStr">
        <is>
          <t>avverkningsanmälan</t>
        </is>
      </c>
      <c r="C131" t="inlineStr">
        <is>
          <t>Föryngringsavverkning</t>
        </is>
      </c>
      <c r="D131" s="1" t="n">
        <v>46195</v>
      </c>
      <c r="E131" s="1" t="n">
        <v>46301</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34153-2024</t>
        </is>
      </c>
      <c r="B132" t="inlineStr">
        <is>
          <t>avverkningsanmälan</t>
        </is>
      </c>
      <c r="C132" t="inlineStr">
        <is>
          <t>Föryngringsavverkning</t>
        </is>
      </c>
      <c r="D132" s="1" t="n">
        <v>45524</v>
      </c>
      <c r="E132" s="1" t="n">
        <v>46301</v>
      </c>
      <c r="F132" t="inlineStr">
        <is>
          <t>VÄSTRA GÖTALANDS LÄN</t>
        </is>
      </c>
      <c r="G132" t="inlineStr">
        <is>
          <t>ALE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41309-2024</t>
        </is>
      </c>
      <c r="B133" t="inlineStr">
        <is>
          <t>avverkningsanmälan</t>
        </is>
      </c>
      <c r="C133" t="inlineStr">
        <is>
          <t>Föryngringsavverkning</t>
        </is>
      </c>
      <c r="D133" s="1" t="n">
        <v>45559</v>
      </c>
      <c r="E133" s="1" t="n">
        <v>46301</v>
      </c>
      <c r="F133" t="inlineStr">
        <is>
          <t>VÄSTRA GÖTALANDS LÄN</t>
        </is>
      </c>
      <c r="G133" t="inlineStr">
        <is>
          <t>ALE</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15499-2022</t>
        </is>
      </c>
      <c r="B134" t="inlineStr">
        <is>
          <t>avverkningsanmälan</t>
        </is>
      </c>
      <c r="C134" t="inlineStr">
        <is>
          <t>Föryngringsavverkning</t>
        </is>
      </c>
      <c r="D134" s="1" t="n">
        <v>44662</v>
      </c>
      <c r="E134" s="1" t="n">
        <v>46301</v>
      </c>
      <c r="F134" t="inlineStr">
        <is>
          <t>VÄSTRA GÖTALANDS LÄN</t>
        </is>
      </c>
      <c r="G134" t="inlineStr">
        <is>
          <t>ALE</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1960-2024</t>
        </is>
      </c>
      <c r="B135" t="inlineStr">
        <is>
          <t>avverkningsanmälan</t>
        </is>
      </c>
      <c r="C135" t="inlineStr">
        <is>
          <t>Föryngringsavverkning</t>
        </is>
      </c>
      <c r="D135" s="1" t="n">
        <v>45308</v>
      </c>
      <c r="E135" s="1" t="n">
        <v>46301</v>
      </c>
      <c r="F135" t="inlineStr">
        <is>
          <t>VÄSTRA GÖTALANDS LÄN</t>
        </is>
      </c>
      <c r="G135" t="inlineStr">
        <is>
          <t>ALE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3418-2023</t>
        </is>
      </c>
      <c r="B136" t="inlineStr">
        <is>
          <t>avverkningsanmälan</t>
        </is>
      </c>
      <c r="C136" t="inlineStr">
        <is>
          <t>Föryngringsavverkning</t>
        </is>
      </c>
      <c r="D136" s="1" t="n">
        <v>44949</v>
      </c>
      <c r="E136" s="1" t="n">
        <v>46301</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65226-2021</t>
        </is>
      </c>
      <c r="B137" t="inlineStr">
        <is>
          <t>avverkningsanmälan</t>
        </is>
      </c>
      <c r="C137" t="inlineStr">
        <is>
          <t>Föryngringsavverkning</t>
        </is>
      </c>
      <c r="D137" s="1" t="n">
        <v>44515</v>
      </c>
      <c r="E137" s="1" t="n">
        <v>46301</v>
      </c>
      <c r="F137" t="inlineStr">
        <is>
          <t>VÄSTRA GÖTALANDS LÄN</t>
        </is>
      </c>
      <c r="G137" t="inlineStr">
        <is>
          <t>ALE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46301</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3457-2022</t>
        </is>
      </c>
      <c r="B139" t="inlineStr">
        <is>
          <t>avverkningsanmälan</t>
        </is>
      </c>
      <c r="C139" t="inlineStr">
        <is>
          <t>Föryngringsavverkning</t>
        </is>
      </c>
      <c r="D139" s="1" t="n">
        <v>44585</v>
      </c>
      <c r="E139" s="1" t="n">
        <v>46301</v>
      </c>
      <c r="F139" t="inlineStr">
        <is>
          <t>VÄSTRA GÖTALANDS LÄN</t>
        </is>
      </c>
      <c r="G139" t="inlineStr">
        <is>
          <t>ALE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5916-2023</t>
        </is>
      </c>
      <c r="B140" t="inlineStr">
        <is>
          <t>avverkningsanmälan</t>
        </is>
      </c>
      <c r="C140" t="inlineStr">
        <is>
          <t>Föryngringsavverkning</t>
        </is>
      </c>
      <c r="D140" s="1" t="n">
        <v>44963</v>
      </c>
      <c r="E140" s="1" t="n">
        <v>46301</v>
      </c>
      <c r="F140" t="inlineStr">
        <is>
          <t>VÄSTRA GÖTALANDS LÄN</t>
        </is>
      </c>
      <c r="G140" t="inlineStr">
        <is>
          <t>ALE</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38843-2026</t>
        </is>
      </c>
      <c r="B141" t="inlineStr">
        <is>
          <t>avverkningsanmälan</t>
        </is>
      </c>
      <c r="C141" t="inlineStr">
        <is>
          <t>Föryngringsavverkning</t>
        </is>
      </c>
      <c r="D141" s="1" t="n">
        <v>46286</v>
      </c>
      <c r="E141" s="1" t="n">
        <v>46301</v>
      </c>
      <c r="F141" t="inlineStr">
        <is>
          <t>VÄSTRA GÖTALANDS LÄN</t>
        </is>
      </c>
      <c r="G141" t="inlineStr">
        <is>
          <t>ALE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20067-2023</t>
        </is>
      </c>
      <c r="B142" t="inlineStr">
        <is>
          <t>avverkningsanmälan</t>
        </is>
      </c>
      <c r="C142" t="inlineStr">
        <is>
          <t>Föryngringsavverkning</t>
        </is>
      </c>
      <c r="D142" s="1" t="n">
        <v>45054</v>
      </c>
      <c r="E142" s="1" t="n">
        <v>46301</v>
      </c>
      <c r="F142" t="inlineStr">
        <is>
          <t>VÄSTRA GÖTALANDS LÄN</t>
        </is>
      </c>
      <c r="G142" t="inlineStr">
        <is>
          <t>ALE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1500-2024</t>
        </is>
      </c>
      <c r="B143" t="inlineStr">
        <is>
          <t>avverkningsanmälan</t>
        </is>
      </c>
      <c r="C143" t="inlineStr">
        <is>
          <t>Föryngringsavverkning</t>
        </is>
      </c>
      <c r="D143" s="1" t="n">
        <v>45306</v>
      </c>
      <c r="E143" s="1" t="n">
        <v>46301</v>
      </c>
      <c r="F143" t="inlineStr">
        <is>
          <t>VÄSTRA GÖTALANDS LÄN</t>
        </is>
      </c>
      <c r="G143" t="inlineStr">
        <is>
          <t>ALE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39467-2026</t>
        </is>
      </c>
      <c r="B144" t="inlineStr">
        <is>
          <t>avverkningsanmälan</t>
        </is>
      </c>
      <c r="C144" t="inlineStr">
        <is>
          <t>Avverkning för annat ändamål</t>
        </is>
      </c>
      <c r="D144" s="1" t="n">
        <v>46288</v>
      </c>
      <c r="E144" s="1" t="n">
        <v>46301</v>
      </c>
      <c r="F144" t="inlineStr">
        <is>
          <t>VÄSTRA GÖTALANDS LÄN</t>
        </is>
      </c>
      <c r="G144" t="inlineStr">
        <is>
          <t>ALE</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6916-2023</t>
        </is>
      </c>
      <c r="B145" t="inlineStr">
        <is>
          <t>avverkningsanmälan</t>
        </is>
      </c>
      <c r="C145" t="inlineStr">
        <is>
          <t>Föryngringsavverkning</t>
        </is>
      </c>
      <c r="D145" s="1" t="n">
        <v>44967</v>
      </c>
      <c r="E145" s="1" t="n">
        <v>46301</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64199-2021</t>
        </is>
      </c>
      <c r="B146" t="inlineStr">
        <is>
          <t>avverkningsanmälan</t>
        </is>
      </c>
      <c r="C146" t="inlineStr">
        <is>
          <t>Föryngringsavverkning</t>
        </is>
      </c>
      <c r="D146" s="1" t="n">
        <v>44510</v>
      </c>
      <c r="E146" s="1" t="n">
        <v>46301</v>
      </c>
      <c r="F146" t="inlineStr">
        <is>
          <t>VÄSTRA GÖTALANDS LÄN</t>
        </is>
      </c>
      <c r="G146" t="inlineStr">
        <is>
          <t>ALE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40628-2026</t>
        </is>
      </c>
      <c r="B147" t="inlineStr">
        <is>
          <t>avverkningsanmälan</t>
        </is>
      </c>
      <c r="C147" t="inlineStr">
        <is>
          <t>Föryngringsavverkning</t>
        </is>
      </c>
      <c r="D147" s="1" t="n">
        <v>46295</v>
      </c>
      <c r="E147" s="1" t="n">
        <v>46301</v>
      </c>
      <c r="F147" t="inlineStr">
        <is>
          <t>VÄSTRA GÖTALANDS LÄN</t>
        </is>
      </c>
      <c r="G147" t="inlineStr">
        <is>
          <t>ALE</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34104-2024</t>
        </is>
      </c>
      <c r="B148" t="inlineStr">
        <is>
          <t>avverkningsanmälan</t>
        </is>
      </c>
      <c r="C148" t="inlineStr">
        <is>
          <t>Föryngringsavverkning</t>
        </is>
      </c>
      <c r="D148" s="1" t="n">
        <v>45523</v>
      </c>
      <c r="E148" s="1" t="n">
        <v>46301</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46301</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4971-2024</t>
        </is>
      </c>
      <c r="B150" t="inlineStr">
        <is>
          <t>avverkningsanmälan</t>
        </is>
      </c>
      <c r="C150" t="inlineStr">
        <is>
          <t>Föryngringsavverkning</t>
        </is>
      </c>
      <c r="D150" s="1" t="n">
        <v>45329</v>
      </c>
      <c r="E150" s="1" t="n">
        <v>46301</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40665-2026</t>
        </is>
      </c>
      <c r="B151" t="inlineStr">
        <is>
          <t>avverkningsanmälan</t>
        </is>
      </c>
      <c r="C151" t="inlineStr">
        <is>
          <t>Föryngringsavverkning</t>
        </is>
      </c>
      <c r="D151" s="1" t="n">
        <v>46294</v>
      </c>
      <c r="E151" s="1" t="n">
        <v>46301</v>
      </c>
      <c r="F151" t="inlineStr">
        <is>
          <t>VÄSTRA GÖTALANDS LÄN</t>
        </is>
      </c>
      <c r="G151" t="inlineStr">
        <is>
          <t>ALE</t>
        </is>
      </c>
      <c r="H151" t="inlineStr">
        <is>
          <t>Kyrkan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46301</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46301</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46301</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2026-10-06T01:57:25Z</dcterms:created>
  <dcterms:modified xmlns:dcterms="http://purl.org/dc/terms/" xmlns:xsi="http://www.w3.org/2001/XMLSchema-instance" xsi:type="dcterms:W3CDTF">2026-10-06T01:57:25Z</dcterms:modified>
</cp:coreProperties>
</file>