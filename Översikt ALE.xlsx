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46199</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46199</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46199</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46199</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46199</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46199</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46199</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46199</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46199</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46199</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46199</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26491-2024</t>
        </is>
      </c>
      <c r="B13" s="1" t="n">
        <v>45469</v>
      </c>
      <c r="C13" s="1" t="n">
        <v>46199</v>
      </c>
      <c r="D13" t="inlineStr">
        <is>
          <t>VÄSTRA GÖTALANDS LÄN</t>
        </is>
      </c>
      <c r="E13" t="inlineStr">
        <is>
          <t>ALE</t>
        </is>
      </c>
      <c r="G13" t="n">
        <v>5.3</v>
      </c>
      <c r="H13" t="n">
        <v>2</v>
      </c>
      <c r="I13" t="n">
        <v>3</v>
      </c>
      <c r="J13" t="n">
        <v>1</v>
      </c>
      <c r="K13" t="n">
        <v>0</v>
      </c>
      <c r="L13" t="n">
        <v>0</v>
      </c>
      <c r="M13" t="n">
        <v>0</v>
      </c>
      <c r="N13" t="n">
        <v>0</v>
      </c>
      <c r="O13" t="n">
        <v>1</v>
      </c>
      <c r="P13" t="n">
        <v>0</v>
      </c>
      <c r="Q13" t="n">
        <v>5</v>
      </c>
      <c r="R13" s="2" t="inlineStr">
        <is>
          <t>Duvhök
Gulpudrad spiklav
Rostfläck
Sotlav
Spillkråka</t>
        </is>
      </c>
      <c r="S13">
        <f>HYPERLINK("https://klasma.github.io/Logging_1440/artfynd/A 26491-2024 artfynd.xlsx", "A 26491-2024")</f>
        <v/>
      </c>
      <c r="T13">
        <f>HYPERLINK("https://klasma.github.io/Logging_1440/kartor/A 26491-2024 karta.png", "A 26491-2024")</f>
        <v/>
      </c>
      <c r="V13">
        <f>HYPERLINK("https://klasma.github.io/Logging_1440/klagomål/A 26491-2024 FSC-klagomål.docx", "A 26491-2024")</f>
        <v/>
      </c>
      <c r="W13">
        <f>HYPERLINK("https://klasma.github.io/Logging_1440/klagomålsmail/A 26491-2024 FSC-klagomål mail.docx", "A 26491-2024")</f>
        <v/>
      </c>
      <c r="X13">
        <f>HYPERLINK("https://klasma.github.io/Logging_1440/tillsyn/A 26491-2024 tillsynsbegäran.docx", "A 26491-2024")</f>
        <v/>
      </c>
      <c r="Y13">
        <f>HYPERLINK("https://klasma.github.io/Logging_1440/tillsynsmail/A 26491-2024 tillsynsbegäran mail.docx", "A 26491-2024")</f>
        <v/>
      </c>
      <c r="Z13">
        <f>HYPERLINK("https://klasma.github.io/Logging_1440/fåglar/A 26491-2024 prioriterade fågelarter.docx", "A 26491-2024")</f>
        <v/>
      </c>
    </row>
    <row r="14" ht="15" customHeight="1">
      <c r="A14" t="inlineStr">
        <is>
          <t>A 63575-2023</t>
        </is>
      </c>
      <c r="B14" s="1" t="n">
        <v>45275</v>
      </c>
      <c r="C14" s="1" t="n">
        <v>46199</v>
      </c>
      <c r="D14" t="inlineStr">
        <is>
          <t>VÄSTRA GÖTALANDS LÄN</t>
        </is>
      </c>
      <c r="E14" t="inlineStr">
        <is>
          <t>ALE</t>
        </is>
      </c>
      <c r="G14" t="n">
        <v>1.2</v>
      </c>
      <c r="H14" t="n">
        <v>3</v>
      </c>
      <c r="I14" t="n">
        <v>2</v>
      </c>
      <c r="J14" t="n">
        <v>2</v>
      </c>
      <c r="K14" t="n">
        <v>0</v>
      </c>
      <c r="L14" t="n">
        <v>0</v>
      </c>
      <c r="M14" t="n">
        <v>0</v>
      </c>
      <c r="N14" t="n">
        <v>0</v>
      </c>
      <c r="O14" t="n">
        <v>2</v>
      </c>
      <c r="P14" t="n">
        <v>0</v>
      </c>
      <c r="Q14" t="n">
        <v>5</v>
      </c>
      <c r="R14" s="2" t="inlineStr">
        <is>
          <t>Gulsparv
Talltita
Stor revmossa
Vågbandad barkbock
Spillkråka</t>
        </is>
      </c>
      <c r="S14">
        <f>HYPERLINK("https://klasma.github.io/Logging_1440/artfynd/A 63575-2023 artfynd.xlsx", "A 63575-2023")</f>
        <v/>
      </c>
      <c r="T14">
        <f>HYPERLINK("https://klasma.github.io/Logging_1440/kartor/A 63575-2023 karta.png", "A 63575-2023")</f>
        <v/>
      </c>
      <c r="V14">
        <f>HYPERLINK("https://klasma.github.io/Logging_1440/klagomål/A 63575-2023 FSC-klagomål.docx", "A 63575-2023")</f>
        <v/>
      </c>
      <c r="W14">
        <f>HYPERLINK("https://klasma.github.io/Logging_1440/klagomålsmail/A 63575-2023 FSC-klagomål mail.docx", "A 63575-2023")</f>
        <v/>
      </c>
      <c r="X14">
        <f>HYPERLINK("https://klasma.github.io/Logging_1440/tillsyn/A 63575-2023 tillsynsbegäran.docx", "A 63575-2023")</f>
        <v/>
      </c>
      <c r="Y14">
        <f>HYPERLINK("https://klasma.github.io/Logging_1440/tillsynsmail/A 63575-2023 tillsynsbegäran mail.docx", "A 63575-2023")</f>
        <v/>
      </c>
      <c r="Z14">
        <f>HYPERLINK("https://klasma.github.io/Logging_1440/fåglar/A 63575-2023 prioriterade fågelarter.docx", "A 63575-2023")</f>
        <v/>
      </c>
    </row>
    <row r="15" ht="15" customHeight="1">
      <c r="A15" t="inlineStr">
        <is>
          <t>A 12084-2025</t>
        </is>
      </c>
      <c r="B15" s="1" t="n">
        <v>45728</v>
      </c>
      <c r="C15" s="1" t="n">
        <v>46199</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46199</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46199</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37461-2024</t>
        </is>
      </c>
      <c r="B18" s="1" t="n">
        <v>45540</v>
      </c>
      <c r="C18" s="1" t="n">
        <v>46199</v>
      </c>
      <c r="D18" t="inlineStr">
        <is>
          <t>VÄSTRA GÖTALANDS LÄN</t>
        </is>
      </c>
      <c r="E18" t="inlineStr">
        <is>
          <t>ALE</t>
        </is>
      </c>
      <c r="G18" t="n">
        <v>1.6</v>
      </c>
      <c r="H18" t="n">
        <v>1</v>
      </c>
      <c r="I18" t="n">
        <v>2</v>
      </c>
      <c r="J18" t="n">
        <v>0</v>
      </c>
      <c r="K18" t="n">
        <v>0</v>
      </c>
      <c r="L18" t="n">
        <v>0</v>
      </c>
      <c r="M18" t="n">
        <v>0</v>
      </c>
      <c r="N18" t="n">
        <v>0</v>
      </c>
      <c r="O18" t="n">
        <v>0</v>
      </c>
      <c r="P18" t="n">
        <v>0</v>
      </c>
      <c r="Q18" t="n">
        <v>3</v>
      </c>
      <c r="R18" s="2" t="inlineStr">
        <is>
          <t>Björksplintborre
Gulnål
Spillkråka</t>
        </is>
      </c>
      <c r="S18">
        <f>HYPERLINK("https://klasma.github.io/Logging_1440/artfynd/A 37461-2024 artfynd.xlsx", "A 37461-2024")</f>
        <v/>
      </c>
      <c r="T18">
        <f>HYPERLINK("https://klasma.github.io/Logging_1440/kartor/A 37461-2024 karta.png", "A 37461-2024")</f>
        <v/>
      </c>
      <c r="V18">
        <f>HYPERLINK("https://klasma.github.io/Logging_1440/klagomål/A 37461-2024 FSC-klagomål.docx", "A 37461-2024")</f>
        <v/>
      </c>
      <c r="W18">
        <f>HYPERLINK("https://klasma.github.io/Logging_1440/klagomålsmail/A 37461-2024 FSC-klagomål mail.docx", "A 37461-2024")</f>
        <v/>
      </c>
      <c r="X18">
        <f>HYPERLINK("https://klasma.github.io/Logging_1440/tillsyn/A 37461-2024 tillsynsbegäran.docx", "A 37461-2024")</f>
        <v/>
      </c>
      <c r="Y18">
        <f>HYPERLINK("https://klasma.github.io/Logging_1440/tillsynsmail/A 37461-2024 tillsynsbegäran mail.docx", "A 37461-2024")</f>
        <v/>
      </c>
      <c r="Z18">
        <f>HYPERLINK("https://klasma.github.io/Logging_1440/fåglar/A 37461-2024 prioriterade fågelarter.docx", "A 37461-2024")</f>
        <v/>
      </c>
    </row>
    <row r="19" ht="15" customHeight="1">
      <c r="A19" t="inlineStr">
        <is>
          <t>A 40931-2025</t>
        </is>
      </c>
      <c r="B19" s="1" t="n">
        <v>45897</v>
      </c>
      <c r="C19" s="1" t="n">
        <v>46199</v>
      </c>
      <c r="D19" t="inlineStr">
        <is>
          <t>VÄSTRA GÖTALANDS LÄN</t>
        </is>
      </c>
      <c r="E19" t="inlineStr">
        <is>
          <t>ALE</t>
        </is>
      </c>
      <c r="G19" t="n">
        <v>4.3</v>
      </c>
      <c r="H19" t="n">
        <v>2</v>
      </c>
      <c r="I19" t="n">
        <v>1</v>
      </c>
      <c r="J19" t="n">
        <v>0</v>
      </c>
      <c r="K19" t="n">
        <v>0</v>
      </c>
      <c r="L19" t="n">
        <v>0</v>
      </c>
      <c r="M19" t="n">
        <v>0</v>
      </c>
      <c r="N19" t="n">
        <v>0</v>
      </c>
      <c r="O19" t="n">
        <v>0</v>
      </c>
      <c r="P19" t="n">
        <v>0</v>
      </c>
      <c r="Q19" t="n">
        <v>3</v>
      </c>
      <c r="R19" s="2" t="inlineStr">
        <is>
          <t>Blåmossa
Spillkråka
Revlummer</t>
        </is>
      </c>
      <c r="S19">
        <f>HYPERLINK("https://klasma.github.io/Logging_1440/artfynd/A 40931-2025 artfynd.xlsx", "A 40931-2025")</f>
        <v/>
      </c>
      <c r="T19">
        <f>HYPERLINK("https://klasma.github.io/Logging_1440/kartor/A 40931-2025 karta.png", "A 40931-2025")</f>
        <v/>
      </c>
      <c r="V19">
        <f>HYPERLINK("https://klasma.github.io/Logging_1440/klagomål/A 40931-2025 FSC-klagomål.docx", "A 40931-2025")</f>
        <v/>
      </c>
      <c r="W19">
        <f>HYPERLINK("https://klasma.github.io/Logging_1440/klagomålsmail/A 40931-2025 FSC-klagomål mail.docx", "A 40931-2025")</f>
        <v/>
      </c>
      <c r="X19">
        <f>HYPERLINK("https://klasma.github.io/Logging_1440/tillsyn/A 40931-2025 tillsynsbegäran.docx", "A 40931-2025")</f>
        <v/>
      </c>
      <c r="Y19">
        <f>HYPERLINK("https://klasma.github.io/Logging_1440/tillsynsmail/A 40931-2025 tillsynsbegäran mail.docx", "A 40931-2025")</f>
        <v/>
      </c>
      <c r="Z19">
        <f>HYPERLINK("https://klasma.github.io/Logging_1440/fåglar/A 40931-2025 prioriterade fågelarter.docx", "A 40931-2025")</f>
        <v/>
      </c>
    </row>
    <row r="20" ht="15" customHeight="1">
      <c r="A20" t="inlineStr">
        <is>
          <t>A 47330-2025</t>
        </is>
      </c>
      <c r="B20" s="1" t="n">
        <v>45930</v>
      </c>
      <c r="C20" s="1" t="n">
        <v>46199</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46199</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45986-2021</t>
        </is>
      </c>
      <c r="B22" s="1" t="n">
        <v>44441</v>
      </c>
      <c r="C22" s="1" t="n">
        <v>46199</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2270-2025</t>
        </is>
      </c>
      <c r="B23" s="1" t="n">
        <v>45673</v>
      </c>
      <c r="C23" s="1" t="n">
        <v>46199</v>
      </c>
      <c r="D23" t="inlineStr">
        <is>
          <t>VÄSTRA GÖTALANDS LÄN</t>
        </is>
      </c>
      <c r="E23" t="inlineStr">
        <is>
          <t>ALE</t>
        </is>
      </c>
      <c r="G23" t="n">
        <v>4.1</v>
      </c>
      <c r="H23" t="n">
        <v>2</v>
      </c>
      <c r="I23" t="n">
        <v>0</v>
      </c>
      <c r="J23" t="n">
        <v>0</v>
      </c>
      <c r="K23" t="n">
        <v>0</v>
      </c>
      <c r="L23" t="n">
        <v>0</v>
      </c>
      <c r="M23" t="n">
        <v>0</v>
      </c>
      <c r="N23" t="n">
        <v>0</v>
      </c>
      <c r="O23" t="n">
        <v>0</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1503-2024</t>
        </is>
      </c>
      <c r="B24" s="1" t="n">
        <v>45306</v>
      </c>
      <c r="C24" s="1" t="n">
        <v>46199</v>
      </c>
      <c r="D24" t="inlineStr">
        <is>
          <t>VÄSTRA GÖTALANDS LÄN</t>
        </is>
      </c>
      <c r="E24" t="inlineStr">
        <is>
          <t>ALE</t>
        </is>
      </c>
      <c r="G24" t="n">
        <v>6.6</v>
      </c>
      <c r="H24" t="n">
        <v>2</v>
      </c>
      <c r="I24" t="n">
        <v>0</v>
      </c>
      <c r="J24" t="n">
        <v>0</v>
      </c>
      <c r="K24" t="n">
        <v>0</v>
      </c>
      <c r="L24" t="n">
        <v>0</v>
      </c>
      <c r="M24" t="n">
        <v>0</v>
      </c>
      <c r="N24" t="n">
        <v>0</v>
      </c>
      <c r="O24" t="n">
        <v>0</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13380-2025</t>
        </is>
      </c>
      <c r="B25" s="1" t="n">
        <v>45735</v>
      </c>
      <c r="C25" s="1" t="n">
        <v>46199</v>
      </c>
      <c r="D25" t="inlineStr">
        <is>
          <t>VÄSTRA GÖTALANDS LÄN</t>
        </is>
      </c>
      <c r="E25" t="inlineStr">
        <is>
          <t>ALE</t>
        </is>
      </c>
      <c r="G25" t="n">
        <v>1.8</v>
      </c>
      <c r="H25" t="n">
        <v>2</v>
      </c>
      <c r="I25" t="n">
        <v>0</v>
      </c>
      <c r="J25" t="n">
        <v>1</v>
      </c>
      <c r="K25" t="n">
        <v>0</v>
      </c>
      <c r="L25" t="n">
        <v>0</v>
      </c>
      <c r="M25" t="n">
        <v>0</v>
      </c>
      <c r="N25" t="n">
        <v>0</v>
      </c>
      <c r="O25" t="n">
        <v>1</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v>
      </c>
      <c r="C26" s="1" t="n">
        <v>46199</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46199</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v>
      </c>
      <c r="C28" s="1" t="n">
        <v>46199</v>
      </c>
      <c r="D28" t="inlineStr">
        <is>
          <t>VÄSTRA GÖTALANDS LÄN</t>
        </is>
      </c>
      <c r="E28" t="inlineStr">
        <is>
          <t>ALE</t>
        </is>
      </c>
      <c r="G28" t="n">
        <v>8.6</v>
      </c>
      <c r="H28" t="n">
        <v>1</v>
      </c>
      <c r="I28" t="n">
        <v>1</v>
      </c>
      <c r="J28" t="n">
        <v>0</v>
      </c>
      <c r="K28" t="n">
        <v>0</v>
      </c>
      <c r="L28" t="n">
        <v>0</v>
      </c>
      <c r="M28" t="n">
        <v>0</v>
      </c>
      <c r="N28" t="n">
        <v>0</v>
      </c>
      <c r="O28" t="n">
        <v>0</v>
      </c>
      <c r="P28" t="n">
        <v>0</v>
      </c>
      <c r="Q28" t="n">
        <v>2</v>
      </c>
      <c r="R28" s="2" t="inlineStr">
        <is>
          <t>Blåmossa
Spillkråka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13306-2026</t>
        </is>
      </c>
      <c r="B29" s="1" t="n">
        <v>46094</v>
      </c>
      <c r="C29" s="1" t="n">
        <v>46199</v>
      </c>
      <c r="D29" t="inlineStr">
        <is>
          <t>VÄSTRA GÖTALANDS LÄN</t>
        </is>
      </c>
      <c r="E29" t="inlineStr">
        <is>
          <t>ALE</t>
        </is>
      </c>
      <c r="G29" t="n">
        <v>9.699999999999999</v>
      </c>
      <c r="H29" t="n">
        <v>2</v>
      </c>
      <c r="I29" t="n">
        <v>0</v>
      </c>
      <c r="J29" t="n">
        <v>0</v>
      </c>
      <c r="K29" t="n">
        <v>0</v>
      </c>
      <c r="L29" t="n">
        <v>0</v>
      </c>
      <c r="M29" t="n">
        <v>0</v>
      </c>
      <c r="N29" t="n">
        <v>0</v>
      </c>
      <c r="O29" t="n">
        <v>0</v>
      </c>
      <c r="P29" t="n">
        <v>0</v>
      </c>
      <c r="Q29" t="n">
        <v>2</v>
      </c>
      <c r="R29" s="2" t="inlineStr">
        <is>
          <t>Större vattensalamander
Åkergroda</t>
        </is>
      </c>
      <c r="S29">
        <f>HYPERLINK("https://klasma.github.io/Logging_1440/artfynd/A 13306-2026 artfynd.xlsx", "A 13306-2026")</f>
        <v/>
      </c>
      <c r="T29">
        <f>HYPERLINK("https://klasma.github.io/Logging_1440/kartor/A 13306-2026 karta.png", "A 13306-2026")</f>
        <v/>
      </c>
      <c r="V29">
        <f>HYPERLINK("https://klasma.github.io/Logging_1440/klagomål/A 13306-2026 FSC-klagomål.docx", "A 13306-2026")</f>
        <v/>
      </c>
      <c r="W29">
        <f>HYPERLINK("https://klasma.github.io/Logging_1440/klagomålsmail/A 13306-2026 FSC-klagomål mail.docx", "A 13306-2026")</f>
        <v/>
      </c>
      <c r="X29">
        <f>HYPERLINK("https://klasma.github.io/Logging_1440/tillsyn/A 13306-2026 tillsynsbegäran.docx", "A 13306-2026")</f>
        <v/>
      </c>
      <c r="Y29">
        <f>HYPERLINK("https://klasma.github.io/Logging_1440/tillsynsmail/A 13306-2026 tillsynsbegäran mail.docx", "A 13306-2026")</f>
        <v/>
      </c>
    </row>
    <row r="30" ht="15" customHeight="1">
      <c r="A30" t="inlineStr">
        <is>
          <t>A 63569-2023</t>
        </is>
      </c>
      <c r="B30" s="1" t="n">
        <v>45275</v>
      </c>
      <c r="C30" s="1" t="n">
        <v>46199</v>
      </c>
      <c r="D30" t="inlineStr">
        <is>
          <t>VÄSTRA GÖTALANDS LÄN</t>
        </is>
      </c>
      <c r="E30" t="inlineStr">
        <is>
          <t>ALE</t>
        </is>
      </c>
      <c r="G30" t="n">
        <v>2.4</v>
      </c>
      <c r="H30" t="n">
        <v>2</v>
      </c>
      <c r="I30" t="n">
        <v>0</v>
      </c>
      <c r="J30" t="n">
        <v>1</v>
      </c>
      <c r="K30" t="n">
        <v>0</v>
      </c>
      <c r="L30" t="n">
        <v>0</v>
      </c>
      <c r="M30" t="n">
        <v>0</v>
      </c>
      <c r="N30" t="n">
        <v>0</v>
      </c>
      <c r="O30" t="n">
        <v>1</v>
      </c>
      <c r="P30" t="n">
        <v>0</v>
      </c>
      <c r="Q30" t="n">
        <v>2</v>
      </c>
      <c r="R30" s="2" t="inlineStr">
        <is>
          <t>Talltita
Spillkråka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3413-2023</t>
        </is>
      </c>
      <c r="B31" s="1" t="n">
        <v>44949</v>
      </c>
      <c r="C31" s="1" t="n">
        <v>46199</v>
      </c>
      <c r="D31" t="inlineStr">
        <is>
          <t>VÄSTRA GÖTALANDS LÄN</t>
        </is>
      </c>
      <c r="E31" t="inlineStr">
        <is>
          <t>ALE</t>
        </is>
      </c>
      <c r="G31" t="n">
        <v>2.3</v>
      </c>
      <c r="H31" t="n">
        <v>2</v>
      </c>
      <c r="I31" t="n">
        <v>0</v>
      </c>
      <c r="J31" t="n">
        <v>0</v>
      </c>
      <c r="K31" t="n">
        <v>0</v>
      </c>
      <c r="L31" t="n">
        <v>0</v>
      </c>
      <c r="M31" t="n">
        <v>0</v>
      </c>
      <c r="N31" t="n">
        <v>0</v>
      </c>
      <c r="O31" t="n">
        <v>0</v>
      </c>
      <c r="P31" t="n">
        <v>0</v>
      </c>
      <c r="Q31" t="n">
        <v>2</v>
      </c>
      <c r="R31" s="2" t="inlineStr">
        <is>
          <t>Vanlig padda
Revlummer</t>
        </is>
      </c>
      <c r="S31">
        <f>HYPERLINK("https://klasma.github.io/Logging_1440/artfynd/A 3413-2023 artfynd.xlsx", "A 3413-2023")</f>
        <v/>
      </c>
      <c r="T31">
        <f>HYPERLINK("https://klasma.github.io/Logging_1440/kartor/A 3413-2023 karta.png", "A 3413-2023")</f>
        <v/>
      </c>
      <c r="V31">
        <f>HYPERLINK("https://klasma.github.io/Logging_1440/klagomål/A 3413-2023 FSC-klagomål.docx", "A 3413-2023")</f>
        <v/>
      </c>
      <c r="W31">
        <f>HYPERLINK("https://klasma.github.io/Logging_1440/klagomålsmail/A 3413-2023 FSC-klagomål mail.docx", "A 3413-2023")</f>
        <v/>
      </c>
      <c r="X31">
        <f>HYPERLINK("https://klasma.github.io/Logging_1440/tillsyn/A 3413-2023 tillsynsbegäran.docx", "A 3413-2023")</f>
        <v/>
      </c>
      <c r="Y31">
        <f>HYPERLINK("https://klasma.github.io/Logging_1440/tillsynsmail/A 3413-2023 tillsynsbegäran mail.docx", "A 3413-2023")</f>
        <v/>
      </c>
    </row>
    <row r="32" ht="15" customHeight="1">
      <c r="A32" t="inlineStr">
        <is>
          <t>A 12982-2024</t>
        </is>
      </c>
      <c r="B32" s="1" t="n">
        <v>45385</v>
      </c>
      <c r="C32" s="1" t="n">
        <v>46199</v>
      </c>
      <c r="D32" t="inlineStr">
        <is>
          <t>VÄSTRA GÖTALANDS LÄN</t>
        </is>
      </c>
      <c r="E32" t="inlineStr">
        <is>
          <t>ALE</t>
        </is>
      </c>
      <c r="G32" t="n">
        <v>3.3</v>
      </c>
      <c r="H32" t="n">
        <v>2</v>
      </c>
      <c r="I32" t="n">
        <v>0</v>
      </c>
      <c r="J32" t="n">
        <v>0</v>
      </c>
      <c r="K32" t="n">
        <v>0</v>
      </c>
      <c r="L32" t="n">
        <v>0</v>
      </c>
      <c r="M32" t="n">
        <v>0</v>
      </c>
      <c r="N32" t="n">
        <v>0</v>
      </c>
      <c r="O32" t="n">
        <v>0</v>
      </c>
      <c r="P32" t="n">
        <v>0</v>
      </c>
      <c r="Q32" t="n">
        <v>2</v>
      </c>
      <c r="R32" s="2" t="inlineStr">
        <is>
          <t>Orre
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c r="Z32">
        <f>HYPERLINK("https://klasma.github.io/Logging_1440/fåglar/A 12982-2024 prioriterade fågelarter.docx", "A 12982-2024")</f>
        <v/>
      </c>
    </row>
    <row r="33" ht="15" customHeight="1">
      <c r="A33" t="inlineStr">
        <is>
          <t>A 41607-2022</t>
        </is>
      </c>
      <c r="B33" s="1" t="n">
        <v>44827</v>
      </c>
      <c r="C33" s="1" t="n">
        <v>46199</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14493-2024</t>
        </is>
      </c>
      <c r="B34" s="1" t="n">
        <v>45394</v>
      </c>
      <c r="C34" s="1" t="n">
        <v>46199</v>
      </c>
      <c r="D34" t="inlineStr">
        <is>
          <t>VÄSTRA GÖTALANDS LÄN</t>
        </is>
      </c>
      <c r="E34" t="inlineStr">
        <is>
          <t>ALE</t>
        </is>
      </c>
      <c r="G34" t="n">
        <v>2.3</v>
      </c>
      <c r="H34" t="n">
        <v>1</v>
      </c>
      <c r="I34" t="n">
        <v>0</v>
      </c>
      <c r="J34" t="n">
        <v>0</v>
      </c>
      <c r="K34" t="n">
        <v>0</v>
      </c>
      <c r="L34" t="n">
        <v>0</v>
      </c>
      <c r="M34" t="n">
        <v>0</v>
      </c>
      <c r="N34" t="n">
        <v>0</v>
      </c>
      <c r="O34" t="n">
        <v>0</v>
      </c>
      <c r="P34" t="n">
        <v>0</v>
      </c>
      <c r="Q34" t="n">
        <v>1</v>
      </c>
      <c r="R34" s="2" t="inlineStr">
        <is>
          <t>Orre</t>
        </is>
      </c>
      <c r="S34">
        <f>HYPERLINK("https://klasma.github.io/Logging_1440/artfynd/A 14493-2024 artfynd.xlsx", "A 14493-2024")</f>
        <v/>
      </c>
      <c r="T34">
        <f>HYPERLINK("https://klasma.github.io/Logging_1440/kartor/A 14493-2024 karta.png", "A 14493-2024")</f>
        <v/>
      </c>
      <c r="V34">
        <f>HYPERLINK("https://klasma.github.io/Logging_1440/klagomål/A 14493-2024 FSC-klagomål.docx", "A 14493-2024")</f>
        <v/>
      </c>
      <c r="W34">
        <f>HYPERLINK("https://klasma.github.io/Logging_1440/klagomålsmail/A 14493-2024 FSC-klagomål mail.docx", "A 14493-2024")</f>
        <v/>
      </c>
      <c r="X34">
        <f>HYPERLINK("https://klasma.github.io/Logging_1440/tillsyn/A 14493-2024 tillsynsbegäran.docx", "A 14493-2024")</f>
        <v/>
      </c>
      <c r="Y34">
        <f>HYPERLINK("https://klasma.github.io/Logging_1440/tillsynsmail/A 14493-2024 tillsynsbegäran mail.docx", "A 14493-2024")</f>
        <v/>
      </c>
      <c r="Z34">
        <f>HYPERLINK("https://klasma.github.io/Logging_1440/fåglar/A 14493-2024 prioriterade fågelarter.docx", "A 14493-2024")</f>
        <v/>
      </c>
    </row>
    <row r="35" ht="15" customHeight="1">
      <c r="A35" t="inlineStr">
        <is>
          <t>A 26677-2025</t>
        </is>
      </c>
      <c r="B35" s="1" t="n">
        <v>45810</v>
      </c>
      <c r="C35" s="1" t="n">
        <v>46199</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5344-2024</t>
        </is>
      </c>
      <c r="B36" s="1" t="n">
        <v>45331</v>
      </c>
      <c r="C36" s="1" t="n">
        <v>46199</v>
      </c>
      <c r="D36" t="inlineStr">
        <is>
          <t>VÄSTRA GÖTALANDS LÄN</t>
        </is>
      </c>
      <c r="E36" t="inlineStr">
        <is>
          <t>ALE</t>
        </is>
      </c>
      <c r="G36" t="n">
        <v>2.5</v>
      </c>
      <c r="H36" t="n">
        <v>0</v>
      </c>
      <c r="I36" t="n">
        <v>1</v>
      </c>
      <c r="J36" t="n">
        <v>0</v>
      </c>
      <c r="K36" t="n">
        <v>0</v>
      </c>
      <c r="L36" t="n">
        <v>0</v>
      </c>
      <c r="M36" t="n">
        <v>0</v>
      </c>
      <c r="N36" t="n">
        <v>0</v>
      </c>
      <c r="O36" t="n">
        <v>0</v>
      </c>
      <c r="P36" t="n">
        <v>0</v>
      </c>
      <c r="Q36" t="n">
        <v>1</v>
      </c>
      <c r="R36" s="2" t="inlineStr">
        <is>
          <t>Blåmossa</t>
        </is>
      </c>
      <c r="S36">
        <f>HYPERLINK("https://klasma.github.io/Logging_1440/artfynd/A 5344-2024 artfynd.xlsx", "A 5344-2024")</f>
        <v/>
      </c>
      <c r="T36">
        <f>HYPERLINK("https://klasma.github.io/Logging_1440/kartor/A 5344-2024 karta.png", "A 5344-2024")</f>
        <v/>
      </c>
      <c r="V36">
        <f>HYPERLINK("https://klasma.github.io/Logging_1440/klagomål/A 5344-2024 FSC-klagomål.docx", "A 5344-2024")</f>
        <v/>
      </c>
      <c r="W36">
        <f>HYPERLINK("https://klasma.github.io/Logging_1440/klagomålsmail/A 5344-2024 FSC-klagomål mail.docx", "A 5344-2024")</f>
        <v/>
      </c>
      <c r="X36">
        <f>HYPERLINK("https://klasma.github.io/Logging_1440/tillsyn/A 5344-2024 tillsynsbegäran.docx", "A 5344-2024")</f>
        <v/>
      </c>
      <c r="Y36">
        <f>HYPERLINK("https://klasma.github.io/Logging_1440/tillsynsmail/A 5344-2024 tillsynsbegäran mail.docx", "A 5344-2024")</f>
        <v/>
      </c>
    </row>
    <row r="37" ht="15" customHeight="1">
      <c r="A37" t="inlineStr">
        <is>
          <t>A 13902-2025</t>
        </is>
      </c>
      <c r="B37" s="1" t="n">
        <v>45737</v>
      </c>
      <c r="C37" s="1" t="n">
        <v>46199</v>
      </c>
      <c r="D37" t="inlineStr">
        <is>
          <t>VÄSTRA GÖTALANDS LÄN</t>
        </is>
      </c>
      <c r="E37" t="inlineStr">
        <is>
          <t>ALE</t>
        </is>
      </c>
      <c r="G37" t="n">
        <v>1.4</v>
      </c>
      <c r="H37" t="n">
        <v>1</v>
      </c>
      <c r="I37" t="n">
        <v>0</v>
      </c>
      <c r="J37" t="n">
        <v>0</v>
      </c>
      <c r="K37" t="n">
        <v>0</v>
      </c>
      <c r="L37" t="n">
        <v>0</v>
      </c>
      <c r="M37" t="n">
        <v>0</v>
      </c>
      <c r="N37" t="n">
        <v>0</v>
      </c>
      <c r="O37" t="n">
        <v>0</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row>
    <row r="38" ht="15" customHeight="1">
      <c r="A38" t="inlineStr">
        <is>
          <t>A 62524-2025</t>
        </is>
      </c>
      <c r="B38" s="1" t="n">
        <v>46007</v>
      </c>
      <c r="C38" s="1" t="n">
        <v>46199</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8659-2025</t>
        </is>
      </c>
      <c r="B39" s="1" t="n">
        <v>45712</v>
      </c>
      <c r="C39" s="1" t="n">
        <v>46199</v>
      </c>
      <c r="D39" t="inlineStr">
        <is>
          <t>VÄSTRA GÖTALANDS LÄN</t>
        </is>
      </c>
      <c r="E39" t="inlineStr">
        <is>
          <t>ALE</t>
        </is>
      </c>
      <c r="G39" t="n">
        <v>5.7</v>
      </c>
      <c r="H39" t="n">
        <v>1</v>
      </c>
      <c r="I39" t="n">
        <v>0</v>
      </c>
      <c r="J39" t="n">
        <v>0</v>
      </c>
      <c r="K39" t="n">
        <v>0</v>
      </c>
      <c r="L39" t="n">
        <v>0</v>
      </c>
      <c r="M39" t="n">
        <v>0</v>
      </c>
      <c r="N39" t="n">
        <v>0</v>
      </c>
      <c r="O39" t="n">
        <v>0</v>
      </c>
      <c r="P39" t="n">
        <v>0</v>
      </c>
      <c r="Q39" t="n">
        <v>1</v>
      </c>
      <c r="R39" s="2" t="inlineStr">
        <is>
          <t>Kungsfågel</t>
        </is>
      </c>
      <c r="S39">
        <f>HYPERLINK("https://klasma.github.io/Logging_1440/artfynd/A 8659-2025 artfynd.xlsx", "A 8659-2025")</f>
        <v/>
      </c>
      <c r="T39">
        <f>HYPERLINK("https://klasma.github.io/Logging_1440/kartor/A 8659-2025 karta.png", "A 8659-2025")</f>
        <v/>
      </c>
      <c r="V39">
        <f>HYPERLINK("https://klasma.github.io/Logging_1440/klagomål/A 8659-2025 FSC-klagomål.docx", "A 8659-2025")</f>
        <v/>
      </c>
      <c r="W39">
        <f>HYPERLINK("https://klasma.github.io/Logging_1440/klagomålsmail/A 8659-2025 FSC-klagomål mail.docx", "A 8659-2025")</f>
        <v/>
      </c>
      <c r="X39">
        <f>HYPERLINK("https://klasma.github.io/Logging_1440/tillsyn/A 8659-2025 tillsynsbegäran.docx", "A 8659-2025")</f>
        <v/>
      </c>
      <c r="Y39">
        <f>HYPERLINK("https://klasma.github.io/Logging_1440/tillsynsmail/A 8659-2025 tillsynsbegäran mail.docx", "A 8659-2025")</f>
        <v/>
      </c>
    </row>
    <row r="40" ht="15" customHeight="1">
      <c r="A40" t="inlineStr">
        <is>
          <t>A 52423-2025</t>
        </is>
      </c>
      <c r="B40" s="1" t="n">
        <v>45954</v>
      </c>
      <c r="C40" s="1" t="n">
        <v>46199</v>
      </c>
      <c r="D40" t="inlineStr">
        <is>
          <t>VÄSTRA GÖTALANDS LÄN</t>
        </is>
      </c>
      <c r="E40" t="inlineStr">
        <is>
          <t>ALE</t>
        </is>
      </c>
      <c r="G40" t="n">
        <v>4.1</v>
      </c>
      <c r="H40" t="n">
        <v>1</v>
      </c>
      <c r="I40" t="n">
        <v>0</v>
      </c>
      <c r="J40" t="n">
        <v>0</v>
      </c>
      <c r="K40" t="n">
        <v>0</v>
      </c>
      <c r="L40" t="n">
        <v>0</v>
      </c>
      <c r="M40" t="n">
        <v>0</v>
      </c>
      <c r="N40" t="n">
        <v>0</v>
      </c>
      <c r="O40" t="n">
        <v>0</v>
      </c>
      <c r="P40" t="n">
        <v>0</v>
      </c>
      <c r="Q40" t="n">
        <v>1</v>
      </c>
      <c r="R40" s="2" t="inlineStr">
        <is>
          <t>Trana</t>
        </is>
      </c>
      <c r="S40">
        <f>HYPERLINK("https://klasma.github.io/Logging_1440/artfynd/A 52423-2025 artfynd.xlsx", "A 52423-2025")</f>
        <v/>
      </c>
      <c r="T40">
        <f>HYPERLINK("https://klasma.github.io/Logging_1440/kartor/A 52423-2025 karta.png", "A 52423-2025")</f>
        <v/>
      </c>
      <c r="V40">
        <f>HYPERLINK("https://klasma.github.io/Logging_1440/klagomål/A 52423-2025 FSC-klagomål.docx", "A 52423-2025")</f>
        <v/>
      </c>
      <c r="W40">
        <f>HYPERLINK("https://klasma.github.io/Logging_1440/klagomålsmail/A 52423-2025 FSC-klagomål mail.docx", "A 52423-2025")</f>
        <v/>
      </c>
      <c r="X40">
        <f>HYPERLINK("https://klasma.github.io/Logging_1440/tillsyn/A 52423-2025 tillsynsbegäran.docx", "A 52423-2025")</f>
        <v/>
      </c>
      <c r="Y40">
        <f>HYPERLINK("https://klasma.github.io/Logging_1440/tillsynsmail/A 52423-2025 tillsynsbegäran mail.docx", "A 52423-2025")</f>
        <v/>
      </c>
      <c r="Z40">
        <f>HYPERLINK("https://klasma.github.io/Logging_1440/fåglar/A 52423-2025 prioriterade fågelarter.docx", "A 52423-2025")</f>
        <v/>
      </c>
    </row>
    <row r="41" ht="15" customHeight="1">
      <c r="A41" t="inlineStr">
        <is>
          <t>A 9783-2026</t>
        </is>
      </c>
      <c r="B41" s="1" t="n">
        <v>46072</v>
      </c>
      <c r="C41" s="1" t="n">
        <v>46199</v>
      </c>
      <c r="D41" t="inlineStr">
        <is>
          <t>VÄSTRA GÖTALANDS LÄN</t>
        </is>
      </c>
      <c r="E41" t="inlineStr">
        <is>
          <t>ALE</t>
        </is>
      </c>
      <c r="G41" t="n">
        <v>4.9</v>
      </c>
      <c r="H41" t="n">
        <v>1</v>
      </c>
      <c r="I41" t="n">
        <v>0</v>
      </c>
      <c r="J41" t="n">
        <v>0</v>
      </c>
      <c r="K41" t="n">
        <v>0</v>
      </c>
      <c r="L41" t="n">
        <v>0</v>
      </c>
      <c r="M41" t="n">
        <v>0</v>
      </c>
      <c r="N41" t="n">
        <v>0</v>
      </c>
      <c r="O41" t="n">
        <v>0</v>
      </c>
      <c r="P41" t="n">
        <v>0</v>
      </c>
      <c r="Q41" t="n">
        <v>1</v>
      </c>
      <c r="R41" s="2" t="inlineStr">
        <is>
          <t>Lopplummer (aggregat)</t>
        </is>
      </c>
      <c r="S41">
        <f>HYPERLINK("https://klasma.github.io/Logging_1440/artfynd/A 9783-2026 artfynd.xlsx", "A 9783-2026")</f>
        <v/>
      </c>
      <c r="T41">
        <f>HYPERLINK("https://klasma.github.io/Logging_1440/kartor/A 9783-2026 karta.png", "A 9783-2026")</f>
        <v/>
      </c>
      <c r="V41">
        <f>HYPERLINK("https://klasma.github.io/Logging_1440/klagomål/A 9783-2026 FSC-klagomål.docx", "A 9783-2026")</f>
        <v/>
      </c>
      <c r="W41">
        <f>HYPERLINK("https://klasma.github.io/Logging_1440/klagomålsmail/A 9783-2026 FSC-klagomål mail.docx", "A 9783-2026")</f>
        <v/>
      </c>
      <c r="X41">
        <f>HYPERLINK("https://klasma.github.io/Logging_1440/tillsyn/A 9783-2026 tillsynsbegäran.docx", "A 9783-2026")</f>
        <v/>
      </c>
      <c r="Y41">
        <f>HYPERLINK("https://klasma.github.io/Logging_1440/tillsynsmail/A 9783-2026 tillsynsbegäran mail.docx", "A 9783-2026")</f>
        <v/>
      </c>
    </row>
    <row r="42" ht="15" customHeight="1">
      <c r="A42" t="inlineStr">
        <is>
          <t>A 200-2022</t>
        </is>
      </c>
      <c r="B42" s="1" t="n">
        <v>44564</v>
      </c>
      <c r="C42" s="1" t="n">
        <v>46199</v>
      </c>
      <c r="D42" t="inlineStr">
        <is>
          <t>VÄSTRA GÖTALANDS LÄN</t>
        </is>
      </c>
      <c r="E42" t="inlineStr">
        <is>
          <t>ALE</t>
        </is>
      </c>
      <c r="G42" t="n">
        <v>6.8</v>
      </c>
      <c r="H42" t="n">
        <v>1</v>
      </c>
      <c r="I42" t="n">
        <v>0</v>
      </c>
      <c r="J42" t="n">
        <v>0</v>
      </c>
      <c r="K42" t="n">
        <v>0</v>
      </c>
      <c r="L42" t="n">
        <v>0</v>
      </c>
      <c r="M42" t="n">
        <v>0</v>
      </c>
      <c r="N42" t="n">
        <v>0</v>
      </c>
      <c r="O42" t="n">
        <v>0</v>
      </c>
      <c r="P42" t="n">
        <v>0</v>
      </c>
      <c r="Q42" t="n">
        <v>1</v>
      </c>
      <c r="R42" s="2" t="inlineStr">
        <is>
          <t>Spillkråka</t>
        </is>
      </c>
      <c r="S42">
        <f>HYPERLINK("https://klasma.github.io/Logging_1440/artfynd/A 200-2022 artfynd.xlsx", "A 200-2022")</f>
        <v/>
      </c>
      <c r="T42">
        <f>HYPERLINK("https://klasma.github.io/Logging_1440/kartor/A 200-2022 karta.png", "A 200-2022")</f>
        <v/>
      </c>
      <c r="V42">
        <f>HYPERLINK("https://klasma.github.io/Logging_1440/klagomål/A 200-2022 FSC-klagomål.docx", "A 200-2022")</f>
        <v/>
      </c>
      <c r="W42">
        <f>HYPERLINK("https://klasma.github.io/Logging_1440/klagomålsmail/A 200-2022 FSC-klagomål mail.docx", "A 200-2022")</f>
        <v/>
      </c>
      <c r="X42">
        <f>HYPERLINK("https://klasma.github.io/Logging_1440/tillsyn/A 200-2022 tillsynsbegäran.docx", "A 200-2022")</f>
        <v/>
      </c>
      <c r="Y42">
        <f>HYPERLINK("https://klasma.github.io/Logging_1440/tillsynsmail/A 200-2022 tillsynsbegäran mail.docx", "A 200-2022")</f>
        <v/>
      </c>
      <c r="Z42">
        <f>HYPERLINK("https://klasma.github.io/Logging_1440/fåglar/A 200-2022 prioriterade fågelarter.docx", "A 200-2022")</f>
        <v/>
      </c>
    </row>
    <row r="43" ht="15" customHeight="1">
      <c r="A43" t="inlineStr">
        <is>
          <t>A 17355-2026</t>
        </is>
      </c>
      <c r="B43" s="1" t="n">
        <v>46119</v>
      </c>
      <c r="C43" s="1" t="n">
        <v>46199</v>
      </c>
      <c r="D43" t="inlineStr">
        <is>
          <t>VÄSTRA GÖTALANDS LÄN</t>
        </is>
      </c>
      <c r="E43" t="inlineStr">
        <is>
          <t>ALE</t>
        </is>
      </c>
      <c r="G43" t="n">
        <v>1.1</v>
      </c>
      <c r="H43" t="n">
        <v>1</v>
      </c>
      <c r="I43" t="n">
        <v>0</v>
      </c>
      <c r="J43" t="n">
        <v>0</v>
      </c>
      <c r="K43" t="n">
        <v>0</v>
      </c>
      <c r="L43" t="n">
        <v>0</v>
      </c>
      <c r="M43" t="n">
        <v>0</v>
      </c>
      <c r="N43" t="n">
        <v>0</v>
      </c>
      <c r="O43" t="n">
        <v>0</v>
      </c>
      <c r="P43" t="n">
        <v>0</v>
      </c>
      <c r="Q43" t="n">
        <v>1</v>
      </c>
      <c r="R43" s="2" t="inlineStr">
        <is>
          <t>Skogsödla</t>
        </is>
      </c>
      <c r="S43">
        <f>HYPERLINK("https://klasma.github.io/Logging_1440/artfynd/A 17355-2026 artfynd.xlsx", "A 17355-2026")</f>
        <v/>
      </c>
      <c r="T43">
        <f>HYPERLINK("https://klasma.github.io/Logging_1440/kartor/A 17355-2026 karta.png", "A 17355-2026")</f>
        <v/>
      </c>
      <c r="V43">
        <f>HYPERLINK("https://klasma.github.io/Logging_1440/klagomål/A 17355-2026 FSC-klagomål.docx", "A 17355-2026")</f>
        <v/>
      </c>
      <c r="W43">
        <f>HYPERLINK("https://klasma.github.io/Logging_1440/klagomålsmail/A 17355-2026 FSC-klagomål mail.docx", "A 17355-2026")</f>
        <v/>
      </c>
      <c r="X43">
        <f>HYPERLINK("https://klasma.github.io/Logging_1440/tillsyn/A 17355-2026 tillsynsbegäran.docx", "A 17355-2026")</f>
        <v/>
      </c>
      <c r="Y43">
        <f>HYPERLINK("https://klasma.github.io/Logging_1440/tillsynsmail/A 17355-2026 tillsynsbegäran mail.docx", "A 17355-2026")</f>
        <v/>
      </c>
    </row>
    <row r="44" ht="15" customHeight="1">
      <c r="A44" t="inlineStr">
        <is>
          <t>A 41598-2022</t>
        </is>
      </c>
      <c r="B44" s="1" t="n">
        <v>44827</v>
      </c>
      <c r="C44" s="1" t="n">
        <v>46199</v>
      </c>
      <c r="D44" t="inlineStr">
        <is>
          <t>VÄSTRA GÖTALANDS LÄN</t>
        </is>
      </c>
      <c r="E44" t="inlineStr">
        <is>
          <t>ALE</t>
        </is>
      </c>
      <c r="G44" t="n">
        <v>2</v>
      </c>
      <c r="H44" t="n">
        <v>1</v>
      </c>
      <c r="I44" t="n">
        <v>0</v>
      </c>
      <c r="J44" t="n">
        <v>0</v>
      </c>
      <c r="K44" t="n">
        <v>0</v>
      </c>
      <c r="L44" t="n">
        <v>0</v>
      </c>
      <c r="M44" t="n">
        <v>0</v>
      </c>
      <c r="N44" t="n">
        <v>0</v>
      </c>
      <c r="O44" t="n">
        <v>0</v>
      </c>
      <c r="P44" t="n">
        <v>0</v>
      </c>
      <c r="Q44" t="n">
        <v>1</v>
      </c>
      <c r="R44" s="2" t="inlineStr">
        <is>
          <t>Grönvit nattviol</t>
        </is>
      </c>
      <c r="S44">
        <f>HYPERLINK("https://klasma.github.io/Logging_1440/artfynd/A 41598-2022 artfynd.xlsx", "A 41598-2022")</f>
        <v/>
      </c>
      <c r="T44">
        <f>HYPERLINK("https://klasma.github.io/Logging_1440/kartor/A 41598-2022 karta.png", "A 41598-2022")</f>
        <v/>
      </c>
      <c r="V44">
        <f>HYPERLINK("https://klasma.github.io/Logging_1440/klagomål/A 41598-2022 FSC-klagomål.docx", "A 41598-2022")</f>
        <v/>
      </c>
      <c r="W44">
        <f>HYPERLINK("https://klasma.github.io/Logging_1440/klagomålsmail/A 41598-2022 FSC-klagomål mail.docx", "A 41598-2022")</f>
        <v/>
      </c>
      <c r="X44">
        <f>HYPERLINK("https://klasma.github.io/Logging_1440/tillsyn/A 41598-2022 tillsynsbegäran.docx", "A 41598-2022")</f>
        <v/>
      </c>
      <c r="Y44">
        <f>HYPERLINK("https://klasma.github.io/Logging_1440/tillsynsmail/A 41598-2022 tillsynsbegäran mail.docx", "A 41598-2022")</f>
        <v/>
      </c>
    </row>
    <row r="45" ht="15" customHeight="1">
      <c r="A45" t="inlineStr">
        <is>
          <t>A 26493-2024</t>
        </is>
      </c>
      <c r="B45" s="1" t="n">
        <v>45469</v>
      </c>
      <c r="C45" s="1" t="n">
        <v>46199</v>
      </c>
      <c r="D45" t="inlineStr">
        <is>
          <t>VÄSTRA GÖTALANDS LÄN</t>
        </is>
      </c>
      <c r="E45" t="inlineStr">
        <is>
          <t>ALE</t>
        </is>
      </c>
      <c r="G45" t="n">
        <v>1.6</v>
      </c>
      <c r="H45" t="n">
        <v>1</v>
      </c>
      <c r="I45" t="n">
        <v>0</v>
      </c>
      <c r="J45" t="n">
        <v>0</v>
      </c>
      <c r="K45" t="n">
        <v>0</v>
      </c>
      <c r="L45" t="n">
        <v>0</v>
      </c>
      <c r="M45" t="n">
        <v>0</v>
      </c>
      <c r="N45" t="n">
        <v>0</v>
      </c>
      <c r="O45" t="n">
        <v>0</v>
      </c>
      <c r="P45" t="n">
        <v>0</v>
      </c>
      <c r="Q45" t="n">
        <v>1</v>
      </c>
      <c r="R45" s="2" t="inlineStr">
        <is>
          <t>Grönvit nattviol</t>
        </is>
      </c>
      <c r="S45">
        <f>HYPERLINK("https://klasma.github.io/Logging_1440/artfynd/A 26493-2024 artfynd.xlsx", "A 26493-2024")</f>
        <v/>
      </c>
      <c r="T45">
        <f>HYPERLINK("https://klasma.github.io/Logging_1440/kartor/A 26493-2024 karta.png", "A 26493-2024")</f>
        <v/>
      </c>
      <c r="V45">
        <f>HYPERLINK("https://klasma.github.io/Logging_1440/klagomål/A 26493-2024 FSC-klagomål.docx", "A 26493-2024")</f>
        <v/>
      </c>
      <c r="W45">
        <f>HYPERLINK("https://klasma.github.io/Logging_1440/klagomålsmail/A 26493-2024 FSC-klagomål mail.docx", "A 26493-2024")</f>
        <v/>
      </c>
      <c r="X45">
        <f>HYPERLINK("https://klasma.github.io/Logging_1440/tillsyn/A 26493-2024 tillsynsbegäran.docx", "A 26493-2024")</f>
        <v/>
      </c>
      <c r="Y45">
        <f>HYPERLINK("https://klasma.github.io/Logging_1440/tillsynsmail/A 26493-2024 tillsynsbegäran mail.docx", "A 26493-2024")</f>
        <v/>
      </c>
    </row>
    <row r="46" ht="15" customHeight="1">
      <c r="A46" t="inlineStr">
        <is>
          <t>A 33237-2024</t>
        </is>
      </c>
      <c r="B46" s="1" t="n">
        <v>45518</v>
      </c>
      <c r="C46" s="1" t="n">
        <v>46199</v>
      </c>
      <c r="D46" t="inlineStr">
        <is>
          <t>VÄSTRA GÖTALANDS LÄN</t>
        </is>
      </c>
      <c r="E46" t="inlineStr">
        <is>
          <t>ALE</t>
        </is>
      </c>
      <c r="G46" t="n">
        <v>0.6</v>
      </c>
      <c r="H46" t="n">
        <v>0</v>
      </c>
      <c r="I46" t="n">
        <v>0</v>
      </c>
      <c r="J46" t="n">
        <v>0</v>
      </c>
      <c r="K46" t="n">
        <v>1</v>
      </c>
      <c r="L46" t="n">
        <v>0</v>
      </c>
      <c r="M46" t="n">
        <v>0</v>
      </c>
      <c r="N46" t="n">
        <v>0</v>
      </c>
      <c r="O46" t="n">
        <v>1</v>
      </c>
      <c r="P46" t="n">
        <v>1</v>
      </c>
      <c r="Q46" t="n">
        <v>1</v>
      </c>
      <c r="R46" s="2" t="inlineStr">
        <is>
          <t>Igelkott</t>
        </is>
      </c>
      <c r="S46">
        <f>HYPERLINK("https://klasma.github.io/Logging_1440/artfynd/A 33237-2024 artfynd.xlsx", "A 33237-2024")</f>
        <v/>
      </c>
      <c r="T46">
        <f>HYPERLINK("https://klasma.github.io/Logging_1440/kartor/A 33237-2024 karta.png", "A 33237-2024")</f>
        <v/>
      </c>
      <c r="V46">
        <f>HYPERLINK("https://klasma.github.io/Logging_1440/klagomål/A 33237-2024 FSC-klagomål.docx", "A 33237-2024")</f>
        <v/>
      </c>
      <c r="W46">
        <f>HYPERLINK("https://klasma.github.io/Logging_1440/klagomålsmail/A 33237-2024 FSC-klagomål mail.docx", "A 33237-2024")</f>
        <v/>
      </c>
      <c r="X46">
        <f>HYPERLINK("https://klasma.github.io/Logging_1440/tillsyn/A 33237-2024 tillsynsbegäran.docx", "A 33237-2024")</f>
        <v/>
      </c>
      <c r="Y46">
        <f>HYPERLINK("https://klasma.github.io/Logging_1440/tillsynsmail/A 33237-2024 tillsynsbegäran mail.docx", "A 33237-2024")</f>
        <v/>
      </c>
    </row>
    <row r="47" ht="15" customHeight="1">
      <c r="A47" t="inlineStr">
        <is>
          <t>A 4363-2024</t>
        </is>
      </c>
      <c r="B47" s="1" t="n">
        <v>45325</v>
      </c>
      <c r="C47" s="1" t="n">
        <v>46199</v>
      </c>
      <c r="D47" t="inlineStr">
        <is>
          <t>VÄSTRA GÖTALANDS LÄN</t>
        </is>
      </c>
      <c r="E47" t="inlineStr">
        <is>
          <t>ALE</t>
        </is>
      </c>
      <c r="G47" t="n">
        <v>0.6</v>
      </c>
      <c r="H47" t="n">
        <v>1</v>
      </c>
      <c r="I47" t="n">
        <v>0</v>
      </c>
      <c r="J47" t="n">
        <v>0</v>
      </c>
      <c r="K47" t="n">
        <v>0</v>
      </c>
      <c r="L47" t="n">
        <v>0</v>
      </c>
      <c r="M47" t="n">
        <v>0</v>
      </c>
      <c r="N47" t="n">
        <v>0</v>
      </c>
      <c r="O47" t="n">
        <v>0</v>
      </c>
      <c r="P47" t="n">
        <v>0</v>
      </c>
      <c r="Q47" t="n">
        <v>1</v>
      </c>
      <c r="R47" s="2" t="inlineStr">
        <is>
          <t>Spillkråka</t>
        </is>
      </c>
      <c r="S47">
        <f>HYPERLINK("https://klasma.github.io/Logging_1440/artfynd/A 4363-2024 artfynd.xlsx", "A 4363-2024")</f>
        <v/>
      </c>
      <c r="T47">
        <f>HYPERLINK("https://klasma.github.io/Logging_1440/kartor/A 4363-2024 karta.png", "A 4363-2024")</f>
        <v/>
      </c>
      <c r="V47">
        <f>HYPERLINK("https://klasma.github.io/Logging_1440/klagomål/A 4363-2024 FSC-klagomål.docx", "A 4363-2024")</f>
        <v/>
      </c>
      <c r="W47">
        <f>HYPERLINK("https://klasma.github.io/Logging_1440/klagomålsmail/A 4363-2024 FSC-klagomål mail.docx", "A 4363-2024")</f>
        <v/>
      </c>
      <c r="X47">
        <f>HYPERLINK("https://klasma.github.io/Logging_1440/tillsyn/A 4363-2024 tillsynsbegäran.docx", "A 4363-2024")</f>
        <v/>
      </c>
      <c r="Y47">
        <f>HYPERLINK("https://klasma.github.io/Logging_1440/tillsynsmail/A 4363-2024 tillsynsbegäran mail.docx", "A 4363-2024")</f>
        <v/>
      </c>
      <c r="Z47">
        <f>HYPERLINK("https://klasma.github.io/Logging_1440/fåglar/A 4363-2024 prioriterade fågelarter.docx", "A 4363-2024")</f>
        <v/>
      </c>
    </row>
    <row r="48" ht="15" customHeight="1">
      <c r="A48" t="inlineStr">
        <is>
          <t>A 62855-2021</t>
        </is>
      </c>
      <c r="B48" s="1" t="n">
        <v>44504</v>
      </c>
      <c r="C48" s="1" t="n">
        <v>46199</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46199</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46199</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46199</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46199</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46199</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46199</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v>
      </c>
      <c r="C55" s="1" t="n">
        <v>46199</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v>
      </c>
      <c r="C56" s="1" t="n">
        <v>46199</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46199</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46199</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46199</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53476-2023</t>
        </is>
      </c>
      <c r="B60" s="1" t="n">
        <v>45230</v>
      </c>
      <c r="C60" s="1" t="n">
        <v>46199</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26157-2023</t>
        </is>
      </c>
      <c r="B61" s="1" t="n">
        <v>45091</v>
      </c>
      <c r="C61" s="1" t="n">
        <v>46199</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22946-2025</t>
        </is>
      </c>
      <c r="B62" s="1" t="n">
        <v>45790</v>
      </c>
      <c r="C62" s="1" t="n">
        <v>46199</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36763-2022</t>
        </is>
      </c>
      <c r="B63" s="1" t="n">
        <v>44805</v>
      </c>
      <c r="C63" s="1" t="n">
        <v>46199</v>
      </c>
      <c r="D63" t="inlineStr">
        <is>
          <t>VÄSTRA GÖTALANDS LÄN</t>
        </is>
      </c>
      <c r="E63" t="inlineStr">
        <is>
          <t>ALE</t>
        </is>
      </c>
      <c r="G63" t="n">
        <v>6.1</v>
      </c>
      <c r="H63" t="n">
        <v>0</v>
      </c>
      <c r="I63" t="n">
        <v>0</v>
      </c>
      <c r="J63" t="n">
        <v>0</v>
      </c>
      <c r="K63" t="n">
        <v>0</v>
      </c>
      <c r="L63" t="n">
        <v>0</v>
      </c>
      <c r="M63" t="n">
        <v>0</v>
      </c>
      <c r="N63" t="n">
        <v>0</v>
      </c>
      <c r="O63" t="n">
        <v>0</v>
      </c>
      <c r="P63" t="n">
        <v>0</v>
      </c>
      <c r="Q63" t="n">
        <v>0</v>
      </c>
      <c r="R63" s="2" t="inlineStr"/>
    </row>
    <row r="64" ht="15" customHeight="1">
      <c r="A64" t="inlineStr">
        <is>
          <t>A 4971-2024</t>
        </is>
      </c>
      <c r="B64" s="1" t="n">
        <v>45329</v>
      </c>
      <c r="C64" s="1" t="n">
        <v>46199</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56493-2021</t>
        </is>
      </c>
      <c r="B65" s="1" t="n">
        <v>44480</v>
      </c>
      <c r="C65" s="1" t="n">
        <v>46199</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45988-2021</t>
        </is>
      </c>
      <c r="B66" s="1" t="n">
        <v>44441</v>
      </c>
      <c r="C66" s="1" t="n">
        <v>46199</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5875-2023</t>
        </is>
      </c>
      <c r="B67" s="1" t="n">
        <v>44963</v>
      </c>
      <c r="C67" s="1" t="n">
        <v>46199</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3407-2023</t>
        </is>
      </c>
      <c r="B68" s="1" t="n">
        <v>44949</v>
      </c>
      <c r="C68" s="1" t="n">
        <v>46199</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51564-2023</t>
        </is>
      </c>
      <c r="B69" s="1" t="n">
        <v>45222</v>
      </c>
      <c r="C69" s="1" t="n">
        <v>46199</v>
      </c>
      <c r="D69" t="inlineStr">
        <is>
          <t>VÄSTRA GÖTALANDS LÄN</t>
        </is>
      </c>
      <c r="E69" t="inlineStr">
        <is>
          <t>ALE</t>
        </is>
      </c>
      <c r="G69" t="n">
        <v>1.5</v>
      </c>
      <c r="H69" t="n">
        <v>0</v>
      </c>
      <c r="I69" t="n">
        <v>0</v>
      </c>
      <c r="J69" t="n">
        <v>0</v>
      </c>
      <c r="K69" t="n">
        <v>0</v>
      </c>
      <c r="L69" t="n">
        <v>0</v>
      </c>
      <c r="M69" t="n">
        <v>0</v>
      </c>
      <c r="N69" t="n">
        <v>0</v>
      </c>
      <c r="O69" t="n">
        <v>0</v>
      </c>
      <c r="P69" t="n">
        <v>0</v>
      </c>
      <c r="Q69" t="n">
        <v>0</v>
      </c>
      <c r="R69" s="2" t="inlineStr"/>
    </row>
    <row r="70" ht="15" customHeight="1">
      <c r="A70" t="inlineStr">
        <is>
          <t>A 25848-2025</t>
        </is>
      </c>
      <c r="B70" s="1" t="n">
        <v>45804</v>
      </c>
      <c r="C70" s="1" t="n">
        <v>46199</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18637-2023</t>
        </is>
      </c>
      <c r="B71" s="1" t="n">
        <v>45043</v>
      </c>
      <c r="C71" s="1" t="n">
        <v>46199</v>
      </c>
      <c r="D71" t="inlineStr">
        <is>
          <t>VÄSTRA GÖTALANDS LÄN</t>
        </is>
      </c>
      <c r="E71" t="inlineStr">
        <is>
          <t>ALE</t>
        </is>
      </c>
      <c r="G71" t="n">
        <v>3.6</v>
      </c>
      <c r="H71" t="n">
        <v>0</v>
      </c>
      <c r="I71" t="n">
        <v>0</v>
      </c>
      <c r="J71" t="n">
        <v>0</v>
      </c>
      <c r="K71" t="n">
        <v>0</v>
      </c>
      <c r="L71" t="n">
        <v>0</v>
      </c>
      <c r="M71" t="n">
        <v>0</v>
      </c>
      <c r="N71" t="n">
        <v>0</v>
      </c>
      <c r="O71" t="n">
        <v>0</v>
      </c>
      <c r="P71" t="n">
        <v>0</v>
      </c>
      <c r="Q71" t="n">
        <v>0</v>
      </c>
      <c r="R71" s="2" t="inlineStr"/>
    </row>
    <row r="72" ht="15" customHeight="1">
      <c r="A72" t="inlineStr">
        <is>
          <t>A 59933-2023</t>
        </is>
      </c>
      <c r="B72" s="1" t="n">
        <v>45257</v>
      </c>
      <c r="C72" s="1" t="n">
        <v>46199</v>
      </c>
      <c r="D72" t="inlineStr">
        <is>
          <t>VÄSTRA GÖTALANDS LÄN</t>
        </is>
      </c>
      <c r="E72" t="inlineStr">
        <is>
          <t>ALE</t>
        </is>
      </c>
      <c r="G72" t="n">
        <v>2.7</v>
      </c>
      <c r="H72" t="n">
        <v>0</v>
      </c>
      <c r="I72" t="n">
        <v>0</v>
      </c>
      <c r="J72" t="n">
        <v>0</v>
      </c>
      <c r="K72" t="n">
        <v>0</v>
      </c>
      <c r="L72" t="n">
        <v>0</v>
      </c>
      <c r="M72" t="n">
        <v>0</v>
      </c>
      <c r="N72" t="n">
        <v>0</v>
      </c>
      <c r="O72" t="n">
        <v>0</v>
      </c>
      <c r="P72" t="n">
        <v>0</v>
      </c>
      <c r="Q72" t="n">
        <v>0</v>
      </c>
      <c r="R72" s="2" t="inlineStr"/>
    </row>
    <row r="73" ht="15" customHeight="1">
      <c r="A73" t="inlineStr">
        <is>
          <t>A 36403-2024</t>
        </is>
      </c>
      <c r="B73" s="1" t="n">
        <v>45535</v>
      </c>
      <c r="C73" s="1" t="n">
        <v>46199</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31407-2025</t>
        </is>
      </c>
      <c r="B74" s="1" t="n">
        <v>45833</v>
      </c>
      <c r="C74" s="1" t="n">
        <v>46199</v>
      </c>
      <c r="D74" t="inlineStr">
        <is>
          <t>VÄSTRA GÖTALANDS LÄN</t>
        </is>
      </c>
      <c r="E74" t="inlineStr">
        <is>
          <t>ALE</t>
        </is>
      </c>
      <c r="G74" t="n">
        <v>0.8</v>
      </c>
      <c r="H74" t="n">
        <v>0</v>
      </c>
      <c r="I74" t="n">
        <v>0</v>
      </c>
      <c r="J74" t="n">
        <v>0</v>
      </c>
      <c r="K74" t="n">
        <v>0</v>
      </c>
      <c r="L74" t="n">
        <v>0</v>
      </c>
      <c r="M74" t="n">
        <v>0</v>
      </c>
      <c r="N74" t="n">
        <v>0</v>
      </c>
      <c r="O74" t="n">
        <v>0</v>
      </c>
      <c r="P74" t="n">
        <v>0</v>
      </c>
      <c r="Q74" t="n">
        <v>0</v>
      </c>
      <c r="R74" s="2" t="inlineStr"/>
    </row>
    <row r="75" ht="15" customHeight="1">
      <c r="A75" t="inlineStr">
        <is>
          <t>A 55405-2021</t>
        </is>
      </c>
      <c r="B75" s="1" t="n">
        <v>44475</v>
      </c>
      <c r="C75" s="1" t="n">
        <v>46199</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59409-2025</t>
        </is>
      </c>
      <c r="B76" s="1" t="n">
        <v>45989</v>
      </c>
      <c r="C76" s="1" t="n">
        <v>46199</v>
      </c>
      <c r="D76" t="inlineStr">
        <is>
          <t>VÄSTRA GÖTALANDS LÄN</t>
        </is>
      </c>
      <c r="E76" t="inlineStr">
        <is>
          <t>ALE</t>
        </is>
      </c>
      <c r="G76" t="n">
        <v>0.3</v>
      </c>
      <c r="H76" t="n">
        <v>0</v>
      </c>
      <c r="I76" t="n">
        <v>0</v>
      </c>
      <c r="J76" t="n">
        <v>0</v>
      </c>
      <c r="K76" t="n">
        <v>0</v>
      </c>
      <c r="L76" t="n">
        <v>0</v>
      </c>
      <c r="M76" t="n">
        <v>0</v>
      </c>
      <c r="N76" t="n">
        <v>0</v>
      </c>
      <c r="O76" t="n">
        <v>0</v>
      </c>
      <c r="P76" t="n">
        <v>0</v>
      </c>
      <c r="Q76" t="n">
        <v>0</v>
      </c>
      <c r="R76" s="2" t="inlineStr"/>
    </row>
    <row r="77" ht="15" customHeight="1">
      <c r="A77" t="inlineStr">
        <is>
          <t>A 46227-2025</t>
        </is>
      </c>
      <c r="B77" s="1" t="n">
        <v>45924</v>
      </c>
      <c r="C77" s="1" t="n">
        <v>46199</v>
      </c>
      <c r="D77" t="inlineStr">
        <is>
          <t>VÄSTRA GÖTALANDS LÄN</t>
        </is>
      </c>
      <c r="E77" t="inlineStr">
        <is>
          <t>ALE</t>
        </is>
      </c>
      <c r="G77" t="n">
        <v>0.3</v>
      </c>
      <c r="H77" t="n">
        <v>0</v>
      </c>
      <c r="I77" t="n">
        <v>0</v>
      </c>
      <c r="J77" t="n">
        <v>0</v>
      </c>
      <c r="K77" t="n">
        <v>0</v>
      </c>
      <c r="L77" t="n">
        <v>0</v>
      </c>
      <c r="M77" t="n">
        <v>0</v>
      </c>
      <c r="N77" t="n">
        <v>0</v>
      </c>
      <c r="O77" t="n">
        <v>0</v>
      </c>
      <c r="P77" t="n">
        <v>0</v>
      </c>
      <c r="Q77" t="n">
        <v>0</v>
      </c>
      <c r="R77" s="2" t="inlineStr"/>
    </row>
    <row r="78" ht="15" customHeight="1">
      <c r="A78" t="inlineStr">
        <is>
          <t>A 60287-2025</t>
        </is>
      </c>
      <c r="B78" s="1" t="n">
        <v>45994</v>
      </c>
      <c r="C78" s="1" t="n">
        <v>46199</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13382-2025</t>
        </is>
      </c>
      <c r="B79" s="1" t="n">
        <v>45735</v>
      </c>
      <c r="C79" s="1" t="n">
        <v>46199</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13903-2025</t>
        </is>
      </c>
      <c r="B80" s="1" t="n">
        <v>45737</v>
      </c>
      <c r="C80" s="1" t="n">
        <v>46199</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31409-2025</t>
        </is>
      </c>
      <c r="B81" s="1" t="n">
        <v>45833</v>
      </c>
      <c r="C81" s="1" t="n">
        <v>46199</v>
      </c>
      <c r="D81" t="inlineStr">
        <is>
          <t>VÄSTRA GÖTALANDS LÄN</t>
        </is>
      </c>
      <c r="E81" t="inlineStr">
        <is>
          <t>ALE</t>
        </is>
      </c>
      <c r="G81" t="n">
        <v>0.8</v>
      </c>
      <c r="H81" t="n">
        <v>0</v>
      </c>
      <c r="I81" t="n">
        <v>0</v>
      </c>
      <c r="J81" t="n">
        <v>0</v>
      </c>
      <c r="K81" t="n">
        <v>0</v>
      </c>
      <c r="L81" t="n">
        <v>0</v>
      </c>
      <c r="M81" t="n">
        <v>0</v>
      </c>
      <c r="N81" t="n">
        <v>0</v>
      </c>
      <c r="O81" t="n">
        <v>0</v>
      </c>
      <c r="P81" t="n">
        <v>0</v>
      </c>
      <c r="Q81" t="n">
        <v>0</v>
      </c>
      <c r="R81" s="2" t="inlineStr"/>
    </row>
    <row r="82" ht="15" customHeight="1">
      <c r="A82" t="inlineStr">
        <is>
          <t>A 31533-2025</t>
        </is>
      </c>
      <c r="B82" s="1" t="n">
        <v>45833</v>
      </c>
      <c r="C82" s="1" t="n">
        <v>46199</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31488-2025</t>
        </is>
      </c>
      <c r="B83" s="1" t="n">
        <v>45833</v>
      </c>
      <c r="C83" s="1" t="n">
        <v>46199</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61744-2025</t>
        </is>
      </c>
      <c r="B84" s="1" t="n">
        <v>46002</v>
      </c>
      <c r="C84" s="1" t="n">
        <v>46199</v>
      </c>
      <c r="D84" t="inlineStr">
        <is>
          <t>VÄSTRA GÖTALANDS LÄN</t>
        </is>
      </c>
      <c r="E84" t="inlineStr">
        <is>
          <t>ALE</t>
        </is>
      </c>
      <c r="G84" t="n">
        <v>3.1</v>
      </c>
      <c r="H84" t="n">
        <v>0</v>
      </c>
      <c r="I84" t="n">
        <v>0</v>
      </c>
      <c r="J84" t="n">
        <v>0</v>
      </c>
      <c r="K84" t="n">
        <v>0</v>
      </c>
      <c r="L84" t="n">
        <v>0</v>
      </c>
      <c r="M84" t="n">
        <v>0</v>
      </c>
      <c r="N84" t="n">
        <v>0</v>
      </c>
      <c r="O84" t="n">
        <v>0</v>
      </c>
      <c r="P84" t="n">
        <v>0</v>
      </c>
      <c r="Q84" t="n">
        <v>0</v>
      </c>
      <c r="R84" s="2" t="inlineStr"/>
    </row>
    <row r="85" ht="15" customHeight="1">
      <c r="A85" t="inlineStr">
        <is>
          <t>A 61771-2025</t>
        </is>
      </c>
      <c r="B85" s="1" t="n">
        <v>46002</v>
      </c>
      <c r="C85" s="1" t="n">
        <v>46199</v>
      </c>
      <c r="D85" t="inlineStr">
        <is>
          <t>VÄSTRA GÖTALANDS LÄN</t>
        </is>
      </c>
      <c r="E85" t="inlineStr">
        <is>
          <t>ALE</t>
        </is>
      </c>
      <c r="G85" t="n">
        <v>3.9</v>
      </c>
      <c r="H85" t="n">
        <v>0</v>
      </c>
      <c r="I85" t="n">
        <v>0</v>
      </c>
      <c r="J85" t="n">
        <v>0</v>
      </c>
      <c r="K85" t="n">
        <v>0</v>
      </c>
      <c r="L85" t="n">
        <v>0</v>
      </c>
      <c r="M85" t="n">
        <v>0</v>
      </c>
      <c r="N85" t="n">
        <v>0</v>
      </c>
      <c r="O85" t="n">
        <v>0</v>
      </c>
      <c r="P85" t="n">
        <v>0</v>
      </c>
      <c r="Q85" t="n">
        <v>0</v>
      </c>
      <c r="R85" s="2" t="inlineStr"/>
    </row>
    <row r="86" ht="15" customHeight="1">
      <c r="A86" t="inlineStr">
        <is>
          <t>A 47728-2025</t>
        </is>
      </c>
      <c r="B86" s="1" t="n">
        <v>45931</v>
      </c>
      <c r="C86" s="1" t="n">
        <v>46199</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57473-2022</t>
        </is>
      </c>
      <c r="B87" s="1" t="n">
        <v>44896</v>
      </c>
      <c r="C87" s="1" t="n">
        <v>46199</v>
      </c>
      <c r="D87" t="inlineStr">
        <is>
          <t>VÄSTRA GÖTALANDS LÄN</t>
        </is>
      </c>
      <c r="E87" t="inlineStr">
        <is>
          <t>ALE</t>
        </is>
      </c>
      <c r="G87" t="n">
        <v>0.7</v>
      </c>
      <c r="H87" t="n">
        <v>0</v>
      </c>
      <c r="I87" t="n">
        <v>0</v>
      </c>
      <c r="J87" t="n">
        <v>0</v>
      </c>
      <c r="K87" t="n">
        <v>0</v>
      </c>
      <c r="L87" t="n">
        <v>0</v>
      </c>
      <c r="M87" t="n">
        <v>0</v>
      </c>
      <c r="N87" t="n">
        <v>0</v>
      </c>
      <c r="O87" t="n">
        <v>0</v>
      </c>
      <c r="P87" t="n">
        <v>0</v>
      </c>
      <c r="Q87" t="n">
        <v>0</v>
      </c>
      <c r="R87" s="2" t="inlineStr"/>
    </row>
    <row r="88" ht="15" customHeight="1">
      <c r="A88" t="inlineStr">
        <is>
          <t>A 1566-2022</t>
        </is>
      </c>
      <c r="B88" s="1" t="n">
        <v>44573</v>
      </c>
      <c r="C88" s="1" t="n">
        <v>46199</v>
      </c>
      <c r="D88" t="inlineStr">
        <is>
          <t>VÄSTRA GÖTALANDS LÄN</t>
        </is>
      </c>
      <c r="E88" t="inlineStr">
        <is>
          <t>ALE</t>
        </is>
      </c>
      <c r="G88" t="n">
        <v>3</v>
      </c>
      <c r="H88" t="n">
        <v>0</v>
      </c>
      <c r="I88" t="n">
        <v>0</v>
      </c>
      <c r="J88" t="n">
        <v>0</v>
      </c>
      <c r="K88" t="n">
        <v>0</v>
      </c>
      <c r="L88" t="n">
        <v>0</v>
      </c>
      <c r="M88" t="n">
        <v>0</v>
      </c>
      <c r="N88" t="n">
        <v>0</v>
      </c>
      <c r="O88" t="n">
        <v>0</v>
      </c>
      <c r="P88" t="n">
        <v>0</v>
      </c>
      <c r="Q88" t="n">
        <v>0</v>
      </c>
      <c r="R88" s="2" t="inlineStr"/>
    </row>
    <row r="89" ht="15" customHeight="1">
      <c r="A89" t="inlineStr">
        <is>
          <t>A 12445-2022</t>
        </is>
      </c>
      <c r="B89" s="1" t="n">
        <v>44638</v>
      </c>
      <c r="C89" s="1" t="n">
        <v>46199</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50189-2025</t>
        </is>
      </c>
      <c r="B90" s="1" t="n">
        <v>45943</v>
      </c>
      <c r="C90" s="1" t="n">
        <v>46199</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24642-2022</t>
        </is>
      </c>
      <c r="B91" s="1" t="n">
        <v>44727</v>
      </c>
      <c r="C91" s="1" t="n">
        <v>46199</v>
      </c>
      <c r="D91" t="inlineStr">
        <is>
          <t>VÄSTRA GÖTALANDS LÄN</t>
        </is>
      </c>
      <c r="E91" t="inlineStr">
        <is>
          <t>ALE</t>
        </is>
      </c>
      <c r="G91" t="n">
        <v>10</v>
      </c>
      <c r="H91" t="n">
        <v>0</v>
      </c>
      <c r="I91" t="n">
        <v>0</v>
      </c>
      <c r="J91" t="n">
        <v>0</v>
      </c>
      <c r="K91" t="n">
        <v>0</v>
      </c>
      <c r="L91" t="n">
        <v>0</v>
      </c>
      <c r="M91" t="n">
        <v>0</v>
      </c>
      <c r="N91" t="n">
        <v>0</v>
      </c>
      <c r="O91" t="n">
        <v>0</v>
      </c>
      <c r="P91" t="n">
        <v>0</v>
      </c>
      <c r="Q91" t="n">
        <v>0</v>
      </c>
      <c r="R91" s="2" t="inlineStr"/>
    </row>
    <row r="92" ht="15" customHeight="1">
      <c r="A92" t="inlineStr">
        <is>
          <t>A 50973-2025</t>
        </is>
      </c>
      <c r="B92" s="1" t="n">
        <v>45947</v>
      </c>
      <c r="C92" s="1" t="n">
        <v>46199</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51976-2025</t>
        </is>
      </c>
      <c r="B93" s="1" t="n">
        <v>45952</v>
      </c>
      <c r="C93" s="1" t="n">
        <v>46199</v>
      </c>
      <c r="D93" t="inlineStr">
        <is>
          <t>VÄSTRA GÖTALANDS LÄN</t>
        </is>
      </c>
      <c r="E93" t="inlineStr">
        <is>
          <t>ALE</t>
        </is>
      </c>
      <c r="G93" t="n">
        <v>5.2</v>
      </c>
      <c r="H93" t="n">
        <v>0</v>
      </c>
      <c r="I93" t="n">
        <v>0</v>
      </c>
      <c r="J93" t="n">
        <v>0</v>
      </c>
      <c r="K93" t="n">
        <v>0</v>
      </c>
      <c r="L93" t="n">
        <v>0</v>
      </c>
      <c r="M93" t="n">
        <v>0</v>
      </c>
      <c r="N93" t="n">
        <v>0</v>
      </c>
      <c r="O93" t="n">
        <v>0</v>
      </c>
      <c r="P93" t="n">
        <v>0</v>
      </c>
      <c r="Q93" t="n">
        <v>0</v>
      </c>
      <c r="R93" s="2" t="inlineStr"/>
    </row>
    <row r="94" ht="15" customHeight="1">
      <c r="A94" t="inlineStr">
        <is>
          <t>A 2414-2026</t>
        </is>
      </c>
      <c r="B94" s="1" t="n">
        <v>46036</v>
      </c>
      <c r="C94" s="1" t="n">
        <v>46199</v>
      </c>
      <c r="D94" t="inlineStr">
        <is>
          <t>VÄSTRA GÖTALANDS LÄN</t>
        </is>
      </c>
      <c r="E94" t="inlineStr">
        <is>
          <t>ALE</t>
        </is>
      </c>
      <c r="G94" t="n">
        <v>3.3</v>
      </c>
      <c r="H94" t="n">
        <v>0</v>
      </c>
      <c r="I94" t="n">
        <v>0</v>
      </c>
      <c r="J94" t="n">
        <v>0</v>
      </c>
      <c r="K94" t="n">
        <v>0</v>
      </c>
      <c r="L94" t="n">
        <v>0</v>
      </c>
      <c r="M94" t="n">
        <v>0</v>
      </c>
      <c r="N94" t="n">
        <v>0</v>
      </c>
      <c r="O94" t="n">
        <v>0</v>
      </c>
      <c r="P94" t="n">
        <v>0</v>
      </c>
      <c r="Q94" t="n">
        <v>0</v>
      </c>
      <c r="R94" s="2" t="inlineStr"/>
    </row>
    <row r="95" ht="15" customHeight="1">
      <c r="A95" t="inlineStr">
        <is>
          <t>A 26083-2023</t>
        </is>
      </c>
      <c r="B95" s="1" t="n">
        <v>45091</v>
      </c>
      <c r="C95" s="1" t="n">
        <v>46199</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49955-2021</t>
        </is>
      </c>
      <c r="B96" s="1" t="n">
        <v>44456</v>
      </c>
      <c r="C96" s="1" t="n">
        <v>46199</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6621-2026</t>
        </is>
      </c>
      <c r="B97" s="1" t="n">
        <v>46056</v>
      </c>
      <c r="C97" s="1" t="n">
        <v>46199</v>
      </c>
      <c r="D97" t="inlineStr">
        <is>
          <t>VÄSTRA GÖTALANDS LÄN</t>
        </is>
      </c>
      <c r="E97" t="inlineStr">
        <is>
          <t>ALE</t>
        </is>
      </c>
      <c r="G97" t="n">
        <v>0.9</v>
      </c>
      <c r="H97" t="n">
        <v>0</v>
      </c>
      <c r="I97" t="n">
        <v>0</v>
      </c>
      <c r="J97" t="n">
        <v>0</v>
      </c>
      <c r="K97" t="n">
        <v>0</v>
      </c>
      <c r="L97" t="n">
        <v>0</v>
      </c>
      <c r="M97" t="n">
        <v>0</v>
      </c>
      <c r="N97" t="n">
        <v>0</v>
      </c>
      <c r="O97" t="n">
        <v>0</v>
      </c>
      <c r="P97" t="n">
        <v>0</v>
      </c>
      <c r="Q97" t="n">
        <v>0</v>
      </c>
      <c r="R97" s="2" t="inlineStr"/>
    </row>
    <row r="98" ht="15" customHeight="1">
      <c r="A98" t="inlineStr">
        <is>
          <t>A 56905-2025</t>
        </is>
      </c>
      <c r="B98" s="1" t="n">
        <v>45978</v>
      </c>
      <c r="C98" s="1" t="n">
        <v>46199</v>
      </c>
      <c r="D98" t="inlineStr">
        <is>
          <t>VÄSTRA GÖTALANDS LÄN</t>
        </is>
      </c>
      <c r="E98" t="inlineStr">
        <is>
          <t>ALE</t>
        </is>
      </c>
      <c r="G98" t="n">
        <v>5.2</v>
      </c>
      <c r="H98" t="n">
        <v>0</v>
      </c>
      <c r="I98" t="n">
        <v>0</v>
      </c>
      <c r="J98" t="n">
        <v>0</v>
      </c>
      <c r="K98" t="n">
        <v>0</v>
      </c>
      <c r="L98" t="n">
        <v>0</v>
      </c>
      <c r="M98" t="n">
        <v>0</v>
      </c>
      <c r="N98" t="n">
        <v>0</v>
      </c>
      <c r="O98" t="n">
        <v>0</v>
      </c>
      <c r="P98" t="n">
        <v>0</v>
      </c>
      <c r="Q98" t="n">
        <v>0</v>
      </c>
      <c r="R98" s="2" t="inlineStr"/>
    </row>
    <row r="99" ht="15" customHeight="1">
      <c r="A99" t="inlineStr">
        <is>
          <t>A 7296-2026</t>
        </is>
      </c>
      <c r="B99" s="1" t="n">
        <v>46058</v>
      </c>
      <c r="C99" s="1" t="n">
        <v>46199</v>
      </c>
      <c r="D99" t="inlineStr">
        <is>
          <t>VÄSTRA GÖTALANDS LÄN</t>
        </is>
      </c>
      <c r="E99" t="inlineStr">
        <is>
          <t>ALE</t>
        </is>
      </c>
      <c r="G99" t="n">
        <v>7.2</v>
      </c>
      <c r="H99" t="n">
        <v>0</v>
      </c>
      <c r="I99" t="n">
        <v>0</v>
      </c>
      <c r="J99" t="n">
        <v>0</v>
      </c>
      <c r="K99" t="n">
        <v>0</v>
      </c>
      <c r="L99" t="n">
        <v>0</v>
      </c>
      <c r="M99" t="n">
        <v>0</v>
      </c>
      <c r="N99" t="n">
        <v>0</v>
      </c>
      <c r="O99" t="n">
        <v>0</v>
      </c>
      <c r="P99" t="n">
        <v>0</v>
      </c>
      <c r="Q99" t="n">
        <v>0</v>
      </c>
      <c r="R99" s="2" t="inlineStr"/>
    </row>
    <row r="100" ht="15" customHeight="1">
      <c r="A100" t="inlineStr">
        <is>
          <t>A 8110-2026</t>
        </is>
      </c>
      <c r="B100" s="1" t="n">
        <v>46062</v>
      </c>
      <c r="C100" s="1" t="n">
        <v>46199</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8112-2026</t>
        </is>
      </c>
      <c r="B101" s="1" t="n">
        <v>46062</v>
      </c>
      <c r="C101" s="1" t="n">
        <v>46199</v>
      </c>
      <c r="D101" t="inlineStr">
        <is>
          <t>VÄSTRA GÖTALANDS LÄN</t>
        </is>
      </c>
      <c r="E101" t="inlineStr">
        <is>
          <t>ALE</t>
        </is>
      </c>
      <c r="G101" t="n">
        <v>0.4</v>
      </c>
      <c r="H101" t="n">
        <v>0</v>
      </c>
      <c r="I101" t="n">
        <v>0</v>
      </c>
      <c r="J101" t="n">
        <v>0</v>
      </c>
      <c r="K101" t="n">
        <v>0</v>
      </c>
      <c r="L101" t="n">
        <v>0</v>
      </c>
      <c r="M101" t="n">
        <v>0</v>
      </c>
      <c r="N101" t="n">
        <v>0</v>
      </c>
      <c r="O101" t="n">
        <v>0</v>
      </c>
      <c r="P101" t="n">
        <v>0</v>
      </c>
      <c r="Q101" t="n">
        <v>0</v>
      </c>
      <c r="R101" s="2" t="inlineStr"/>
    </row>
    <row r="102" ht="15" customHeight="1">
      <c r="A102" t="inlineStr">
        <is>
          <t>A 8111-2026</t>
        </is>
      </c>
      <c r="B102" s="1" t="n">
        <v>46062</v>
      </c>
      <c r="C102" s="1" t="n">
        <v>46199</v>
      </c>
      <c r="D102" t="inlineStr">
        <is>
          <t>VÄSTRA GÖTALANDS LÄN</t>
        </is>
      </c>
      <c r="E102" t="inlineStr">
        <is>
          <t>ALE</t>
        </is>
      </c>
      <c r="G102" t="n">
        <v>0.3</v>
      </c>
      <c r="H102" t="n">
        <v>0</v>
      </c>
      <c r="I102" t="n">
        <v>0</v>
      </c>
      <c r="J102" t="n">
        <v>0</v>
      </c>
      <c r="K102" t="n">
        <v>0</v>
      </c>
      <c r="L102" t="n">
        <v>0</v>
      </c>
      <c r="M102" t="n">
        <v>0</v>
      </c>
      <c r="N102" t="n">
        <v>0</v>
      </c>
      <c r="O102" t="n">
        <v>0</v>
      </c>
      <c r="P102" t="n">
        <v>0</v>
      </c>
      <c r="Q102" t="n">
        <v>0</v>
      </c>
      <c r="R102" s="2" t="inlineStr"/>
    </row>
    <row r="103" ht="15" customHeight="1">
      <c r="A103" t="inlineStr">
        <is>
          <t>A 10459-2026</t>
        </is>
      </c>
      <c r="B103" s="1" t="n">
        <v>46077</v>
      </c>
      <c r="C103" s="1" t="n">
        <v>46199</v>
      </c>
      <c r="D103" t="inlineStr">
        <is>
          <t>VÄSTRA GÖTALANDS LÄN</t>
        </is>
      </c>
      <c r="E103" t="inlineStr">
        <is>
          <t>ALE</t>
        </is>
      </c>
      <c r="G103" t="n">
        <v>3.8</v>
      </c>
      <c r="H103" t="n">
        <v>0</v>
      </c>
      <c r="I103" t="n">
        <v>0</v>
      </c>
      <c r="J103" t="n">
        <v>0</v>
      </c>
      <c r="K103" t="n">
        <v>0</v>
      </c>
      <c r="L103" t="n">
        <v>0</v>
      </c>
      <c r="M103" t="n">
        <v>0</v>
      </c>
      <c r="N103" t="n">
        <v>0</v>
      </c>
      <c r="O103" t="n">
        <v>0</v>
      </c>
      <c r="P103" t="n">
        <v>0</v>
      </c>
      <c r="Q103" t="n">
        <v>0</v>
      </c>
      <c r="R103" s="2" t="inlineStr"/>
    </row>
    <row r="104" ht="15" customHeight="1">
      <c r="A104" t="inlineStr">
        <is>
          <t>A 35959-2022</t>
        </is>
      </c>
      <c r="B104" s="1" t="n">
        <v>44802</v>
      </c>
      <c r="C104" s="1" t="n">
        <v>46199</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17044-2025</t>
        </is>
      </c>
      <c r="B105" s="1" t="n">
        <v>45755</v>
      </c>
      <c r="C105" s="1" t="n">
        <v>46199</v>
      </c>
      <c r="D105" t="inlineStr">
        <is>
          <t>VÄSTRA GÖTALANDS LÄN</t>
        </is>
      </c>
      <c r="E105" t="inlineStr">
        <is>
          <t>ALE</t>
        </is>
      </c>
      <c r="G105" t="n">
        <v>1.5</v>
      </c>
      <c r="H105" t="n">
        <v>0</v>
      </c>
      <c r="I105" t="n">
        <v>0</v>
      </c>
      <c r="J105" t="n">
        <v>0</v>
      </c>
      <c r="K105" t="n">
        <v>0</v>
      </c>
      <c r="L105" t="n">
        <v>0</v>
      </c>
      <c r="M105" t="n">
        <v>0</v>
      </c>
      <c r="N105" t="n">
        <v>0</v>
      </c>
      <c r="O105" t="n">
        <v>0</v>
      </c>
      <c r="P105" t="n">
        <v>0</v>
      </c>
      <c r="Q105" t="n">
        <v>0</v>
      </c>
      <c r="R105" s="2" t="inlineStr"/>
    </row>
    <row r="106" ht="15" customHeight="1">
      <c r="A106" t="inlineStr">
        <is>
          <t>A 34104-2024</t>
        </is>
      </c>
      <c r="B106" s="1" t="n">
        <v>45523</v>
      </c>
      <c r="C106" s="1" t="n">
        <v>46199</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48257-2022</t>
        </is>
      </c>
      <c r="B107" s="1" t="n">
        <v>44858</v>
      </c>
      <c r="C107" s="1" t="n">
        <v>46199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17199-2026</t>
        </is>
      </c>
      <c r="B108" s="1" t="n">
        <v>46118</v>
      </c>
      <c r="C108" s="1" t="n">
        <v>46199</v>
      </c>
      <c r="D108" t="inlineStr">
        <is>
          <t>VÄSTRA GÖTALANDS LÄN</t>
        </is>
      </c>
      <c r="E108" t="inlineStr">
        <is>
          <t>ALE</t>
        </is>
      </c>
      <c r="G108" t="n">
        <v>3.7</v>
      </c>
      <c r="H108" t="n">
        <v>0</v>
      </c>
      <c r="I108" t="n">
        <v>0</v>
      </c>
      <c r="J108" t="n">
        <v>0</v>
      </c>
      <c r="K108" t="n">
        <v>0</v>
      </c>
      <c r="L108" t="n">
        <v>0</v>
      </c>
      <c r="M108" t="n">
        <v>0</v>
      </c>
      <c r="N108" t="n">
        <v>0</v>
      </c>
      <c r="O108" t="n">
        <v>0</v>
      </c>
      <c r="P108" t="n">
        <v>0</v>
      </c>
      <c r="Q108" t="n">
        <v>0</v>
      </c>
      <c r="R108" s="2" t="inlineStr"/>
    </row>
    <row r="109" ht="15" customHeight="1">
      <c r="A109" t="inlineStr">
        <is>
          <t>A 1687-2024</t>
        </is>
      </c>
      <c r="B109" s="1" t="n">
        <v>45306</v>
      </c>
      <c r="C109" s="1" t="n">
        <v>46199</v>
      </c>
      <c r="D109" t="inlineStr">
        <is>
          <t>VÄSTRA GÖTALANDS LÄN</t>
        </is>
      </c>
      <c r="E109" t="inlineStr">
        <is>
          <t>ALE</t>
        </is>
      </c>
      <c r="G109" t="n">
        <v>3.4</v>
      </c>
      <c r="H109" t="n">
        <v>0</v>
      </c>
      <c r="I109" t="n">
        <v>0</v>
      </c>
      <c r="J109" t="n">
        <v>0</v>
      </c>
      <c r="K109" t="n">
        <v>0</v>
      </c>
      <c r="L109" t="n">
        <v>0</v>
      </c>
      <c r="M109" t="n">
        <v>0</v>
      </c>
      <c r="N109" t="n">
        <v>0</v>
      </c>
      <c r="O109" t="n">
        <v>0</v>
      </c>
      <c r="P109" t="n">
        <v>0</v>
      </c>
      <c r="Q109" t="n">
        <v>0</v>
      </c>
      <c r="R109" s="2" t="inlineStr"/>
    </row>
    <row r="110" ht="15" customHeight="1">
      <c r="A110" t="inlineStr">
        <is>
          <t>A 49680-2024</t>
        </is>
      </c>
      <c r="B110" s="1" t="n">
        <v>45596</v>
      </c>
      <c r="C110" s="1" t="n">
        <v>46199</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7807-2023</t>
        </is>
      </c>
      <c r="B111" s="1" t="n">
        <v>44973</v>
      </c>
      <c r="C111" s="1" t="n">
        <v>46199</v>
      </c>
      <c r="D111" t="inlineStr">
        <is>
          <t>VÄSTRA GÖTALANDS LÄN</t>
        </is>
      </c>
      <c r="E111" t="inlineStr">
        <is>
          <t>ALE</t>
        </is>
      </c>
      <c r="G111" t="n">
        <v>10.5</v>
      </c>
      <c r="H111" t="n">
        <v>0</v>
      </c>
      <c r="I111" t="n">
        <v>0</v>
      </c>
      <c r="J111" t="n">
        <v>0</v>
      </c>
      <c r="K111" t="n">
        <v>0</v>
      </c>
      <c r="L111" t="n">
        <v>0</v>
      </c>
      <c r="M111" t="n">
        <v>0</v>
      </c>
      <c r="N111" t="n">
        <v>0</v>
      </c>
      <c r="O111" t="n">
        <v>0</v>
      </c>
      <c r="P111" t="n">
        <v>0</v>
      </c>
      <c r="Q111" t="n">
        <v>0</v>
      </c>
      <c r="R111" s="2" t="inlineStr"/>
    </row>
    <row r="112" ht="15" customHeight="1">
      <c r="A112" t="inlineStr">
        <is>
          <t>A 55488-2022</t>
        </is>
      </c>
      <c r="B112" s="1" t="n">
        <v>44887</v>
      </c>
      <c r="C112" s="1" t="n">
        <v>46199</v>
      </c>
      <c r="D112" t="inlineStr">
        <is>
          <t>VÄSTRA GÖTALANDS LÄN</t>
        </is>
      </c>
      <c r="E112" t="inlineStr">
        <is>
          <t>ALE</t>
        </is>
      </c>
      <c r="G112" t="n">
        <v>2.5</v>
      </c>
      <c r="H112" t="n">
        <v>0</v>
      </c>
      <c r="I112" t="n">
        <v>0</v>
      </c>
      <c r="J112" t="n">
        <v>0</v>
      </c>
      <c r="K112" t="n">
        <v>0</v>
      </c>
      <c r="L112" t="n">
        <v>0</v>
      </c>
      <c r="M112" t="n">
        <v>0</v>
      </c>
      <c r="N112" t="n">
        <v>0</v>
      </c>
      <c r="O112" t="n">
        <v>0</v>
      </c>
      <c r="P112" t="n">
        <v>0</v>
      </c>
      <c r="Q112" t="n">
        <v>0</v>
      </c>
      <c r="R112" s="2" t="inlineStr"/>
    </row>
    <row r="113" ht="15" customHeight="1">
      <c r="A113" t="inlineStr">
        <is>
          <t>A 42446-2023</t>
        </is>
      </c>
      <c r="B113" s="1" t="n">
        <v>45180</v>
      </c>
      <c r="C113" s="1" t="n">
        <v>46199</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19613-2026</t>
        </is>
      </c>
      <c r="B114" s="1" t="n">
        <v>46134</v>
      </c>
      <c r="C114" s="1" t="n">
        <v>46199</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67160-2021</t>
        </is>
      </c>
      <c r="B115" s="1" t="n">
        <v>44523</v>
      </c>
      <c r="C115" s="1" t="n">
        <v>46199</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16344-2023</t>
        </is>
      </c>
      <c r="B116" s="1" t="n">
        <v>45028</v>
      </c>
      <c r="C116" s="1" t="n">
        <v>46199</v>
      </c>
      <c r="D116" t="inlineStr">
        <is>
          <t>VÄSTRA GÖTALANDS LÄN</t>
        </is>
      </c>
      <c r="E116" t="inlineStr">
        <is>
          <t>ALE</t>
        </is>
      </c>
      <c r="G116" t="n">
        <v>6.6</v>
      </c>
      <c r="H116" t="n">
        <v>0</v>
      </c>
      <c r="I116" t="n">
        <v>0</v>
      </c>
      <c r="J116" t="n">
        <v>0</v>
      </c>
      <c r="K116" t="n">
        <v>0</v>
      </c>
      <c r="L116" t="n">
        <v>0</v>
      </c>
      <c r="M116" t="n">
        <v>0</v>
      </c>
      <c r="N116" t="n">
        <v>0</v>
      </c>
      <c r="O116" t="n">
        <v>0</v>
      </c>
      <c r="P116" t="n">
        <v>0</v>
      </c>
      <c r="Q116" t="n">
        <v>0</v>
      </c>
      <c r="R116" s="2" t="inlineStr"/>
    </row>
    <row r="117" ht="15" customHeight="1">
      <c r="A117" t="inlineStr">
        <is>
          <t>A 32762-2023</t>
        </is>
      </c>
      <c r="B117" s="1" t="n">
        <v>45123</v>
      </c>
      <c r="C117" s="1" t="n">
        <v>46199</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14458-2024</t>
        </is>
      </c>
      <c r="B118" s="1" t="n">
        <v>45394</v>
      </c>
      <c r="C118" s="1" t="n">
        <v>46199</v>
      </c>
      <c r="D118" t="inlineStr">
        <is>
          <t>VÄSTRA GÖTALANDS LÄN</t>
        </is>
      </c>
      <c r="E118" t="inlineStr">
        <is>
          <t>ALE</t>
        </is>
      </c>
      <c r="G118" t="n">
        <v>0.5</v>
      </c>
      <c r="H118" t="n">
        <v>0</v>
      </c>
      <c r="I118" t="n">
        <v>0</v>
      </c>
      <c r="J118" t="n">
        <v>0</v>
      </c>
      <c r="K118" t="n">
        <v>0</v>
      </c>
      <c r="L118" t="n">
        <v>0</v>
      </c>
      <c r="M118" t="n">
        <v>0</v>
      </c>
      <c r="N118" t="n">
        <v>0</v>
      </c>
      <c r="O118" t="n">
        <v>0</v>
      </c>
      <c r="P118" t="n">
        <v>0</v>
      </c>
      <c r="Q118" t="n">
        <v>0</v>
      </c>
      <c r="R118" s="2" t="inlineStr"/>
    </row>
    <row r="119" ht="15" customHeight="1">
      <c r="A119" t="inlineStr">
        <is>
          <t>A 47087-2023</t>
        </is>
      </c>
      <c r="B119" s="1" t="n">
        <v>45196</v>
      </c>
      <c r="C119" s="1" t="n">
        <v>46199</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4642-2024</t>
        </is>
      </c>
      <c r="B120" s="1" t="n">
        <v>45328</v>
      </c>
      <c r="C120" s="1" t="n">
        <v>46199</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25840-2025</t>
        </is>
      </c>
      <c r="B121" s="1" t="n">
        <v>45804</v>
      </c>
      <c r="C121" s="1" t="n">
        <v>46199</v>
      </c>
      <c r="D121" t="inlineStr">
        <is>
          <t>VÄSTRA GÖTALANDS LÄN</t>
        </is>
      </c>
      <c r="E121" t="inlineStr">
        <is>
          <t>ALE</t>
        </is>
      </c>
      <c r="G121" t="n">
        <v>3.8</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46199</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3520-2022</t>
        </is>
      </c>
      <c r="B123" s="1" t="n">
        <v>44585</v>
      </c>
      <c r="C123" s="1" t="n">
        <v>46199</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62828-2025</t>
        </is>
      </c>
      <c r="B124" s="1" t="n">
        <v>46008</v>
      </c>
      <c r="C124" s="1" t="n">
        <v>46199</v>
      </c>
      <c r="D124" t="inlineStr">
        <is>
          <t>VÄSTRA GÖTALANDS LÄN</t>
        </is>
      </c>
      <c r="E124" t="inlineStr">
        <is>
          <t>ALE</t>
        </is>
      </c>
      <c r="G124" t="n">
        <v>2.6</v>
      </c>
      <c r="H124" t="n">
        <v>0</v>
      </c>
      <c r="I124" t="n">
        <v>0</v>
      </c>
      <c r="J124" t="n">
        <v>0</v>
      </c>
      <c r="K124" t="n">
        <v>0</v>
      </c>
      <c r="L124" t="n">
        <v>0</v>
      </c>
      <c r="M124" t="n">
        <v>0</v>
      </c>
      <c r="N124" t="n">
        <v>0</v>
      </c>
      <c r="O124" t="n">
        <v>0</v>
      </c>
      <c r="P124" t="n">
        <v>0</v>
      </c>
      <c r="Q124" t="n">
        <v>0</v>
      </c>
      <c r="R124" s="2" t="inlineStr"/>
    </row>
    <row r="125" ht="15" customHeight="1">
      <c r="A125" t="inlineStr">
        <is>
          <t>A 40074-2025</t>
        </is>
      </c>
      <c r="B125" s="1" t="n">
        <v>45894</v>
      </c>
      <c r="C125" s="1" t="n">
        <v>46199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44429-2023</t>
        </is>
      </c>
      <c r="B126" s="1" t="n">
        <v>45189</v>
      </c>
      <c r="C126" s="1" t="n">
        <v>46199</v>
      </c>
      <c r="D126" t="inlineStr">
        <is>
          <t>VÄSTRA GÖTALANDS LÄN</t>
        </is>
      </c>
      <c r="E126" t="inlineStr">
        <is>
          <t>ALE</t>
        </is>
      </c>
      <c r="G126" t="n">
        <v>0.1</v>
      </c>
      <c r="H126" t="n">
        <v>0</v>
      </c>
      <c r="I126" t="n">
        <v>0</v>
      </c>
      <c r="J126" t="n">
        <v>0</v>
      </c>
      <c r="K126" t="n">
        <v>0</v>
      </c>
      <c r="L126" t="n">
        <v>0</v>
      </c>
      <c r="M126" t="n">
        <v>0</v>
      </c>
      <c r="N126" t="n">
        <v>0</v>
      </c>
      <c r="O126" t="n">
        <v>0</v>
      </c>
      <c r="P126" t="n">
        <v>0</v>
      </c>
      <c r="Q126" t="n">
        <v>0</v>
      </c>
      <c r="R126" s="2" t="inlineStr"/>
    </row>
    <row r="127" ht="15" customHeight="1">
      <c r="A127" t="inlineStr">
        <is>
          <t>A 7892-2024</t>
        </is>
      </c>
      <c r="B127" s="1" t="n">
        <v>45350</v>
      </c>
      <c r="C127" s="1" t="n">
        <v>46199</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51164-2024</t>
        </is>
      </c>
      <c r="B128" s="1" t="n">
        <v>45603</v>
      </c>
      <c r="C128" s="1" t="n">
        <v>46199</v>
      </c>
      <c r="D128" t="inlineStr">
        <is>
          <t>VÄSTRA GÖTALANDS LÄN</t>
        </is>
      </c>
      <c r="E128" t="inlineStr">
        <is>
          <t>ALE</t>
        </is>
      </c>
      <c r="G128" t="n">
        <v>1.1</v>
      </c>
      <c r="H128" t="n">
        <v>0</v>
      </c>
      <c r="I128" t="n">
        <v>0</v>
      </c>
      <c r="J128" t="n">
        <v>0</v>
      </c>
      <c r="K128" t="n">
        <v>0</v>
      </c>
      <c r="L128" t="n">
        <v>0</v>
      </c>
      <c r="M128" t="n">
        <v>0</v>
      </c>
      <c r="N128" t="n">
        <v>0</v>
      </c>
      <c r="O128" t="n">
        <v>0</v>
      </c>
      <c r="P128" t="n">
        <v>0</v>
      </c>
      <c r="Q128" t="n">
        <v>0</v>
      </c>
      <c r="R128" s="2" t="inlineStr"/>
    </row>
    <row r="129" ht="15" customHeight="1">
      <c r="A129" t="inlineStr">
        <is>
          <t>A 4444-2024</t>
        </is>
      </c>
      <c r="B129" s="1" t="n">
        <v>45327</v>
      </c>
      <c r="C129" s="1" t="n">
        <v>46199</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72801-2021</t>
        </is>
      </c>
      <c r="B130" s="1" t="n">
        <v>44546</v>
      </c>
      <c r="C130" s="1" t="n">
        <v>46199</v>
      </c>
      <c r="D130" t="inlineStr">
        <is>
          <t>VÄSTRA GÖTALANDS LÄN</t>
        </is>
      </c>
      <c r="E130" t="inlineStr">
        <is>
          <t>ALE</t>
        </is>
      </c>
      <c r="F130" t="inlineStr">
        <is>
          <t>Naturvårdsverket</t>
        </is>
      </c>
      <c r="G130" t="n">
        <v>1.4</v>
      </c>
      <c r="H130" t="n">
        <v>0</v>
      </c>
      <c r="I130" t="n">
        <v>0</v>
      </c>
      <c r="J130" t="n">
        <v>0</v>
      </c>
      <c r="K130" t="n">
        <v>0</v>
      </c>
      <c r="L130" t="n">
        <v>0</v>
      </c>
      <c r="M130" t="n">
        <v>0</v>
      </c>
      <c r="N130" t="n">
        <v>0</v>
      </c>
      <c r="O130" t="n">
        <v>0</v>
      </c>
      <c r="P130" t="n">
        <v>0</v>
      </c>
      <c r="Q130" t="n">
        <v>0</v>
      </c>
      <c r="R130" s="2" t="inlineStr"/>
    </row>
    <row r="131" ht="15" customHeight="1">
      <c r="A131" t="inlineStr">
        <is>
          <t>A 1822-2024</t>
        </is>
      </c>
      <c r="B131" s="1" t="n">
        <v>45307</v>
      </c>
      <c r="C131" s="1" t="n">
        <v>46199</v>
      </c>
      <c r="D131" t="inlineStr">
        <is>
          <t>VÄSTRA GÖTALANDS LÄN</t>
        </is>
      </c>
      <c r="E131" t="inlineStr">
        <is>
          <t>ALE</t>
        </is>
      </c>
      <c r="G131" t="n">
        <v>2</v>
      </c>
      <c r="H131" t="n">
        <v>0</v>
      </c>
      <c r="I131" t="n">
        <v>0</v>
      </c>
      <c r="J131" t="n">
        <v>0</v>
      </c>
      <c r="K131" t="n">
        <v>0</v>
      </c>
      <c r="L131" t="n">
        <v>0</v>
      </c>
      <c r="M131" t="n">
        <v>0</v>
      </c>
      <c r="N131" t="n">
        <v>0</v>
      </c>
      <c r="O131" t="n">
        <v>0</v>
      </c>
      <c r="P131" t="n">
        <v>0</v>
      </c>
      <c r="Q131" t="n">
        <v>0</v>
      </c>
      <c r="R131" s="2" t="inlineStr"/>
    </row>
    <row r="132" ht="15" customHeight="1">
      <c r="A132" t="inlineStr">
        <is>
          <t>A 15241-2025</t>
        </is>
      </c>
      <c r="B132" s="1" t="n">
        <v>45744</v>
      </c>
      <c r="C132" s="1" t="n">
        <v>46199</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28028-2026</t>
        </is>
      </c>
      <c r="B133" s="1" t="n">
        <v>46195</v>
      </c>
      <c r="C133" s="1" t="n">
        <v>46199</v>
      </c>
      <c r="D133" t="inlineStr">
        <is>
          <t>VÄSTRA GÖTALANDS LÄN</t>
        </is>
      </c>
      <c r="E133" t="inlineStr">
        <is>
          <t>ALE</t>
        </is>
      </c>
      <c r="G133" t="n">
        <v>1.8</v>
      </c>
      <c r="H133" t="n">
        <v>0</v>
      </c>
      <c r="I133" t="n">
        <v>0</v>
      </c>
      <c r="J133" t="n">
        <v>0</v>
      </c>
      <c r="K133" t="n">
        <v>0</v>
      </c>
      <c r="L133" t="n">
        <v>0</v>
      </c>
      <c r="M133" t="n">
        <v>0</v>
      </c>
      <c r="N133" t="n">
        <v>0</v>
      </c>
      <c r="O133" t="n">
        <v>0</v>
      </c>
      <c r="P133" t="n">
        <v>0</v>
      </c>
      <c r="Q133" t="n">
        <v>0</v>
      </c>
      <c r="R133" s="2" t="inlineStr"/>
    </row>
    <row r="134" ht="15" customHeight="1">
      <c r="A134" t="inlineStr">
        <is>
          <t>A 28023-2026</t>
        </is>
      </c>
      <c r="B134" s="1" t="n">
        <v>46195</v>
      </c>
      <c r="C134" s="1" t="n">
        <v>46199</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22420-2026</t>
        </is>
      </c>
      <c r="B135" s="1" t="n">
        <v>46154</v>
      </c>
      <c r="C135" s="1" t="n">
        <v>46199</v>
      </c>
      <c r="D135" t="inlineStr">
        <is>
          <t>VÄSTRA GÖTALANDS LÄN</t>
        </is>
      </c>
      <c r="E135" t="inlineStr">
        <is>
          <t>ALE</t>
        </is>
      </c>
      <c r="G135" t="n">
        <v>5</v>
      </c>
      <c r="H135" t="n">
        <v>0</v>
      </c>
      <c r="I135" t="n">
        <v>0</v>
      </c>
      <c r="J135" t="n">
        <v>0</v>
      </c>
      <c r="K135" t="n">
        <v>0</v>
      </c>
      <c r="L135" t="n">
        <v>0</v>
      </c>
      <c r="M135" t="n">
        <v>0</v>
      </c>
      <c r="N135" t="n">
        <v>0</v>
      </c>
      <c r="O135" t="n">
        <v>0</v>
      </c>
      <c r="P135" t="n">
        <v>0</v>
      </c>
      <c r="Q135" t="n">
        <v>0</v>
      </c>
      <c r="R135" s="2" t="inlineStr"/>
    </row>
    <row r="136" ht="15" customHeight="1">
      <c r="A136" t="inlineStr">
        <is>
          <t>A 34153-2024</t>
        </is>
      </c>
      <c r="B136" s="1" t="n">
        <v>45524</v>
      </c>
      <c r="C136" s="1" t="n">
        <v>46199</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41309-2024</t>
        </is>
      </c>
      <c r="B137" s="1" t="n">
        <v>45559</v>
      </c>
      <c r="C137" s="1" t="n">
        <v>46199</v>
      </c>
      <c r="D137" t="inlineStr">
        <is>
          <t>VÄSTRA GÖTALANDS LÄN</t>
        </is>
      </c>
      <c r="E137" t="inlineStr">
        <is>
          <t>ALE</t>
        </is>
      </c>
      <c r="G137" t="n">
        <v>8.4</v>
      </c>
      <c r="H137" t="n">
        <v>0</v>
      </c>
      <c r="I137" t="n">
        <v>0</v>
      </c>
      <c r="J137" t="n">
        <v>0</v>
      </c>
      <c r="K137" t="n">
        <v>0</v>
      </c>
      <c r="L137" t="n">
        <v>0</v>
      </c>
      <c r="M137" t="n">
        <v>0</v>
      </c>
      <c r="N137" t="n">
        <v>0</v>
      </c>
      <c r="O137" t="n">
        <v>0</v>
      </c>
      <c r="P137" t="n">
        <v>0</v>
      </c>
      <c r="Q137" t="n">
        <v>0</v>
      </c>
      <c r="R137" s="2" t="inlineStr"/>
    </row>
    <row r="138" ht="15" customHeight="1">
      <c r="A138" t="inlineStr">
        <is>
          <t>A 15499-2022</t>
        </is>
      </c>
      <c r="B138" s="1" t="n">
        <v>44662</v>
      </c>
      <c r="C138" s="1" t="n">
        <v>46199</v>
      </c>
      <c r="D138" t="inlineStr">
        <is>
          <t>VÄSTRA GÖTALANDS LÄN</t>
        </is>
      </c>
      <c r="E138" t="inlineStr">
        <is>
          <t>ALE</t>
        </is>
      </c>
      <c r="G138" t="n">
        <v>4.7</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v>
      </c>
      <c r="C139" s="1" t="n">
        <v>46199</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v>
      </c>
      <c r="C140" s="1" t="n">
        <v>46199</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46199</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46199</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3457-2022</t>
        </is>
      </c>
      <c r="B143" s="1" t="n">
        <v>44585</v>
      </c>
      <c r="C143" s="1" t="n">
        <v>46199</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5916-2023</t>
        </is>
      </c>
      <c r="B144" s="1" t="n">
        <v>44963</v>
      </c>
      <c r="C144" s="1" t="n">
        <v>46199</v>
      </c>
      <c r="D144" t="inlineStr">
        <is>
          <t>VÄSTRA GÖTALANDS LÄN</t>
        </is>
      </c>
      <c r="E144" t="inlineStr">
        <is>
          <t>ALE</t>
        </is>
      </c>
      <c r="G144" t="n">
        <v>4.2</v>
      </c>
      <c r="H144" t="n">
        <v>0</v>
      </c>
      <c r="I144" t="n">
        <v>0</v>
      </c>
      <c r="J144" t="n">
        <v>0</v>
      </c>
      <c r="K144" t="n">
        <v>0</v>
      </c>
      <c r="L144" t="n">
        <v>0</v>
      </c>
      <c r="M144" t="n">
        <v>0</v>
      </c>
      <c r="N144" t="n">
        <v>0</v>
      </c>
      <c r="O144" t="n">
        <v>0</v>
      </c>
      <c r="P144" t="n">
        <v>0</v>
      </c>
      <c r="Q144" t="n">
        <v>0</v>
      </c>
      <c r="R144" s="2" t="inlineStr"/>
    </row>
    <row r="145" ht="15" customHeight="1">
      <c r="A145" t="inlineStr">
        <is>
          <t>A 16601-2025</t>
        </is>
      </c>
      <c r="B145" s="1" t="n">
        <v>45753</v>
      </c>
      <c r="C145" s="1" t="n">
        <v>46199</v>
      </c>
      <c r="D145" t="inlineStr">
        <is>
          <t>VÄSTRA GÖTALANDS LÄN</t>
        </is>
      </c>
      <c r="E145" t="inlineStr">
        <is>
          <t>ALE</t>
        </is>
      </c>
      <c r="G145" t="n">
        <v>1.7</v>
      </c>
      <c r="H145" t="n">
        <v>0</v>
      </c>
      <c r="I145" t="n">
        <v>0</v>
      </c>
      <c r="J145" t="n">
        <v>0</v>
      </c>
      <c r="K145" t="n">
        <v>0</v>
      </c>
      <c r="L145" t="n">
        <v>0</v>
      </c>
      <c r="M145" t="n">
        <v>0</v>
      </c>
      <c r="N145" t="n">
        <v>0</v>
      </c>
      <c r="O145" t="n">
        <v>0</v>
      </c>
      <c r="P145" t="n">
        <v>0</v>
      </c>
      <c r="Q145" t="n">
        <v>0</v>
      </c>
      <c r="R145" s="2" t="inlineStr"/>
    </row>
    <row r="146" ht="15" customHeight="1">
      <c r="A146" t="inlineStr">
        <is>
          <t>A 20067-2023</t>
        </is>
      </c>
      <c r="B146" s="1" t="n">
        <v>45054</v>
      </c>
      <c r="C146" s="1" t="n">
        <v>46199</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1500-2024</t>
        </is>
      </c>
      <c r="B147" s="1" t="n">
        <v>45306</v>
      </c>
      <c r="C147" s="1" t="n">
        <v>46199</v>
      </c>
      <c r="D147" t="inlineStr">
        <is>
          <t>VÄSTRA GÖTALANDS LÄN</t>
        </is>
      </c>
      <c r="E147" t="inlineStr">
        <is>
          <t>ALE</t>
        </is>
      </c>
      <c r="G147" t="n">
        <v>1.3</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46199</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64199-2021</t>
        </is>
      </c>
      <c r="B149" s="1" t="n">
        <v>44510</v>
      </c>
      <c r="C149" s="1" t="n">
        <v>46199</v>
      </c>
      <c r="D149" t="inlineStr">
        <is>
          <t>VÄSTRA GÖTALANDS LÄN</t>
        </is>
      </c>
      <c r="E149" t="inlineStr">
        <is>
          <t>ALE</t>
        </is>
      </c>
      <c r="G149" t="n">
        <v>5.7</v>
      </c>
      <c r="H149" t="n">
        <v>0</v>
      </c>
      <c r="I149" t="n">
        <v>0</v>
      </c>
      <c r="J149" t="n">
        <v>0</v>
      </c>
      <c r="K149" t="n">
        <v>0</v>
      </c>
      <c r="L149" t="n">
        <v>0</v>
      </c>
      <c r="M149" t="n">
        <v>0</v>
      </c>
      <c r="N149" t="n">
        <v>0</v>
      </c>
      <c r="O149" t="n">
        <v>0</v>
      </c>
      <c r="P149" t="n">
        <v>0</v>
      </c>
      <c r="Q149" t="n">
        <v>0</v>
      </c>
      <c r="R149" s="2" t="inlineStr"/>
    </row>
    <row r="150" ht="15" customHeight="1">
      <c r="A150" t="inlineStr">
        <is>
          <t>A 42660-2024</t>
        </is>
      </c>
      <c r="B150" s="1" t="n">
        <v>45566</v>
      </c>
      <c r="C150" s="1" t="n">
        <v>46199</v>
      </c>
      <c r="D150" t="inlineStr">
        <is>
          <t>VÄSTRA GÖTALANDS LÄN</t>
        </is>
      </c>
      <c r="E150" t="inlineStr">
        <is>
          <t>ALE</t>
        </is>
      </c>
      <c r="G150" t="n">
        <v>2.5</v>
      </c>
      <c r="H150" t="n">
        <v>0</v>
      </c>
      <c r="I150" t="n">
        <v>0</v>
      </c>
      <c r="J150" t="n">
        <v>0</v>
      </c>
      <c r="K150" t="n">
        <v>0</v>
      </c>
      <c r="L150" t="n">
        <v>0</v>
      </c>
      <c r="M150" t="n">
        <v>0</v>
      </c>
      <c r="N150" t="n">
        <v>0</v>
      </c>
      <c r="O150" t="n">
        <v>0</v>
      </c>
      <c r="P150" t="n">
        <v>0</v>
      </c>
      <c r="Q150" t="n">
        <v>0</v>
      </c>
      <c r="R150" s="2" t="inlineStr"/>
    </row>
    <row r="151">
      <c r="A151" t="inlineStr">
        <is>
          <t>A 15582-2025</t>
        </is>
      </c>
      <c r="B151" s="1" t="n">
        <v>45747</v>
      </c>
      <c r="C151" s="1" t="n">
        <v>46199</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2026-06-26T00:49:49Z</dcterms:created>
  <dcterms:modified xmlns:dcterms="http://purl.org/dc/terms/" xmlns:xsi="http://www.w3.org/2001/XMLSchema-instance" xsi:type="dcterms:W3CDTF">2026-06-26T00:49:49Z</dcterms:modified>
</cp:coreProperties>
</file>