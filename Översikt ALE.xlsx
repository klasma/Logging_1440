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45940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45940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45940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45940</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45940</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45940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45940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45940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45940</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45940</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45940</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45940</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45940</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17566-2024</t>
        </is>
      </c>
      <c r="B15" s="1" t="n">
        <v>45415</v>
      </c>
      <c r="C15" s="1" t="n">
        <v>45940</v>
      </c>
      <c r="D15" t="inlineStr">
        <is>
          <t>VÄSTRA GÖTALANDS LÄN</t>
        </is>
      </c>
      <c r="E15" t="inlineStr">
        <is>
          <t>ALE</t>
        </is>
      </c>
      <c r="G15" t="n">
        <v>6.9</v>
      </c>
      <c r="H15" t="n">
        <v>5</v>
      </c>
      <c r="I15" t="n">
        <v>2</v>
      </c>
      <c r="J15" t="n">
        <v>2</v>
      </c>
      <c r="K15" t="n">
        <v>1</v>
      </c>
      <c r="L15" t="n">
        <v>0</v>
      </c>
      <c r="M15" t="n">
        <v>0</v>
      </c>
      <c r="N15" t="n">
        <v>0</v>
      </c>
      <c r="O15" t="n">
        <v>3</v>
      </c>
      <c r="P15" t="n">
        <v>1</v>
      </c>
      <c r="Q15" t="n">
        <v>7</v>
      </c>
      <c r="R15" s="2" t="inlineStr">
        <is>
          <t>Knärot
Spillkråka
Tretåig hackspett
Blåmossa
Västlig hakmossa
Kungsfågel
Revlummer</t>
        </is>
      </c>
      <c r="S15">
        <f>HYPERLINK("https://klasma.github.io/Logging_1440/artfynd/A 17566-2024 artfynd.xlsx", "A 17566-2024")</f>
        <v/>
      </c>
      <c r="T15">
        <f>HYPERLINK("https://klasma.github.io/Logging_1440/kartor/A 17566-2024 karta.png", "A 17566-2024")</f>
        <v/>
      </c>
      <c r="U15">
        <f>HYPERLINK("https://klasma.github.io/Logging_1440/knärot/A 17566-2024 karta knärot.png", "A 17566-2024")</f>
        <v/>
      </c>
      <c r="V15">
        <f>HYPERLINK("https://klasma.github.io/Logging_1440/klagomål/A 17566-2024 FSC-klagomål.docx", "A 17566-2024")</f>
        <v/>
      </c>
      <c r="W15">
        <f>HYPERLINK("https://klasma.github.io/Logging_1440/klagomålsmail/A 17566-2024 FSC-klagomål mail.docx", "A 17566-2024")</f>
        <v/>
      </c>
      <c r="X15">
        <f>HYPERLINK("https://klasma.github.io/Logging_1440/tillsyn/A 17566-2024 tillsynsbegäran.docx", "A 17566-2024")</f>
        <v/>
      </c>
      <c r="Y15">
        <f>HYPERLINK("https://klasma.github.io/Logging_1440/tillsynsmail/A 17566-2024 tillsynsbegäran mail.docx", "A 17566-2024")</f>
        <v/>
      </c>
      <c r="Z15">
        <f>HYPERLINK("https://klasma.github.io/Logging_1440/fåglar/A 17566-2024 prioriterade fågelarter.docx", "A 17566-2024")</f>
        <v/>
      </c>
    </row>
    <row r="16" ht="15" customHeight="1">
      <c r="A16" t="inlineStr">
        <is>
          <t>A 24162-2025</t>
        </is>
      </c>
      <c r="B16" s="1" t="n">
        <v>45796.66684027778</v>
      </c>
      <c r="C16" s="1" t="n">
        <v>45940</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45940</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26491-2024</t>
        </is>
      </c>
      <c r="B18" s="1" t="n">
        <v>45469</v>
      </c>
      <c r="C18" s="1" t="n">
        <v>45940</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45940</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7903-2024</t>
        </is>
      </c>
      <c r="B20" s="1" t="n">
        <v>45350</v>
      </c>
      <c r="C20" s="1" t="n">
        <v>45940</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45940</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63569-2023</t>
        </is>
      </c>
      <c r="B22" s="1" t="n">
        <v>45275</v>
      </c>
      <c r="C22" s="1" t="n">
        <v>45940</v>
      </c>
      <c r="D22" t="inlineStr">
        <is>
          <t>VÄSTRA GÖTALANDS LÄN</t>
        </is>
      </c>
      <c r="E22" t="inlineStr">
        <is>
          <t>ALE</t>
        </is>
      </c>
      <c r="G22" t="n">
        <v>2.4</v>
      </c>
      <c r="H22" t="n">
        <v>2</v>
      </c>
      <c r="I22" t="n">
        <v>0</v>
      </c>
      <c r="J22" t="n">
        <v>2</v>
      </c>
      <c r="K22" t="n">
        <v>0</v>
      </c>
      <c r="L22" t="n">
        <v>0</v>
      </c>
      <c r="M22" t="n">
        <v>0</v>
      </c>
      <c r="N22" t="n">
        <v>0</v>
      </c>
      <c r="O22" t="n">
        <v>2</v>
      </c>
      <c r="P22" t="n">
        <v>0</v>
      </c>
      <c r="Q22" t="n">
        <v>2</v>
      </c>
      <c r="R22" s="2" t="inlineStr">
        <is>
          <t>Spillkråka
Talltita</t>
        </is>
      </c>
      <c r="S22">
        <f>HYPERLINK("https://klasma.github.io/Logging_1440/artfynd/A 63569-2023 artfynd.xlsx", "A 63569-2023")</f>
        <v/>
      </c>
      <c r="T22">
        <f>HYPERLINK("https://klasma.github.io/Logging_1440/kartor/A 63569-2023 karta.png", "A 63569-2023")</f>
        <v/>
      </c>
      <c r="V22">
        <f>HYPERLINK("https://klasma.github.io/Logging_1440/klagomål/A 63569-2023 FSC-klagomål.docx", "A 63569-2023")</f>
        <v/>
      </c>
      <c r="W22">
        <f>HYPERLINK("https://klasma.github.io/Logging_1440/klagomålsmail/A 63569-2023 FSC-klagomål mail.docx", "A 63569-2023")</f>
        <v/>
      </c>
      <c r="X22">
        <f>HYPERLINK("https://klasma.github.io/Logging_1440/tillsyn/A 63569-2023 tillsynsbegäran.docx", "A 63569-2023")</f>
        <v/>
      </c>
      <c r="Y22">
        <f>HYPERLINK("https://klasma.github.io/Logging_1440/tillsynsmail/A 63569-2023 tillsynsbegäran mail.docx", "A 63569-2023")</f>
        <v/>
      </c>
      <c r="Z22">
        <f>HYPERLINK("https://klasma.github.io/Logging_1440/fåglar/A 63569-2023 prioriterade fågelarter.docx", "A 63569-2023")</f>
        <v/>
      </c>
    </row>
    <row r="23" ht="15" customHeight="1">
      <c r="A23" t="inlineStr">
        <is>
          <t>A 1503-2024</t>
        </is>
      </c>
      <c r="B23" s="1" t="n">
        <v>45306.35041666667</v>
      </c>
      <c r="C23" s="1" t="n">
        <v>45940</v>
      </c>
      <c r="D23" t="inlineStr">
        <is>
          <t>VÄSTRA GÖTALANDS LÄN</t>
        </is>
      </c>
      <c r="E23" t="inlineStr">
        <is>
          <t>ALE</t>
        </is>
      </c>
      <c r="G23" t="n">
        <v>6.6</v>
      </c>
      <c r="H23" t="n">
        <v>2</v>
      </c>
      <c r="I23" t="n">
        <v>0</v>
      </c>
      <c r="J23" t="n">
        <v>1</v>
      </c>
      <c r="K23" t="n">
        <v>0</v>
      </c>
      <c r="L23" t="n">
        <v>0</v>
      </c>
      <c r="M23" t="n">
        <v>0</v>
      </c>
      <c r="N23" t="n">
        <v>0</v>
      </c>
      <c r="O23" t="n">
        <v>1</v>
      </c>
      <c r="P23" t="n">
        <v>0</v>
      </c>
      <c r="Q23" t="n">
        <v>2</v>
      </c>
      <c r="R23" s="2" t="inlineStr">
        <is>
          <t>Spillkråka
Revlummer</t>
        </is>
      </c>
      <c r="S23">
        <f>HYPERLINK("https://klasma.github.io/Logging_1440/artfynd/A 1503-2024 artfynd.xlsx", "A 1503-2024")</f>
        <v/>
      </c>
      <c r="T23">
        <f>HYPERLINK("https://klasma.github.io/Logging_1440/kartor/A 1503-2024 karta.png", "A 1503-2024")</f>
        <v/>
      </c>
      <c r="V23">
        <f>HYPERLINK("https://klasma.github.io/Logging_1440/klagomål/A 1503-2024 FSC-klagomål.docx", "A 1503-2024")</f>
        <v/>
      </c>
      <c r="W23">
        <f>HYPERLINK("https://klasma.github.io/Logging_1440/klagomålsmail/A 1503-2024 FSC-klagomål mail.docx", "A 1503-2024")</f>
        <v/>
      </c>
      <c r="X23">
        <f>HYPERLINK("https://klasma.github.io/Logging_1440/tillsyn/A 1503-2024 tillsynsbegäran.docx", "A 1503-2024")</f>
        <v/>
      </c>
      <c r="Y23">
        <f>HYPERLINK("https://klasma.github.io/Logging_1440/tillsynsmail/A 1503-2024 tillsynsbegäran mail.docx", "A 1503-2024")</f>
        <v/>
      </c>
      <c r="Z23">
        <f>HYPERLINK("https://klasma.github.io/Logging_1440/fåglar/A 1503-2024 prioriterade fågelarter.docx", "A 1503-2024")</f>
        <v/>
      </c>
    </row>
    <row r="24" ht="15" customHeight="1">
      <c r="A24" t="inlineStr">
        <is>
          <t>A 2270-2025</t>
        </is>
      </c>
      <c r="B24" s="1" t="n">
        <v>45673.54403935185</v>
      </c>
      <c r="C24" s="1" t="n">
        <v>45940</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13380-2025</t>
        </is>
      </c>
      <c r="B25" s="1" t="n">
        <v>45735.6765162037</v>
      </c>
      <c r="C25" s="1" t="n">
        <v>45940</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45751.65315972222</v>
      </c>
      <c r="C26" s="1" t="n">
        <v>45940</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45940</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42660-2024</t>
        </is>
      </c>
      <c r="B28" s="1" t="n">
        <v>45566.33841435185</v>
      </c>
      <c r="C28" s="1" t="n">
        <v>45940</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58954-2022</t>
        </is>
      </c>
      <c r="B29" s="1" t="n">
        <v>44903</v>
      </c>
      <c r="C29" s="1" t="n">
        <v>45940</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380-2025</t>
        </is>
      </c>
      <c r="B30" s="1" t="n">
        <v>45662.43456018518</v>
      </c>
      <c r="C30" s="1" t="n">
        <v>45940</v>
      </c>
      <c r="D30" t="inlineStr">
        <is>
          <t>VÄSTRA GÖTALANDS LÄN</t>
        </is>
      </c>
      <c r="E30" t="inlineStr">
        <is>
          <t>ALE</t>
        </is>
      </c>
      <c r="G30" t="n">
        <v>8.6</v>
      </c>
      <c r="H30" t="n">
        <v>1</v>
      </c>
      <c r="I30" t="n">
        <v>1</v>
      </c>
      <c r="J30" t="n">
        <v>1</v>
      </c>
      <c r="K30" t="n">
        <v>0</v>
      </c>
      <c r="L30" t="n">
        <v>0</v>
      </c>
      <c r="M30" t="n">
        <v>0</v>
      </c>
      <c r="N30" t="n">
        <v>0</v>
      </c>
      <c r="O30" t="n">
        <v>1</v>
      </c>
      <c r="P30" t="n">
        <v>0</v>
      </c>
      <c r="Q30" t="n">
        <v>2</v>
      </c>
      <c r="R30" s="2" t="inlineStr">
        <is>
          <t>Spillkråka
Blåmossa</t>
        </is>
      </c>
      <c r="S30">
        <f>HYPERLINK("https://klasma.github.io/Logging_1440/artfynd/A 380-2025 artfynd.xlsx", "A 380-2025")</f>
        <v/>
      </c>
      <c r="T30">
        <f>HYPERLINK("https://klasma.github.io/Logging_1440/kartor/A 380-2025 karta.png", "A 380-2025")</f>
        <v/>
      </c>
      <c r="V30">
        <f>HYPERLINK("https://klasma.github.io/Logging_1440/klagomål/A 380-2025 FSC-klagomål.docx", "A 380-2025")</f>
        <v/>
      </c>
      <c r="W30">
        <f>HYPERLINK("https://klasma.github.io/Logging_1440/klagomålsmail/A 380-2025 FSC-klagomål mail.docx", "A 380-2025")</f>
        <v/>
      </c>
      <c r="X30">
        <f>HYPERLINK("https://klasma.github.io/Logging_1440/tillsyn/A 380-2025 tillsynsbegäran.docx", "A 380-2025")</f>
        <v/>
      </c>
      <c r="Y30">
        <f>HYPERLINK("https://klasma.github.io/Logging_1440/tillsynsmail/A 380-2025 tillsynsbegäran mail.docx", "A 380-2025")</f>
        <v/>
      </c>
      <c r="Z30">
        <f>HYPERLINK("https://klasma.github.io/Logging_1440/fåglar/A 380-2025 prioriterade fågelarter.docx", "A 380-2025")</f>
        <v/>
      </c>
    </row>
    <row r="31" ht="15" customHeight="1">
      <c r="A31" t="inlineStr">
        <is>
          <t>A 40931-2025</t>
        </is>
      </c>
      <c r="B31" s="1" t="n">
        <v>45897.64783564815</v>
      </c>
      <c r="C31" s="1" t="n">
        <v>45940</v>
      </c>
      <c r="D31" t="inlineStr">
        <is>
          <t>VÄSTRA GÖTALANDS LÄN</t>
        </is>
      </c>
      <c r="E31" t="inlineStr">
        <is>
          <t>ALE</t>
        </is>
      </c>
      <c r="G31" t="n">
        <v>4.3</v>
      </c>
      <c r="H31" t="n">
        <v>1</v>
      </c>
      <c r="I31" t="n">
        <v>1</v>
      </c>
      <c r="J31" t="n">
        <v>1</v>
      </c>
      <c r="K31" t="n">
        <v>0</v>
      </c>
      <c r="L31" t="n">
        <v>0</v>
      </c>
      <c r="M31" t="n">
        <v>0</v>
      </c>
      <c r="N31" t="n">
        <v>0</v>
      </c>
      <c r="O31" t="n">
        <v>1</v>
      </c>
      <c r="P31" t="n">
        <v>0</v>
      </c>
      <c r="Q31" t="n">
        <v>2</v>
      </c>
      <c r="R31" s="2" t="inlineStr">
        <is>
          <t>Spillkråka
Blåmossa</t>
        </is>
      </c>
      <c r="S31">
        <f>HYPERLINK("https://klasma.github.io/Logging_1440/artfynd/A 40931-2025 artfynd.xlsx", "A 40931-2025")</f>
        <v/>
      </c>
      <c r="T31">
        <f>HYPERLINK("https://klasma.github.io/Logging_1440/kartor/A 40931-2025 karta.png", "A 40931-2025")</f>
        <v/>
      </c>
      <c r="V31">
        <f>HYPERLINK("https://klasma.github.io/Logging_1440/klagomål/A 40931-2025 FSC-klagomål.docx", "A 40931-2025")</f>
        <v/>
      </c>
      <c r="W31">
        <f>HYPERLINK("https://klasma.github.io/Logging_1440/klagomålsmail/A 40931-2025 FSC-klagomål mail.docx", "A 40931-2025")</f>
        <v/>
      </c>
      <c r="X31">
        <f>HYPERLINK("https://klasma.github.io/Logging_1440/tillsyn/A 40931-2025 tillsynsbegäran.docx", "A 40931-2025")</f>
        <v/>
      </c>
      <c r="Y31">
        <f>HYPERLINK("https://klasma.github.io/Logging_1440/tillsynsmail/A 40931-2025 tillsynsbegäran mail.docx", "A 40931-2025")</f>
        <v/>
      </c>
      <c r="Z31">
        <f>HYPERLINK("https://klasma.github.io/Logging_1440/fåglar/A 40931-2025 prioriterade fågelarter.docx", "A 40931-2025")</f>
        <v/>
      </c>
    </row>
    <row r="32" ht="15" customHeight="1">
      <c r="A32" t="inlineStr">
        <is>
          <t>A 8955-2025</t>
        </is>
      </c>
      <c r="B32" s="1" t="n">
        <v>45713.46528935185</v>
      </c>
      <c r="C32" s="1" t="n">
        <v>45940</v>
      </c>
      <c r="D32" t="inlineStr">
        <is>
          <t>VÄSTRA GÖTALANDS LÄN</t>
        </is>
      </c>
      <c r="E32" t="inlineStr">
        <is>
          <t>ALE</t>
        </is>
      </c>
      <c r="G32" t="n">
        <v>1</v>
      </c>
      <c r="H32" t="n">
        <v>2</v>
      </c>
      <c r="I32" t="n">
        <v>0</v>
      </c>
      <c r="J32" t="n">
        <v>1</v>
      </c>
      <c r="K32" t="n">
        <v>0</v>
      </c>
      <c r="L32" t="n">
        <v>0</v>
      </c>
      <c r="M32" t="n">
        <v>0</v>
      </c>
      <c r="N32" t="n">
        <v>0</v>
      </c>
      <c r="O32" t="n">
        <v>1</v>
      </c>
      <c r="P32" t="n">
        <v>0</v>
      </c>
      <c r="Q32" t="n">
        <v>2</v>
      </c>
      <c r="R32" s="2" t="inlineStr">
        <is>
          <t>Spillkråka
Revlummer</t>
        </is>
      </c>
      <c r="S32">
        <f>HYPERLINK("https://klasma.github.io/Logging_1440/artfynd/A 8955-2025 artfynd.xlsx", "A 8955-2025")</f>
        <v/>
      </c>
      <c r="T32">
        <f>HYPERLINK("https://klasma.github.io/Logging_1440/kartor/A 8955-2025 karta.png", "A 8955-2025")</f>
        <v/>
      </c>
      <c r="V32">
        <f>HYPERLINK("https://klasma.github.io/Logging_1440/klagomål/A 8955-2025 FSC-klagomål.docx", "A 8955-2025")</f>
        <v/>
      </c>
      <c r="W32">
        <f>HYPERLINK("https://klasma.github.io/Logging_1440/klagomålsmail/A 8955-2025 FSC-klagomål mail.docx", "A 8955-2025")</f>
        <v/>
      </c>
      <c r="X32">
        <f>HYPERLINK("https://klasma.github.io/Logging_1440/tillsyn/A 8955-2025 tillsynsbegäran.docx", "A 8955-2025")</f>
        <v/>
      </c>
      <c r="Y32">
        <f>HYPERLINK("https://klasma.github.io/Logging_1440/tillsynsmail/A 8955-2025 tillsynsbegäran mail.docx", "A 8955-2025")</f>
        <v/>
      </c>
      <c r="Z32">
        <f>HYPERLINK("https://klasma.github.io/Logging_1440/fåglar/A 8955-2025 prioriterade fågelarter.docx", "A 8955-2025")</f>
        <v/>
      </c>
    </row>
    <row r="33" ht="15" customHeight="1">
      <c r="A33" t="inlineStr">
        <is>
          <t>A 12084-2025</t>
        </is>
      </c>
      <c r="B33" s="1" t="n">
        <v>45728.95387731482</v>
      </c>
      <c r="C33" s="1" t="n">
        <v>45940</v>
      </c>
      <c r="D33" t="inlineStr">
        <is>
          <t>VÄSTRA GÖTALANDS LÄN</t>
        </is>
      </c>
      <c r="E33" t="inlineStr">
        <is>
          <t>ALE</t>
        </is>
      </c>
      <c r="G33" t="n">
        <v>2.4</v>
      </c>
      <c r="H33" t="n">
        <v>1</v>
      </c>
      <c r="I33" t="n">
        <v>0</v>
      </c>
      <c r="J33" t="n">
        <v>1</v>
      </c>
      <c r="K33" t="n">
        <v>0</v>
      </c>
      <c r="L33" t="n">
        <v>0</v>
      </c>
      <c r="M33" t="n">
        <v>0</v>
      </c>
      <c r="N33" t="n">
        <v>0</v>
      </c>
      <c r="O33" t="n">
        <v>1</v>
      </c>
      <c r="P33" t="n">
        <v>0</v>
      </c>
      <c r="Q33" t="n">
        <v>1</v>
      </c>
      <c r="R33" s="2" t="inlineStr">
        <is>
          <t>Spillkråka</t>
        </is>
      </c>
      <c r="S33">
        <f>HYPERLINK("https://klasma.github.io/Logging_1440/artfynd/A 12084-2025 artfynd.xlsx", "A 12084-2025")</f>
        <v/>
      </c>
      <c r="T33">
        <f>HYPERLINK("https://klasma.github.io/Logging_1440/kartor/A 12084-2025 karta.png", "A 12084-2025")</f>
        <v/>
      </c>
      <c r="V33">
        <f>HYPERLINK("https://klasma.github.io/Logging_1440/klagomål/A 12084-2025 FSC-klagomål.docx", "A 12084-2025")</f>
        <v/>
      </c>
      <c r="W33">
        <f>HYPERLINK("https://klasma.github.io/Logging_1440/klagomålsmail/A 12084-2025 FSC-klagomål mail.docx", "A 12084-2025")</f>
        <v/>
      </c>
      <c r="X33">
        <f>HYPERLINK("https://klasma.github.io/Logging_1440/tillsyn/A 12084-2025 tillsynsbegäran.docx", "A 12084-2025")</f>
        <v/>
      </c>
      <c r="Y33">
        <f>HYPERLINK("https://klasma.github.io/Logging_1440/tillsynsmail/A 12084-2025 tillsynsbegäran mail.docx", "A 12084-2025")</f>
        <v/>
      </c>
      <c r="Z33">
        <f>HYPERLINK("https://klasma.github.io/Logging_1440/fåglar/A 12084-2025 prioriterade fågelarter.docx", "A 12084-2025")</f>
        <v/>
      </c>
    </row>
    <row r="34" ht="15" customHeight="1">
      <c r="A34" t="inlineStr">
        <is>
          <t>A 26493-2024</t>
        </is>
      </c>
      <c r="B34" s="1" t="n">
        <v>45469</v>
      </c>
      <c r="C34" s="1" t="n">
        <v>45940</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26677-2025</t>
        </is>
      </c>
      <c r="B35" s="1" t="n">
        <v>45810.42446759259</v>
      </c>
      <c r="C35" s="1" t="n">
        <v>45940</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45940</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12982-2024</t>
        </is>
      </c>
      <c r="B37" s="1" t="n">
        <v>45385.53569444444</v>
      </c>
      <c r="C37" s="1" t="n">
        <v>45940</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45940</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45940</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45940</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45940</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45940</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45940</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45940</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45940</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45940</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45940</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45940</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45940</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45940</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45940</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66893-2021</t>
        </is>
      </c>
      <c r="B52" s="1" t="n">
        <v>44522.49439814815</v>
      </c>
      <c r="C52" s="1" t="n">
        <v>45940</v>
      </c>
      <c r="D52" t="inlineStr">
        <is>
          <t>VÄSTRA GÖTALANDS LÄN</t>
        </is>
      </c>
      <c r="E52" t="inlineStr">
        <is>
          <t>ALE</t>
        </is>
      </c>
      <c r="G52" t="n">
        <v>1.4</v>
      </c>
      <c r="H52" t="n">
        <v>0</v>
      </c>
      <c r="I52" t="n">
        <v>0</v>
      </c>
      <c r="J52" t="n">
        <v>0</v>
      </c>
      <c r="K52" t="n">
        <v>0</v>
      </c>
      <c r="L52" t="n">
        <v>0</v>
      </c>
      <c r="M52" t="n">
        <v>0</v>
      </c>
      <c r="N52" t="n">
        <v>0</v>
      </c>
      <c r="O52" t="n">
        <v>0</v>
      </c>
      <c r="P52" t="n">
        <v>0</v>
      </c>
      <c r="Q52" t="n">
        <v>0</v>
      </c>
      <c r="R52" s="2" t="inlineStr"/>
    </row>
    <row r="53" ht="15" customHeight="1">
      <c r="A53" t="inlineStr">
        <is>
          <t>A 15508-2022</t>
        </is>
      </c>
      <c r="B53" s="1" t="n">
        <v>44662.39761574074</v>
      </c>
      <c r="C53" s="1" t="n">
        <v>45940</v>
      </c>
      <c r="D53" t="inlineStr">
        <is>
          <t>VÄSTRA GÖTALANDS LÄN</t>
        </is>
      </c>
      <c r="E53" t="inlineStr">
        <is>
          <t>ALE</t>
        </is>
      </c>
      <c r="G53" t="n">
        <v>0.4</v>
      </c>
      <c r="H53" t="n">
        <v>0</v>
      </c>
      <c r="I53" t="n">
        <v>0</v>
      </c>
      <c r="J53" t="n">
        <v>0</v>
      </c>
      <c r="K53" t="n">
        <v>0</v>
      </c>
      <c r="L53" t="n">
        <v>0</v>
      </c>
      <c r="M53" t="n">
        <v>0</v>
      </c>
      <c r="N53" t="n">
        <v>0</v>
      </c>
      <c r="O53" t="n">
        <v>0</v>
      </c>
      <c r="P53" t="n">
        <v>0</v>
      </c>
      <c r="Q53" t="n">
        <v>0</v>
      </c>
      <c r="R53" s="2" t="inlineStr"/>
    </row>
    <row r="54" ht="15" customHeight="1">
      <c r="A54" t="inlineStr">
        <is>
          <t>A 14751-2022</t>
        </is>
      </c>
      <c r="B54" s="1" t="n">
        <v>44656.3837037037</v>
      </c>
      <c r="C54" s="1" t="n">
        <v>45940</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45940</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65222-2021</t>
        </is>
      </c>
      <c r="B56" s="1" t="n">
        <v>44515</v>
      </c>
      <c r="C56" s="1" t="n">
        <v>45940</v>
      </c>
      <c r="D56" t="inlineStr">
        <is>
          <t>VÄSTRA GÖTALANDS LÄN</t>
        </is>
      </c>
      <c r="E56" t="inlineStr">
        <is>
          <t>ALE</t>
        </is>
      </c>
      <c r="G56" t="n">
        <v>1.2</v>
      </c>
      <c r="H56" t="n">
        <v>0</v>
      </c>
      <c r="I56" t="n">
        <v>0</v>
      </c>
      <c r="J56" t="n">
        <v>0</v>
      </c>
      <c r="K56" t="n">
        <v>0</v>
      </c>
      <c r="L56" t="n">
        <v>0</v>
      </c>
      <c r="M56" t="n">
        <v>0</v>
      </c>
      <c r="N56" t="n">
        <v>0</v>
      </c>
      <c r="O56" t="n">
        <v>0</v>
      </c>
      <c r="P56" t="n">
        <v>0</v>
      </c>
      <c r="Q56" t="n">
        <v>0</v>
      </c>
      <c r="R56" s="2" t="inlineStr"/>
    </row>
    <row r="57" ht="15" customHeight="1">
      <c r="A57" t="inlineStr">
        <is>
          <t>A 22138-2021</t>
        </is>
      </c>
      <c r="B57" s="1" t="n">
        <v>44324.67472222223</v>
      </c>
      <c r="C57" s="1" t="n">
        <v>45940</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45940</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45940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45940</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45986-2021</t>
        </is>
      </c>
      <c r="B61" s="1" t="n">
        <v>44441</v>
      </c>
      <c r="C61" s="1" t="n">
        <v>45940</v>
      </c>
      <c r="D61" t="inlineStr">
        <is>
          <t>VÄSTRA GÖTALANDS LÄN</t>
        </is>
      </c>
      <c r="E61" t="inlineStr">
        <is>
          <t>ALE</t>
        </is>
      </c>
      <c r="G61" t="n">
        <v>1.4</v>
      </c>
      <c r="H61" t="n">
        <v>0</v>
      </c>
      <c r="I61" t="n">
        <v>0</v>
      </c>
      <c r="J61" t="n">
        <v>0</v>
      </c>
      <c r="K61" t="n">
        <v>0</v>
      </c>
      <c r="L61" t="n">
        <v>0</v>
      </c>
      <c r="M61" t="n">
        <v>0</v>
      </c>
      <c r="N61" t="n">
        <v>0</v>
      </c>
      <c r="O61" t="n">
        <v>0</v>
      </c>
      <c r="P61" t="n">
        <v>0</v>
      </c>
      <c r="Q61" t="n">
        <v>0</v>
      </c>
      <c r="R61" s="2" t="inlineStr"/>
    </row>
    <row r="62" ht="15" customHeight="1">
      <c r="A62" t="inlineStr">
        <is>
          <t>A 35148-2021</t>
        </is>
      </c>
      <c r="B62" s="1" t="n">
        <v>44384</v>
      </c>
      <c r="C62" s="1" t="n">
        <v>45940</v>
      </c>
      <c r="D62" t="inlineStr">
        <is>
          <t>VÄSTRA GÖTALANDS LÄN</t>
        </is>
      </c>
      <c r="E62" t="inlineStr">
        <is>
          <t>ALE</t>
        </is>
      </c>
      <c r="G62" t="n">
        <v>1.1</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45940</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45940</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1960-2024</t>
        </is>
      </c>
      <c r="B65" s="1" t="n">
        <v>45308.50962962963</v>
      </c>
      <c r="C65" s="1" t="n">
        <v>45940</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45988-2021</t>
        </is>
      </c>
      <c r="B66" s="1" t="n">
        <v>44441</v>
      </c>
      <c r="C66" s="1" t="n">
        <v>45940</v>
      </c>
      <c r="D66" t="inlineStr">
        <is>
          <t>VÄSTRA GÖTALANDS LÄN</t>
        </is>
      </c>
      <c r="E66" t="inlineStr">
        <is>
          <t>ALE</t>
        </is>
      </c>
      <c r="G66" t="n">
        <v>1.2</v>
      </c>
      <c r="H66" t="n">
        <v>0</v>
      </c>
      <c r="I66" t="n">
        <v>0</v>
      </c>
      <c r="J66" t="n">
        <v>0</v>
      </c>
      <c r="K66" t="n">
        <v>0</v>
      </c>
      <c r="L66" t="n">
        <v>0</v>
      </c>
      <c r="M66" t="n">
        <v>0</v>
      </c>
      <c r="N66" t="n">
        <v>0</v>
      </c>
      <c r="O66" t="n">
        <v>0</v>
      </c>
      <c r="P66" t="n">
        <v>0</v>
      </c>
      <c r="Q66" t="n">
        <v>0</v>
      </c>
      <c r="R66" s="2" t="inlineStr"/>
    </row>
    <row r="67" ht="15" customHeight="1">
      <c r="A67" t="inlineStr">
        <is>
          <t>A 41607-2022</t>
        </is>
      </c>
      <c r="B67" s="1" t="n">
        <v>44827.46658564815</v>
      </c>
      <c r="C67" s="1" t="n">
        <v>45940</v>
      </c>
      <c r="D67" t="inlineStr">
        <is>
          <t>VÄSTRA GÖTALANDS LÄN</t>
        </is>
      </c>
      <c r="E67" t="inlineStr">
        <is>
          <t>ALE</t>
        </is>
      </c>
      <c r="G67" t="n">
        <v>3.6</v>
      </c>
      <c r="H67" t="n">
        <v>0</v>
      </c>
      <c r="I67" t="n">
        <v>0</v>
      </c>
      <c r="J67" t="n">
        <v>0</v>
      </c>
      <c r="K67" t="n">
        <v>0</v>
      </c>
      <c r="L67" t="n">
        <v>0</v>
      </c>
      <c r="M67" t="n">
        <v>0</v>
      </c>
      <c r="N67" t="n">
        <v>0</v>
      </c>
      <c r="O67" t="n">
        <v>0</v>
      </c>
      <c r="P67" t="n">
        <v>0</v>
      </c>
      <c r="Q67" t="n">
        <v>0</v>
      </c>
      <c r="R67" s="2" t="inlineStr"/>
    </row>
    <row r="68" ht="15" customHeight="1">
      <c r="A68" t="inlineStr">
        <is>
          <t>A 15499-2022</t>
        </is>
      </c>
      <c r="B68" s="1" t="n">
        <v>44662</v>
      </c>
      <c r="C68" s="1" t="n">
        <v>45940</v>
      </c>
      <c r="D68" t="inlineStr">
        <is>
          <t>VÄSTRA GÖTALANDS LÄN</t>
        </is>
      </c>
      <c r="E68" t="inlineStr">
        <is>
          <t>ALE</t>
        </is>
      </c>
      <c r="G68" t="n">
        <v>4.7</v>
      </c>
      <c r="H68" t="n">
        <v>0</v>
      </c>
      <c r="I68" t="n">
        <v>0</v>
      </c>
      <c r="J68" t="n">
        <v>0</v>
      </c>
      <c r="K68" t="n">
        <v>0</v>
      </c>
      <c r="L68" t="n">
        <v>0</v>
      </c>
      <c r="M68" t="n">
        <v>0</v>
      </c>
      <c r="N68" t="n">
        <v>0</v>
      </c>
      <c r="O68" t="n">
        <v>0</v>
      </c>
      <c r="P68" t="n">
        <v>0</v>
      </c>
      <c r="Q68" t="n">
        <v>0</v>
      </c>
      <c r="R68" s="2" t="inlineStr"/>
    </row>
    <row r="69" ht="15" customHeight="1">
      <c r="A69" t="inlineStr">
        <is>
          <t>A 53476-2023</t>
        </is>
      </c>
      <c r="B69" s="1" t="n">
        <v>45230.33737268519</v>
      </c>
      <c r="C69" s="1" t="n">
        <v>45940</v>
      </c>
      <c r="D69" t="inlineStr">
        <is>
          <t>VÄSTRA GÖTALANDS LÄN</t>
        </is>
      </c>
      <c r="E69" t="inlineStr">
        <is>
          <t>ALE</t>
        </is>
      </c>
      <c r="G69" t="n">
        <v>1.9</v>
      </c>
      <c r="H69" t="n">
        <v>0</v>
      </c>
      <c r="I69" t="n">
        <v>0</v>
      </c>
      <c r="J69" t="n">
        <v>0</v>
      </c>
      <c r="K69" t="n">
        <v>0</v>
      </c>
      <c r="L69" t="n">
        <v>0</v>
      </c>
      <c r="M69" t="n">
        <v>0</v>
      </c>
      <c r="N69" t="n">
        <v>0</v>
      </c>
      <c r="O69" t="n">
        <v>0</v>
      </c>
      <c r="P69" t="n">
        <v>0</v>
      </c>
      <c r="Q69" t="n">
        <v>0</v>
      </c>
      <c r="R69" s="2" t="inlineStr"/>
    </row>
    <row r="70" ht="15" customHeight="1">
      <c r="A70" t="inlineStr">
        <is>
          <t>A 12445-2022</t>
        </is>
      </c>
      <c r="B70" s="1" t="n">
        <v>44638</v>
      </c>
      <c r="C70" s="1" t="n">
        <v>45940</v>
      </c>
      <c r="D70" t="inlineStr">
        <is>
          <t>VÄSTRA GÖTALANDS LÄN</t>
        </is>
      </c>
      <c r="E70" t="inlineStr">
        <is>
          <t>ALE</t>
        </is>
      </c>
      <c r="G70" t="n">
        <v>1</v>
      </c>
      <c r="H70" t="n">
        <v>0</v>
      </c>
      <c r="I70" t="n">
        <v>0</v>
      </c>
      <c r="J70" t="n">
        <v>0</v>
      </c>
      <c r="K70" t="n">
        <v>0</v>
      </c>
      <c r="L70" t="n">
        <v>0</v>
      </c>
      <c r="M70" t="n">
        <v>0</v>
      </c>
      <c r="N70" t="n">
        <v>0</v>
      </c>
      <c r="O70" t="n">
        <v>0</v>
      </c>
      <c r="P70" t="n">
        <v>0</v>
      </c>
      <c r="Q70" t="n">
        <v>0</v>
      </c>
      <c r="R70" s="2" t="inlineStr"/>
    </row>
    <row r="71" ht="15" customHeight="1">
      <c r="A71" t="inlineStr">
        <is>
          <t>A 50451-2024</t>
        </is>
      </c>
      <c r="B71" s="1" t="n">
        <v>45601.44248842593</v>
      </c>
      <c r="C71" s="1" t="n">
        <v>45940</v>
      </c>
      <c r="D71" t="inlineStr">
        <is>
          <t>VÄSTRA GÖTALANDS LÄN</t>
        </is>
      </c>
      <c r="E71" t="inlineStr">
        <is>
          <t>ALE</t>
        </is>
      </c>
      <c r="G71" t="n">
        <v>2.9</v>
      </c>
      <c r="H71" t="n">
        <v>0</v>
      </c>
      <c r="I71" t="n">
        <v>0</v>
      </c>
      <c r="J71" t="n">
        <v>0</v>
      </c>
      <c r="K71" t="n">
        <v>0</v>
      </c>
      <c r="L71" t="n">
        <v>0</v>
      </c>
      <c r="M71" t="n">
        <v>0</v>
      </c>
      <c r="N71" t="n">
        <v>0</v>
      </c>
      <c r="O71" t="n">
        <v>0</v>
      </c>
      <c r="P71" t="n">
        <v>0</v>
      </c>
      <c r="Q71" t="n">
        <v>0</v>
      </c>
      <c r="R71" s="2" t="inlineStr"/>
    </row>
    <row r="72" ht="15" customHeight="1">
      <c r="A72" t="inlineStr">
        <is>
          <t>A 55405-2021</t>
        </is>
      </c>
      <c r="B72" s="1" t="n">
        <v>44475.53733796296</v>
      </c>
      <c r="C72" s="1" t="n">
        <v>45940</v>
      </c>
      <c r="D72" t="inlineStr">
        <is>
          <t>VÄSTRA GÖTALANDS LÄN</t>
        </is>
      </c>
      <c r="E72" t="inlineStr">
        <is>
          <t>ALE</t>
        </is>
      </c>
      <c r="G72" t="n">
        <v>0.5</v>
      </c>
      <c r="H72" t="n">
        <v>0</v>
      </c>
      <c r="I72" t="n">
        <v>0</v>
      </c>
      <c r="J72" t="n">
        <v>0</v>
      </c>
      <c r="K72" t="n">
        <v>0</v>
      </c>
      <c r="L72" t="n">
        <v>0</v>
      </c>
      <c r="M72" t="n">
        <v>0</v>
      </c>
      <c r="N72" t="n">
        <v>0</v>
      </c>
      <c r="O72" t="n">
        <v>0</v>
      </c>
      <c r="P72" t="n">
        <v>0</v>
      </c>
      <c r="Q72" t="n">
        <v>0</v>
      </c>
      <c r="R72" s="2" t="inlineStr"/>
    </row>
    <row r="73" ht="15" customHeight="1">
      <c r="A73" t="inlineStr">
        <is>
          <t>A 20067-2023</t>
        </is>
      </c>
      <c r="B73" s="1" t="n">
        <v>45054</v>
      </c>
      <c r="C73" s="1" t="n">
        <v>45940</v>
      </c>
      <c r="D73" t="inlineStr">
        <is>
          <t>VÄSTRA GÖTALANDS LÄN</t>
        </is>
      </c>
      <c r="E73" t="inlineStr">
        <is>
          <t>ALE</t>
        </is>
      </c>
      <c r="G73" t="n">
        <v>0.4</v>
      </c>
      <c r="H73" t="n">
        <v>0</v>
      </c>
      <c r="I73" t="n">
        <v>0</v>
      </c>
      <c r="J73" t="n">
        <v>0</v>
      </c>
      <c r="K73" t="n">
        <v>0</v>
      </c>
      <c r="L73" t="n">
        <v>0</v>
      </c>
      <c r="M73" t="n">
        <v>0</v>
      </c>
      <c r="N73" t="n">
        <v>0</v>
      </c>
      <c r="O73" t="n">
        <v>0</v>
      </c>
      <c r="P73" t="n">
        <v>0</v>
      </c>
      <c r="Q73" t="n">
        <v>0</v>
      </c>
      <c r="R73" s="2" t="inlineStr"/>
    </row>
    <row r="74" ht="15" customHeight="1">
      <c r="A74" t="inlineStr">
        <is>
          <t>A 51164-2024</t>
        </is>
      </c>
      <c r="B74" s="1" t="n">
        <v>45603.5830787037</v>
      </c>
      <c r="C74" s="1" t="n">
        <v>45940</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44429-2023</t>
        </is>
      </c>
      <c r="B75" s="1" t="n">
        <v>45189.35101851852</v>
      </c>
      <c r="C75" s="1" t="n">
        <v>45940</v>
      </c>
      <c r="D75" t="inlineStr">
        <is>
          <t>VÄSTRA GÖTALANDS LÄN</t>
        </is>
      </c>
      <c r="E75" t="inlineStr">
        <is>
          <t>ALE</t>
        </is>
      </c>
      <c r="G75" t="n">
        <v>0.1</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45940</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24642-2022</t>
        </is>
      </c>
      <c r="B77" s="1" t="n">
        <v>44727.59578703704</v>
      </c>
      <c r="C77" s="1" t="n">
        <v>45940</v>
      </c>
      <c r="D77" t="inlineStr">
        <is>
          <t>VÄSTRA GÖTALANDS LÄN</t>
        </is>
      </c>
      <c r="E77" t="inlineStr">
        <is>
          <t>ALE</t>
        </is>
      </c>
      <c r="G77" t="n">
        <v>10</v>
      </c>
      <c r="H77" t="n">
        <v>0</v>
      </c>
      <c r="I77" t="n">
        <v>0</v>
      </c>
      <c r="J77" t="n">
        <v>0</v>
      </c>
      <c r="K77" t="n">
        <v>0</v>
      </c>
      <c r="L77" t="n">
        <v>0</v>
      </c>
      <c r="M77" t="n">
        <v>0</v>
      </c>
      <c r="N77" t="n">
        <v>0</v>
      </c>
      <c r="O77" t="n">
        <v>0</v>
      </c>
      <c r="P77" t="n">
        <v>0</v>
      </c>
      <c r="Q77" t="n">
        <v>0</v>
      </c>
      <c r="R77" s="2" t="inlineStr"/>
    </row>
    <row r="78" ht="15" customHeight="1">
      <c r="A78" t="inlineStr">
        <is>
          <t>A 48257-2022</t>
        </is>
      </c>
      <c r="B78" s="1" t="n">
        <v>44858.47591435185</v>
      </c>
      <c r="C78" s="1" t="n">
        <v>45940</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6916-2023</t>
        </is>
      </c>
      <c r="B79" s="1" t="n">
        <v>44967.53349537037</v>
      </c>
      <c r="C79" s="1" t="n">
        <v>45940</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4971-2024</t>
        </is>
      </c>
      <c r="B80" s="1" t="n">
        <v>45329</v>
      </c>
      <c r="C80" s="1" t="n">
        <v>45940</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32762-2023</t>
        </is>
      </c>
      <c r="B81" s="1" t="n">
        <v>45123.46649305556</v>
      </c>
      <c r="C81" s="1" t="n">
        <v>45940</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22946-2025</t>
        </is>
      </c>
      <c r="B82" s="1" t="n">
        <v>45790.48229166667</v>
      </c>
      <c r="C82" s="1" t="n">
        <v>45940</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41309-2024</t>
        </is>
      </c>
      <c r="B83" s="1" t="n">
        <v>45559</v>
      </c>
      <c r="C83" s="1" t="n">
        <v>45940</v>
      </c>
      <c r="D83" t="inlineStr">
        <is>
          <t>VÄSTRA GÖTALANDS LÄN</t>
        </is>
      </c>
      <c r="E83" t="inlineStr">
        <is>
          <t>ALE</t>
        </is>
      </c>
      <c r="G83" t="n">
        <v>8.4</v>
      </c>
      <c r="H83" t="n">
        <v>0</v>
      </c>
      <c r="I83" t="n">
        <v>0</v>
      </c>
      <c r="J83" t="n">
        <v>0</v>
      </c>
      <c r="K83" t="n">
        <v>0</v>
      </c>
      <c r="L83" t="n">
        <v>0</v>
      </c>
      <c r="M83" t="n">
        <v>0</v>
      </c>
      <c r="N83" t="n">
        <v>0</v>
      </c>
      <c r="O83" t="n">
        <v>0</v>
      </c>
      <c r="P83" t="n">
        <v>0</v>
      </c>
      <c r="Q83" t="n">
        <v>0</v>
      </c>
      <c r="R83" s="2" t="inlineStr"/>
    </row>
    <row r="84" ht="15" customHeight="1">
      <c r="A84" t="inlineStr">
        <is>
          <t>A 51564-2023</t>
        </is>
      </c>
      <c r="B84" s="1" t="n">
        <v>45222</v>
      </c>
      <c r="C84" s="1" t="n">
        <v>45940</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1822-2024</t>
        </is>
      </c>
      <c r="B85" s="1" t="n">
        <v>45307.6205787037</v>
      </c>
      <c r="C85" s="1" t="n">
        <v>45940</v>
      </c>
      <c r="D85" t="inlineStr">
        <is>
          <t>VÄSTRA GÖTALANDS LÄN</t>
        </is>
      </c>
      <c r="E85" t="inlineStr">
        <is>
          <t>ALE</t>
        </is>
      </c>
      <c r="G85" t="n">
        <v>2</v>
      </c>
      <c r="H85" t="n">
        <v>0</v>
      </c>
      <c r="I85" t="n">
        <v>0</v>
      </c>
      <c r="J85" t="n">
        <v>0</v>
      </c>
      <c r="K85" t="n">
        <v>0</v>
      </c>
      <c r="L85" t="n">
        <v>0</v>
      </c>
      <c r="M85" t="n">
        <v>0</v>
      </c>
      <c r="N85" t="n">
        <v>0</v>
      </c>
      <c r="O85" t="n">
        <v>0</v>
      </c>
      <c r="P85" t="n">
        <v>0</v>
      </c>
      <c r="Q85" t="n">
        <v>0</v>
      </c>
      <c r="R85" s="2" t="inlineStr"/>
    </row>
    <row r="86" ht="15" customHeight="1">
      <c r="A86" t="inlineStr">
        <is>
          <t>A 7807-2023</t>
        </is>
      </c>
      <c r="B86" s="1" t="n">
        <v>44973</v>
      </c>
      <c r="C86" s="1" t="n">
        <v>45940</v>
      </c>
      <c r="D86" t="inlineStr">
        <is>
          <t>VÄSTRA GÖTALANDS LÄN</t>
        </is>
      </c>
      <c r="E86" t="inlineStr">
        <is>
          <t>ALE</t>
        </is>
      </c>
      <c r="G86" t="n">
        <v>10.5</v>
      </c>
      <c r="H86" t="n">
        <v>0</v>
      </c>
      <c r="I86" t="n">
        <v>0</v>
      </c>
      <c r="J86" t="n">
        <v>0</v>
      </c>
      <c r="K86" t="n">
        <v>0</v>
      </c>
      <c r="L86" t="n">
        <v>0</v>
      </c>
      <c r="M86" t="n">
        <v>0</v>
      </c>
      <c r="N86" t="n">
        <v>0</v>
      </c>
      <c r="O86" t="n">
        <v>0</v>
      </c>
      <c r="P86" t="n">
        <v>0</v>
      </c>
      <c r="Q86" t="n">
        <v>0</v>
      </c>
      <c r="R86" s="2" t="inlineStr"/>
    </row>
    <row r="87" ht="15" customHeight="1">
      <c r="A87" t="inlineStr">
        <is>
          <t>A 37461-2024</t>
        </is>
      </c>
      <c r="B87" s="1" t="n">
        <v>45540.72516203704</v>
      </c>
      <c r="C87" s="1" t="n">
        <v>45940</v>
      </c>
      <c r="D87" t="inlineStr">
        <is>
          <t>VÄSTRA GÖTALANDS LÄN</t>
        </is>
      </c>
      <c r="E87" t="inlineStr">
        <is>
          <t>ALE</t>
        </is>
      </c>
      <c r="G87" t="n">
        <v>1.6</v>
      </c>
      <c r="H87" t="n">
        <v>0</v>
      </c>
      <c r="I87" t="n">
        <v>0</v>
      </c>
      <c r="J87" t="n">
        <v>0</v>
      </c>
      <c r="K87" t="n">
        <v>0</v>
      </c>
      <c r="L87" t="n">
        <v>0</v>
      </c>
      <c r="M87" t="n">
        <v>0</v>
      </c>
      <c r="N87" t="n">
        <v>0</v>
      </c>
      <c r="O87" t="n">
        <v>0</v>
      </c>
      <c r="P87" t="n">
        <v>0</v>
      </c>
      <c r="Q87" t="n">
        <v>0</v>
      </c>
      <c r="R87" s="2" t="inlineStr"/>
    </row>
    <row r="88" ht="15" customHeight="1">
      <c r="A88" t="inlineStr">
        <is>
          <t>A 34104-2024</t>
        </is>
      </c>
      <c r="B88" s="1" t="n">
        <v>45523.79202546296</v>
      </c>
      <c r="C88" s="1" t="n">
        <v>45940</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3413-2023</t>
        </is>
      </c>
      <c r="B89" s="1" t="n">
        <v>44949</v>
      </c>
      <c r="C89" s="1" t="n">
        <v>45940</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3418-2023</t>
        </is>
      </c>
      <c r="B90" s="1" t="n">
        <v>44949.56182870371</v>
      </c>
      <c r="C90" s="1" t="n">
        <v>45940</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57473-2022</t>
        </is>
      </c>
      <c r="B91" s="1" t="n">
        <v>44896</v>
      </c>
      <c r="C91" s="1" t="n">
        <v>45940</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25849-2025</t>
        </is>
      </c>
      <c r="B92" s="1" t="n">
        <v>45804</v>
      </c>
      <c r="C92" s="1" t="n">
        <v>45940</v>
      </c>
      <c r="D92" t="inlineStr">
        <is>
          <t>VÄSTRA GÖTALANDS LÄN</t>
        </is>
      </c>
      <c r="E92" t="inlineStr">
        <is>
          <t>ALE</t>
        </is>
      </c>
      <c r="G92" t="n">
        <v>0.8</v>
      </c>
      <c r="H92" t="n">
        <v>0</v>
      </c>
      <c r="I92" t="n">
        <v>0</v>
      </c>
      <c r="J92" t="n">
        <v>0</v>
      </c>
      <c r="K92" t="n">
        <v>0</v>
      </c>
      <c r="L92" t="n">
        <v>0</v>
      </c>
      <c r="M92" t="n">
        <v>0</v>
      </c>
      <c r="N92" t="n">
        <v>0</v>
      </c>
      <c r="O92" t="n">
        <v>0</v>
      </c>
      <c r="P92" t="n">
        <v>0</v>
      </c>
      <c r="Q92" t="n">
        <v>0</v>
      </c>
      <c r="R92" s="2" t="inlineStr"/>
    </row>
    <row r="93" ht="15" customHeight="1">
      <c r="A93" t="inlineStr">
        <is>
          <t>A 25848-2025</t>
        </is>
      </c>
      <c r="B93" s="1" t="n">
        <v>45804</v>
      </c>
      <c r="C93" s="1" t="n">
        <v>45940</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25840-2025</t>
        </is>
      </c>
      <c r="B94" s="1" t="n">
        <v>45804</v>
      </c>
      <c r="C94" s="1" t="n">
        <v>45940</v>
      </c>
      <c r="D94" t="inlineStr">
        <is>
          <t>VÄSTRA GÖTALANDS LÄN</t>
        </is>
      </c>
      <c r="E94" t="inlineStr">
        <is>
          <t>ALE</t>
        </is>
      </c>
      <c r="G94" t="n">
        <v>3.8</v>
      </c>
      <c r="H94" t="n">
        <v>0</v>
      </c>
      <c r="I94" t="n">
        <v>0</v>
      </c>
      <c r="J94" t="n">
        <v>0</v>
      </c>
      <c r="K94" t="n">
        <v>0</v>
      </c>
      <c r="L94" t="n">
        <v>0</v>
      </c>
      <c r="M94" t="n">
        <v>0</v>
      </c>
      <c r="N94" t="n">
        <v>0</v>
      </c>
      <c r="O94" t="n">
        <v>0</v>
      </c>
      <c r="P94" t="n">
        <v>0</v>
      </c>
      <c r="Q94" t="n">
        <v>0</v>
      </c>
      <c r="R94" s="2" t="inlineStr"/>
    </row>
    <row r="95" ht="15" customHeight="1">
      <c r="A95" t="inlineStr">
        <is>
          <t>A 26157-2023</t>
        </is>
      </c>
      <c r="B95" s="1" t="n">
        <v>45091.50479166667</v>
      </c>
      <c r="C95" s="1" t="n">
        <v>45940</v>
      </c>
      <c r="D95" t="inlineStr">
        <is>
          <t>VÄSTRA GÖTALANDS LÄN</t>
        </is>
      </c>
      <c r="E95" t="inlineStr">
        <is>
          <t>ALE</t>
        </is>
      </c>
      <c r="G95" t="n">
        <v>2.6</v>
      </c>
      <c r="H95" t="n">
        <v>0</v>
      </c>
      <c r="I95" t="n">
        <v>0</v>
      </c>
      <c r="J95" t="n">
        <v>0</v>
      </c>
      <c r="K95" t="n">
        <v>0</v>
      </c>
      <c r="L95" t="n">
        <v>0</v>
      </c>
      <c r="M95" t="n">
        <v>0</v>
      </c>
      <c r="N95" t="n">
        <v>0</v>
      </c>
      <c r="O95" t="n">
        <v>0</v>
      </c>
      <c r="P95" t="n">
        <v>0</v>
      </c>
      <c r="Q95" t="n">
        <v>0</v>
      </c>
      <c r="R95" s="2" t="inlineStr"/>
    </row>
    <row r="96" ht="15" customHeight="1">
      <c r="A96" t="inlineStr">
        <is>
          <t>A 47087-2023</t>
        </is>
      </c>
      <c r="B96" s="1" t="n">
        <v>45196</v>
      </c>
      <c r="C96" s="1" t="n">
        <v>45940</v>
      </c>
      <c r="D96" t="inlineStr">
        <is>
          <t>VÄSTRA GÖTALANDS LÄN</t>
        </is>
      </c>
      <c r="E96" t="inlineStr">
        <is>
          <t>ALE</t>
        </is>
      </c>
      <c r="G96" t="n">
        <v>1.6</v>
      </c>
      <c r="H96" t="n">
        <v>0</v>
      </c>
      <c r="I96" t="n">
        <v>0</v>
      </c>
      <c r="J96" t="n">
        <v>0</v>
      </c>
      <c r="K96" t="n">
        <v>0</v>
      </c>
      <c r="L96" t="n">
        <v>0</v>
      </c>
      <c r="M96" t="n">
        <v>0</v>
      </c>
      <c r="N96" t="n">
        <v>0</v>
      </c>
      <c r="O96" t="n">
        <v>0</v>
      </c>
      <c r="P96" t="n">
        <v>0</v>
      </c>
      <c r="Q96" t="n">
        <v>0</v>
      </c>
      <c r="R96" s="2" t="inlineStr"/>
    </row>
    <row r="97" ht="15" customHeight="1">
      <c r="A97" t="inlineStr">
        <is>
          <t>A 18637-2023</t>
        </is>
      </c>
      <c r="B97" s="1" t="n">
        <v>45043</v>
      </c>
      <c r="C97" s="1" t="n">
        <v>45940</v>
      </c>
      <c r="D97" t="inlineStr">
        <is>
          <t>VÄSTRA GÖTALANDS LÄN</t>
        </is>
      </c>
      <c r="E97" t="inlineStr">
        <is>
          <t>ALE</t>
        </is>
      </c>
      <c r="G97" t="n">
        <v>3.6</v>
      </c>
      <c r="H97" t="n">
        <v>0</v>
      </c>
      <c r="I97" t="n">
        <v>0</v>
      </c>
      <c r="J97" t="n">
        <v>0</v>
      </c>
      <c r="K97" t="n">
        <v>0</v>
      </c>
      <c r="L97" t="n">
        <v>0</v>
      </c>
      <c r="M97" t="n">
        <v>0</v>
      </c>
      <c r="N97" t="n">
        <v>0</v>
      </c>
      <c r="O97" t="n">
        <v>0</v>
      </c>
      <c r="P97" t="n">
        <v>0</v>
      </c>
      <c r="Q97" t="n">
        <v>0</v>
      </c>
      <c r="R97" s="2" t="inlineStr"/>
    </row>
    <row r="98" ht="15" customHeight="1">
      <c r="A98" t="inlineStr">
        <is>
          <t>A 27314-2021</t>
        </is>
      </c>
      <c r="B98" s="1" t="n">
        <v>44351.36537037037</v>
      </c>
      <c r="C98" s="1" t="n">
        <v>45940</v>
      </c>
      <c r="D98" t="inlineStr">
        <is>
          <t>VÄSTRA GÖTALANDS LÄN</t>
        </is>
      </c>
      <c r="E98" t="inlineStr">
        <is>
          <t>ALE</t>
        </is>
      </c>
      <c r="G98" t="n">
        <v>11.3</v>
      </c>
      <c r="H98" t="n">
        <v>0</v>
      </c>
      <c r="I98" t="n">
        <v>0</v>
      </c>
      <c r="J98" t="n">
        <v>0</v>
      </c>
      <c r="K98" t="n">
        <v>0</v>
      </c>
      <c r="L98" t="n">
        <v>0</v>
      </c>
      <c r="M98" t="n">
        <v>0</v>
      </c>
      <c r="N98" t="n">
        <v>0</v>
      </c>
      <c r="O98" t="n">
        <v>0</v>
      </c>
      <c r="P98" t="n">
        <v>0</v>
      </c>
      <c r="Q98" t="n">
        <v>0</v>
      </c>
      <c r="R98" s="2" t="inlineStr"/>
    </row>
    <row r="99" ht="15" customHeight="1">
      <c r="A99" t="inlineStr">
        <is>
          <t>A 59933-2023</t>
        </is>
      </c>
      <c r="B99" s="1" t="n">
        <v>45257</v>
      </c>
      <c r="C99" s="1" t="n">
        <v>45940</v>
      </c>
      <c r="D99" t="inlineStr">
        <is>
          <t>VÄSTRA GÖTALANDS LÄN</t>
        </is>
      </c>
      <c r="E99" t="inlineStr">
        <is>
          <t>ALE</t>
        </is>
      </c>
      <c r="G99" t="n">
        <v>2.7</v>
      </c>
      <c r="H99" t="n">
        <v>0</v>
      </c>
      <c r="I99" t="n">
        <v>0</v>
      </c>
      <c r="J99" t="n">
        <v>0</v>
      </c>
      <c r="K99" t="n">
        <v>0</v>
      </c>
      <c r="L99" t="n">
        <v>0</v>
      </c>
      <c r="M99" t="n">
        <v>0</v>
      </c>
      <c r="N99" t="n">
        <v>0</v>
      </c>
      <c r="O99" t="n">
        <v>0</v>
      </c>
      <c r="P99" t="n">
        <v>0</v>
      </c>
      <c r="Q99" t="n">
        <v>0</v>
      </c>
      <c r="R99" s="2" t="inlineStr"/>
    </row>
    <row r="100" ht="15" customHeight="1">
      <c r="A100" t="inlineStr">
        <is>
          <t>A 35959-2022</t>
        </is>
      </c>
      <c r="B100" s="1" t="n">
        <v>44802.57002314815</v>
      </c>
      <c r="C100" s="1" t="n">
        <v>45940</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14493-2024</t>
        </is>
      </c>
      <c r="B101" s="1" t="n">
        <v>45394.58491898148</v>
      </c>
      <c r="C101" s="1" t="n">
        <v>45940</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1500-2024</t>
        </is>
      </c>
      <c r="B102" s="1" t="n">
        <v>45306</v>
      </c>
      <c r="C102" s="1" t="n">
        <v>45940</v>
      </c>
      <c r="D102" t="inlineStr">
        <is>
          <t>VÄSTRA GÖTALANDS LÄN</t>
        </is>
      </c>
      <c r="E102" t="inlineStr">
        <is>
          <t>ALE</t>
        </is>
      </c>
      <c r="G102" t="n">
        <v>1.3</v>
      </c>
      <c r="H102" t="n">
        <v>0</v>
      </c>
      <c r="I102" t="n">
        <v>0</v>
      </c>
      <c r="J102" t="n">
        <v>0</v>
      </c>
      <c r="K102" t="n">
        <v>0</v>
      </c>
      <c r="L102" t="n">
        <v>0</v>
      </c>
      <c r="M102" t="n">
        <v>0</v>
      </c>
      <c r="N102" t="n">
        <v>0</v>
      </c>
      <c r="O102" t="n">
        <v>0</v>
      </c>
      <c r="P102" t="n">
        <v>0</v>
      </c>
      <c r="Q102" t="n">
        <v>0</v>
      </c>
      <c r="R102" s="2" t="inlineStr"/>
    </row>
    <row r="103" ht="15" customHeight="1">
      <c r="A103" t="inlineStr">
        <is>
          <t>A 5875-2023</t>
        </is>
      </c>
      <c r="B103" s="1" t="n">
        <v>44963</v>
      </c>
      <c r="C103" s="1" t="n">
        <v>45940</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1687-2024</t>
        </is>
      </c>
      <c r="B104" s="1" t="n">
        <v>45306</v>
      </c>
      <c r="C104" s="1" t="n">
        <v>45940</v>
      </c>
      <c r="D104" t="inlineStr">
        <is>
          <t>VÄSTRA GÖTALANDS LÄN</t>
        </is>
      </c>
      <c r="E104" t="inlineStr">
        <is>
          <t>ALE</t>
        </is>
      </c>
      <c r="G104" t="n">
        <v>3.4</v>
      </c>
      <c r="H104" t="n">
        <v>0</v>
      </c>
      <c r="I104" t="n">
        <v>0</v>
      </c>
      <c r="J104" t="n">
        <v>0</v>
      </c>
      <c r="K104" t="n">
        <v>0</v>
      </c>
      <c r="L104" t="n">
        <v>0</v>
      </c>
      <c r="M104" t="n">
        <v>0</v>
      </c>
      <c r="N104" t="n">
        <v>0</v>
      </c>
      <c r="O104" t="n">
        <v>0</v>
      </c>
      <c r="P104" t="n">
        <v>0</v>
      </c>
      <c r="Q104" t="n">
        <v>0</v>
      </c>
      <c r="R104" s="2" t="inlineStr"/>
    </row>
    <row r="105" ht="15" customHeight="1">
      <c r="A105" t="inlineStr">
        <is>
          <t>A 8659-2025</t>
        </is>
      </c>
      <c r="B105" s="1" t="n">
        <v>45712</v>
      </c>
      <c r="C105" s="1" t="n">
        <v>45940</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5344-2024</t>
        </is>
      </c>
      <c r="B106" s="1" t="n">
        <v>45331</v>
      </c>
      <c r="C106" s="1" t="n">
        <v>45940</v>
      </c>
      <c r="D106" t="inlineStr">
        <is>
          <t>VÄSTRA GÖTALANDS LÄN</t>
        </is>
      </c>
      <c r="E106" t="inlineStr">
        <is>
          <t>ALE</t>
        </is>
      </c>
      <c r="G106" t="n">
        <v>2.5</v>
      </c>
      <c r="H106" t="n">
        <v>0</v>
      </c>
      <c r="I106" t="n">
        <v>0</v>
      </c>
      <c r="J106" t="n">
        <v>0</v>
      </c>
      <c r="K106" t="n">
        <v>0</v>
      </c>
      <c r="L106" t="n">
        <v>0</v>
      </c>
      <c r="M106" t="n">
        <v>0</v>
      </c>
      <c r="N106" t="n">
        <v>0</v>
      </c>
      <c r="O106" t="n">
        <v>0</v>
      </c>
      <c r="P106" t="n">
        <v>0</v>
      </c>
      <c r="Q106" t="n">
        <v>0</v>
      </c>
      <c r="R106" s="2" t="inlineStr"/>
    </row>
    <row r="107" ht="15" customHeight="1">
      <c r="A107" t="inlineStr">
        <is>
          <t>A 64199-2021</t>
        </is>
      </c>
      <c r="B107" s="1" t="n">
        <v>44510</v>
      </c>
      <c r="C107" s="1" t="n">
        <v>45940</v>
      </c>
      <c r="D107" t="inlineStr">
        <is>
          <t>VÄSTRA GÖTALANDS LÄN</t>
        </is>
      </c>
      <c r="E107" t="inlineStr">
        <is>
          <t>ALE</t>
        </is>
      </c>
      <c r="G107" t="n">
        <v>5.7</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45940</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13426-2025</t>
        </is>
      </c>
      <c r="B109" s="1" t="n">
        <v>45736.32780092592</v>
      </c>
      <c r="C109" s="1" t="n">
        <v>45940</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45735.67928240741</v>
      </c>
      <c r="C110" s="1" t="n">
        <v>45940</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67160-2021</t>
        </is>
      </c>
      <c r="B111" s="1" t="n">
        <v>44523</v>
      </c>
      <c r="C111" s="1" t="n">
        <v>45940</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13903-2025</t>
        </is>
      </c>
      <c r="B112" s="1" t="n">
        <v>45737.63481481482</v>
      </c>
      <c r="C112" s="1" t="n">
        <v>45940</v>
      </c>
      <c r="D112" t="inlineStr">
        <is>
          <t>VÄSTRA GÖTALANDS LÄN</t>
        </is>
      </c>
      <c r="E112" t="inlineStr">
        <is>
          <t>ALE</t>
        </is>
      </c>
      <c r="G112" t="n">
        <v>0.5</v>
      </c>
      <c r="H112" t="n">
        <v>0</v>
      </c>
      <c r="I112" t="n">
        <v>0</v>
      </c>
      <c r="J112" t="n">
        <v>0</v>
      </c>
      <c r="K112" t="n">
        <v>0</v>
      </c>
      <c r="L112" t="n">
        <v>0</v>
      </c>
      <c r="M112" t="n">
        <v>0</v>
      </c>
      <c r="N112" t="n">
        <v>0</v>
      </c>
      <c r="O112" t="n">
        <v>0</v>
      </c>
      <c r="P112" t="n">
        <v>0</v>
      </c>
      <c r="Q112" t="n">
        <v>0</v>
      </c>
      <c r="R112" s="2" t="inlineStr"/>
    </row>
    <row r="113" ht="15" customHeight="1">
      <c r="A113" t="inlineStr">
        <is>
          <t>A 46226-2025</t>
        </is>
      </c>
      <c r="B113" s="1" t="n">
        <v>45924</v>
      </c>
      <c r="C113" s="1" t="n">
        <v>45940</v>
      </c>
      <c r="D113" t="inlineStr">
        <is>
          <t>VÄSTRA GÖTALANDS LÄN</t>
        </is>
      </c>
      <c r="E113" t="inlineStr">
        <is>
          <t>ALE</t>
        </is>
      </c>
      <c r="G113" t="n">
        <v>2.3</v>
      </c>
      <c r="H113" t="n">
        <v>0</v>
      </c>
      <c r="I113" t="n">
        <v>0</v>
      </c>
      <c r="J113" t="n">
        <v>0</v>
      </c>
      <c r="K113" t="n">
        <v>0</v>
      </c>
      <c r="L113" t="n">
        <v>0</v>
      </c>
      <c r="M113" t="n">
        <v>0</v>
      </c>
      <c r="N113" t="n">
        <v>0</v>
      </c>
      <c r="O113" t="n">
        <v>0</v>
      </c>
      <c r="P113" t="n">
        <v>0</v>
      </c>
      <c r="Q113" t="n">
        <v>0</v>
      </c>
      <c r="R113" s="2" t="inlineStr"/>
    </row>
    <row r="114" ht="15" customHeight="1">
      <c r="A114" t="inlineStr">
        <is>
          <t>A 31407-2025</t>
        </is>
      </c>
      <c r="B114" s="1" t="n">
        <v>45833</v>
      </c>
      <c r="C114" s="1" t="n">
        <v>45940</v>
      </c>
      <c r="D114" t="inlineStr">
        <is>
          <t>VÄSTRA GÖTALANDS LÄN</t>
        </is>
      </c>
      <c r="E114" t="inlineStr">
        <is>
          <t>ALE</t>
        </is>
      </c>
      <c r="G114" t="n">
        <v>0.8</v>
      </c>
      <c r="H114" t="n">
        <v>0</v>
      </c>
      <c r="I114" t="n">
        <v>0</v>
      </c>
      <c r="J114" t="n">
        <v>0</v>
      </c>
      <c r="K114" t="n">
        <v>0</v>
      </c>
      <c r="L114" t="n">
        <v>0</v>
      </c>
      <c r="M114" t="n">
        <v>0</v>
      </c>
      <c r="N114" t="n">
        <v>0</v>
      </c>
      <c r="O114" t="n">
        <v>0</v>
      </c>
      <c r="P114" t="n">
        <v>0</v>
      </c>
      <c r="Q114" t="n">
        <v>0</v>
      </c>
      <c r="R114" s="2" t="inlineStr"/>
    </row>
    <row r="115" ht="15" customHeight="1">
      <c r="A115" t="inlineStr">
        <is>
          <t>A 31409-2025</t>
        </is>
      </c>
      <c r="B115" s="1" t="n">
        <v>45833</v>
      </c>
      <c r="C115" s="1" t="n">
        <v>45940</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49955-2021</t>
        </is>
      </c>
      <c r="B116" s="1" t="n">
        <v>44456</v>
      </c>
      <c r="C116" s="1" t="n">
        <v>45940</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14458-2024</t>
        </is>
      </c>
      <c r="B117" s="1" t="n">
        <v>45394</v>
      </c>
      <c r="C117" s="1" t="n">
        <v>45940</v>
      </c>
      <c r="D117" t="inlineStr">
        <is>
          <t>VÄSTRA GÖTALANDS LÄN</t>
        </is>
      </c>
      <c r="E117" t="inlineStr">
        <is>
          <t>ALE</t>
        </is>
      </c>
      <c r="G117" t="n">
        <v>0.5</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45940</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31533-2025</t>
        </is>
      </c>
      <c r="B119" s="1" t="n">
        <v>45833</v>
      </c>
      <c r="C119" s="1" t="n">
        <v>45940</v>
      </c>
      <c r="D119" t="inlineStr">
        <is>
          <t>VÄSTRA GÖTALANDS LÄN</t>
        </is>
      </c>
      <c r="E119" t="inlineStr">
        <is>
          <t>ALE</t>
        </is>
      </c>
      <c r="G119" t="n">
        <v>1.6</v>
      </c>
      <c r="H119" t="n">
        <v>0</v>
      </c>
      <c r="I119" t="n">
        <v>0</v>
      </c>
      <c r="J119" t="n">
        <v>0</v>
      </c>
      <c r="K119" t="n">
        <v>0</v>
      </c>
      <c r="L119" t="n">
        <v>0</v>
      </c>
      <c r="M119" t="n">
        <v>0</v>
      </c>
      <c r="N119" t="n">
        <v>0</v>
      </c>
      <c r="O119" t="n">
        <v>0</v>
      </c>
      <c r="P119" t="n">
        <v>0</v>
      </c>
      <c r="Q119" t="n">
        <v>0</v>
      </c>
      <c r="R119" s="2" t="inlineStr"/>
    </row>
    <row r="120" ht="15" customHeight="1">
      <c r="A120" t="inlineStr">
        <is>
          <t>A 42446-2023</t>
        </is>
      </c>
      <c r="B120" s="1" t="n">
        <v>45180</v>
      </c>
      <c r="C120" s="1" t="n">
        <v>45940</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3520-2022</t>
        </is>
      </c>
      <c r="B121" s="1" t="n">
        <v>44585.72818287037</v>
      </c>
      <c r="C121" s="1" t="n">
        <v>45940</v>
      </c>
      <c r="D121" t="inlineStr">
        <is>
          <t>VÄSTRA GÖTALANDS LÄN</t>
        </is>
      </c>
      <c r="E121" t="inlineStr">
        <is>
          <t>ALE</t>
        </is>
      </c>
      <c r="G121" t="n">
        <v>2.3</v>
      </c>
      <c r="H121" t="n">
        <v>0</v>
      </c>
      <c r="I121" t="n">
        <v>0</v>
      </c>
      <c r="J121" t="n">
        <v>0</v>
      </c>
      <c r="K121" t="n">
        <v>0</v>
      </c>
      <c r="L121" t="n">
        <v>0</v>
      </c>
      <c r="M121" t="n">
        <v>0</v>
      </c>
      <c r="N121" t="n">
        <v>0</v>
      </c>
      <c r="O121" t="n">
        <v>0</v>
      </c>
      <c r="P121" t="n">
        <v>0</v>
      </c>
      <c r="Q121" t="n">
        <v>0</v>
      </c>
      <c r="R121" s="2" t="inlineStr"/>
    </row>
    <row r="122" ht="15" customHeight="1">
      <c r="A122" t="inlineStr">
        <is>
          <t>A 65226-2021</t>
        </is>
      </c>
      <c r="B122" s="1" t="n">
        <v>44515</v>
      </c>
      <c r="C122" s="1" t="n">
        <v>45940</v>
      </c>
      <c r="D122" t="inlineStr">
        <is>
          <t>VÄSTRA GÖTALANDS LÄN</t>
        </is>
      </c>
      <c r="E122" t="inlineStr">
        <is>
          <t>ALE</t>
        </is>
      </c>
      <c r="G122" t="n">
        <v>0.7</v>
      </c>
      <c r="H122" t="n">
        <v>0</v>
      </c>
      <c r="I122" t="n">
        <v>0</v>
      </c>
      <c r="J122" t="n">
        <v>0</v>
      </c>
      <c r="K122" t="n">
        <v>0</v>
      </c>
      <c r="L122" t="n">
        <v>0</v>
      </c>
      <c r="M122" t="n">
        <v>0</v>
      </c>
      <c r="N122" t="n">
        <v>0</v>
      </c>
      <c r="O122" t="n">
        <v>0</v>
      </c>
      <c r="P122" t="n">
        <v>0</v>
      </c>
      <c r="Q122" t="n">
        <v>0</v>
      </c>
      <c r="R122" s="2" t="inlineStr"/>
    </row>
    <row r="123" ht="15" customHeight="1">
      <c r="A123" t="inlineStr">
        <is>
          <t>A 33237-2024</t>
        </is>
      </c>
      <c r="B123" s="1" t="n">
        <v>45518.59173611111</v>
      </c>
      <c r="C123" s="1" t="n">
        <v>45940</v>
      </c>
      <c r="D123" t="inlineStr">
        <is>
          <t>VÄSTRA GÖTALANDS LÄN</t>
        </is>
      </c>
      <c r="E123" t="inlineStr">
        <is>
          <t>ALE</t>
        </is>
      </c>
      <c r="G123" t="n">
        <v>0.6</v>
      </c>
      <c r="H123" t="n">
        <v>0</v>
      </c>
      <c r="I123" t="n">
        <v>0</v>
      </c>
      <c r="J123" t="n">
        <v>0</v>
      </c>
      <c r="K123" t="n">
        <v>0</v>
      </c>
      <c r="L123" t="n">
        <v>0</v>
      </c>
      <c r="M123" t="n">
        <v>0</v>
      </c>
      <c r="N123" t="n">
        <v>0</v>
      </c>
      <c r="O123" t="n">
        <v>0</v>
      </c>
      <c r="P123" t="n">
        <v>0</v>
      </c>
      <c r="Q123" t="n">
        <v>0</v>
      </c>
      <c r="R123" s="2" t="inlineStr"/>
    </row>
    <row r="124" ht="15" customHeight="1">
      <c r="A124" t="inlineStr">
        <is>
          <t>A 12055-2022</t>
        </is>
      </c>
      <c r="B124" s="1" t="n">
        <v>44636</v>
      </c>
      <c r="C124" s="1" t="n">
        <v>45940</v>
      </c>
      <c r="D124" t="inlineStr">
        <is>
          <t>VÄSTRA GÖTALANDS LÄN</t>
        </is>
      </c>
      <c r="E124" t="inlineStr">
        <is>
          <t>ALE</t>
        </is>
      </c>
      <c r="G124" t="n">
        <v>0.2</v>
      </c>
      <c r="H124" t="n">
        <v>0</v>
      </c>
      <c r="I124" t="n">
        <v>0</v>
      </c>
      <c r="J124" t="n">
        <v>0</v>
      </c>
      <c r="K124" t="n">
        <v>0</v>
      </c>
      <c r="L124" t="n">
        <v>0</v>
      </c>
      <c r="M124" t="n">
        <v>0</v>
      </c>
      <c r="N124" t="n">
        <v>0</v>
      </c>
      <c r="O124" t="n">
        <v>0</v>
      </c>
      <c r="P124" t="n">
        <v>0</v>
      </c>
      <c r="Q124" t="n">
        <v>0</v>
      </c>
      <c r="R124" s="2" t="inlineStr"/>
    </row>
    <row r="125" ht="15" customHeight="1">
      <c r="A125" t="inlineStr">
        <is>
          <t>A 18999-2021</t>
        </is>
      </c>
      <c r="B125" s="1" t="n">
        <v>44308</v>
      </c>
      <c r="C125" s="1" t="n">
        <v>45940</v>
      </c>
      <c r="D125" t="inlineStr">
        <is>
          <t>VÄSTRA GÖTALANDS LÄN</t>
        </is>
      </c>
      <c r="E125" t="inlineStr">
        <is>
          <t>ALE</t>
        </is>
      </c>
      <c r="G125" t="n">
        <v>3.7</v>
      </c>
      <c r="H125" t="n">
        <v>0</v>
      </c>
      <c r="I125" t="n">
        <v>0</v>
      </c>
      <c r="J125" t="n">
        <v>0</v>
      </c>
      <c r="K125" t="n">
        <v>0</v>
      </c>
      <c r="L125" t="n">
        <v>0</v>
      </c>
      <c r="M125" t="n">
        <v>0</v>
      </c>
      <c r="N125" t="n">
        <v>0</v>
      </c>
      <c r="O125" t="n">
        <v>0</v>
      </c>
      <c r="P125" t="n">
        <v>0</v>
      </c>
      <c r="Q125" t="n">
        <v>0</v>
      </c>
      <c r="R125" s="2" t="inlineStr"/>
    </row>
    <row r="126" ht="15" customHeight="1">
      <c r="A126" t="inlineStr">
        <is>
          <t>A 17044-2025</t>
        </is>
      </c>
      <c r="B126" s="1" t="n">
        <v>45755.58891203703</v>
      </c>
      <c r="C126" s="1" t="n">
        <v>45940</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47330-2025</t>
        </is>
      </c>
      <c r="B127" s="1" t="n">
        <v>45930.56170138889</v>
      </c>
      <c r="C127" s="1" t="n">
        <v>45940</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47593-2025</t>
        </is>
      </c>
      <c r="B128" s="1" t="n">
        <v>45931.4480787037</v>
      </c>
      <c r="C128" s="1" t="n">
        <v>45940</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47592-2025</t>
        </is>
      </c>
      <c r="B129" s="1" t="n">
        <v>45931.44649305556</v>
      </c>
      <c r="C129" s="1" t="n">
        <v>45940</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36763-2022</t>
        </is>
      </c>
      <c r="B130" s="1" t="n">
        <v>44805</v>
      </c>
      <c r="C130" s="1" t="n">
        <v>45940</v>
      </c>
      <c r="D130" t="inlineStr">
        <is>
          <t>VÄSTRA GÖTALANDS LÄN</t>
        </is>
      </c>
      <c r="E130" t="inlineStr">
        <is>
          <t>ALE</t>
        </is>
      </c>
      <c r="G130" t="n">
        <v>6.1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45940</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47728-2025</t>
        </is>
      </c>
      <c r="B132" s="1" t="n">
        <v>45931.63186342592</v>
      </c>
      <c r="C132" s="1" t="n">
        <v>45940</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3407-2023</t>
        </is>
      </c>
      <c r="B133" s="1" t="n">
        <v>44949.54909722223</v>
      </c>
      <c r="C133" s="1" t="n">
        <v>45940</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45940</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36403-2024</t>
        </is>
      </c>
      <c r="B135" s="1" t="n">
        <v>45535.69445601852</v>
      </c>
      <c r="C135" s="1" t="n">
        <v>45940</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15241-2025</t>
        </is>
      </c>
      <c r="B136" s="1" t="n">
        <v>45744.61255787037</v>
      </c>
      <c r="C136" s="1" t="n">
        <v>45940</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200-2022</t>
        </is>
      </c>
      <c r="B137" s="1" t="n">
        <v>44564</v>
      </c>
      <c r="C137" s="1" t="n">
        <v>45940</v>
      </c>
      <c r="D137" t="inlineStr">
        <is>
          <t>VÄSTRA GÖTALANDS LÄN</t>
        </is>
      </c>
      <c r="E137" t="inlineStr">
        <is>
          <t>ALE</t>
        </is>
      </c>
      <c r="G137" t="n">
        <v>6.8</v>
      </c>
      <c r="H137" t="n">
        <v>0</v>
      </c>
      <c r="I137" t="n">
        <v>0</v>
      </c>
      <c r="J137" t="n">
        <v>0</v>
      </c>
      <c r="K137" t="n">
        <v>0</v>
      </c>
      <c r="L137" t="n">
        <v>0</v>
      </c>
      <c r="M137" t="n">
        <v>0</v>
      </c>
      <c r="N137" t="n">
        <v>0</v>
      </c>
      <c r="O137" t="n">
        <v>0</v>
      </c>
      <c r="P137" t="n">
        <v>0</v>
      </c>
      <c r="Q137" t="n">
        <v>0</v>
      </c>
      <c r="R137" s="2" t="inlineStr"/>
    </row>
    <row r="138" ht="15" customHeight="1">
      <c r="A138" t="inlineStr">
        <is>
          <t>A 40074-2025</t>
        </is>
      </c>
      <c r="B138" s="1" t="n">
        <v>45894.44685185186</v>
      </c>
      <c r="C138" s="1" t="n">
        <v>45940</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49680-2024</t>
        </is>
      </c>
      <c r="B139" s="1" t="n">
        <v>45596.66880787037</v>
      </c>
      <c r="C139" s="1" t="n">
        <v>45940</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34153-2024</t>
        </is>
      </c>
      <c r="B140" s="1" t="n">
        <v>45524.38400462963</v>
      </c>
      <c r="C140" s="1" t="n">
        <v>45940</v>
      </c>
      <c r="D140" t="inlineStr">
        <is>
          <t>VÄSTRA GÖTALANDS LÄN</t>
        </is>
      </c>
      <c r="E140" t="inlineStr">
        <is>
          <t>ALE</t>
        </is>
      </c>
      <c r="G140" t="n">
        <v>0.8</v>
      </c>
      <c r="H140" t="n">
        <v>0</v>
      </c>
      <c r="I140" t="n">
        <v>0</v>
      </c>
      <c r="J140" t="n">
        <v>0</v>
      </c>
      <c r="K140" t="n">
        <v>0</v>
      </c>
      <c r="L140" t="n">
        <v>0</v>
      </c>
      <c r="M140" t="n">
        <v>0</v>
      </c>
      <c r="N140" t="n">
        <v>0</v>
      </c>
      <c r="O140" t="n">
        <v>0</v>
      </c>
      <c r="P140" t="n">
        <v>0</v>
      </c>
      <c r="Q140" t="n">
        <v>0</v>
      </c>
      <c r="R140" s="2" t="inlineStr"/>
    </row>
    <row r="141" ht="15" customHeight="1">
      <c r="A141" t="inlineStr">
        <is>
          <t>A 14731-2022</t>
        </is>
      </c>
      <c r="B141" s="1" t="n">
        <v>44656</v>
      </c>
      <c r="C141" s="1" t="n">
        <v>45940</v>
      </c>
      <c r="D141" t="inlineStr">
        <is>
          <t>VÄSTRA GÖTALANDS LÄN</t>
        </is>
      </c>
      <c r="E141" t="inlineStr">
        <is>
          <t>ALE</t>
        </is>
      </c>
      <c r="G141" t="n">
        <v>1.8</v>
      </c>
      <c r="H141" t="n">
        <v>0</v>
      </c>
      <c r="I141" t="n">
        <v>0</v>
      </c>
      <c r="J141" t="n">
        <v>0</v>
      </c>
      <c r="K141" t="n">
        <v>0</v>
      </c>
      <c r="L141" t="n">
        <v>0</v>
      </c>
      <c r="M141" t="n">
        <v>0</v>
      </c>
      <c r="N141" t="n">
        <v>0</v>
      </c>
      <c r="O141" t="n">
        <v>0</v>
      </c>
      <c r="P141" t="n">
        <v>0</v>
      </c>
      <c r="Q141" t="n">
        <v>0</v>
      </c>
      <c r="R141" s="2" t="inlineStr"/>
    </row>
    <row r="142" ht="15" customHeight="1">
      <c r="A142" t="inlineStr">
        <is>
          <t>A 15582-2025</t>
        </is>
      </c>
      <c r="B142" s="1" t="n">
        <v>45747.81394675926</v>
      </c>
      <c r="C142" s="1" t="n">
        <v>45940</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7892-2024</t>
        </is>
      </c>
      <c r="B143" s="1" t="n">
        <v>45350.40921296296</v>
      </c>
      <c r="C143" s="1" t="n">
        <v>45940</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48213-2025</t>
        </is>
      </c>
      <c r="B144" s="1" t="n">
        <v>45933</v>
      </c>
      <c r="C144" s="1" t="n">
        <v>45940</v>
      </c>
      <c r="D144" t="inlineStr">
        <is>
          <t>VÄSTRA GÖTALANDS LÄN</t>
        </is>
      </c>
      <c r="E144" t="inlineStr">
        <is>
          <t>ALE</t>
        </is>
      </c>
      <c r="G144" t="n">
        <v>3.3</v>
      </c>
      <c r="H144" t="n">
        <v>0</v>
      </c>
      <c r="I144" t="n">
        <v>0</v>
      </c>
      <c r="J144" t="n">
        <v>0</v>
      </c>
      <c r="K144" t="n">
        <v>0</v>
      </c>
      <c r="L144" t="n">
        <v>0</v>
      </c>
      <c r="M144" t="n">
        <v>0</v>
      </c>
      <c r="N144" t="n">
        <v>0</v>
      </c>
      <c r="O144" t="n">
        <v>0</v>
      </c>
      <c r="P144" t="n">
        <v>0</v>
      </c>
      <c r="Q144" t="n">
        <v>0</v>
      </c>
      <c r="R144" s="2" t="inlineStr"/>
    </row>
    <row r="145" ht="15" customHeight="1">
      <c r="A145" t="inlineStr">
        <is>
          <t>A 48218-2025</t>
        </is>
      </c>
      <c r="B145" s="1" t="n">
        <v>45933</v>
      </c>
      <c r="C145" s="1" t="n">
        <v>45940</v>
      </c>
      <c r="D145" t="inlineStr">
        <is>
          <t>VÄSTRA GÖTALANDS LÄN</t>
        </is>
      </c>
      <c r="E145" t="inlineStr">
        <is>
          <t>ALE</t>
        </is>
      </c>
      <c r="G145" t="n">
        <v>1.4</v>
      </c>
      <c r="H145" t="n">
        <v>0</v>
      </c>
      <c r="I145" t="n">
        <v>0</v>
      </c>
      <c r="J145" t="n">
        <v>0</v>
      </c>
      <c r="K145" t="n">
        <v>0</v>
      </c>
      <c r="L145" t="n">
        <v>0</v>
      </c>
      <c r="M145" t="n">
        <v>0</v>
      </c>
      <c r="N145" t="n">
        <v>0</v>
      </c>
      <c r="O145" t="n">
        <v>0</v>
      </c>
      <c r="P145" t="n">
        <v>0</v>
      </c>
      <c r="Q145" t="n">
        <v>0</v>
      </c>
      <c r="R145" s="2" t="inlineStr"/>
    </row>
    <row r="146" ht="15" customHeight="1">
      <c r="A146" t="inlineStr">
        <is>
          <t>A 41598-2022</t>
        </is>
      </c>
      <c r="B146" s="1" t="n">
        <v>44827.4609837963</v>
      </c>
      <c r="C146" s="1" t="n">
        <v>45940</v>
      </c>
      <c r="D146" t="inlineStr">
        <is>
          <t>VÄSTRA GÖTALANDS LÄN</t>
        </is>
      </c>
      <c r="E146" t="inlineStr">
        <is>
          <t>ALE</t>
        </is>
      </c>
      <c r="G146" t="n">
        <v>2</v>
      </c>
      <c r="H146" t="n">
        <v>0</v>
      </c>
      <c r="I146" t="n">
        <v>0</v>
      </c>
      <c r="J146" t="n">
        <v>0</v>
      </c>
      <c r="K146" t="n">
        <v>0</v>
      </c>
      <c r="L146" t="n">
        <v>0</v>
      </c>
      <c r="M146" t="n">
        <v>0</v>
      </c>
      <c r="N146" t="n">
        <v>0</v>
      </c>
      <c r="O146" t="n">
        <v>0</v>
      </c>
      <c r="P146" t="n">
        <v>0</v>
      </c>
      <c r="Q146" t="n">
        <v>0</v>
      </c>
      <c r="R146" s="2" t="inlineStr"/>
    </row>
    <row r="147" ht="15" customHeight="1">
      <c r="A147" t="inlineStr">
        <is>
          <t>A 6947-2024</t>
        </is>
      </c>
      <c r="B147" s="1" t="n">
        <v>45343</v>
      </c>
      <c r="C147" s="1" t="n">
        <v>45940</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4444-2024</t>
        </is>
      </c>
      <c r="B148" s="1" t="n">
        <v>45327</v>
      </c>
      <c r="C148" s="1" t="n">
        <v>45940</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4642-2024</t>
        </is>
      </c>
      <c r="B149" s="1" t="n">
        <v>45328.43502314815</v>
      </c>
      <c r="C149" s="1" t="n">
        <v>45940</v>
      </c>
      <c r="D149" t="inlineStr">
        <is>
          <t>VÄSTRA GÖTALANDS LÄN</t>
        </is>
      </c>
      <c r="E149" t="inlineStr">
        <is>
          <t>ALE</t>
        </is>
      </c>
      <c r="G149" t="n">
        <v>7.1</v>
      </c>
      <c r="H149" t="n">
        <v>0</v>
      </c>
      <c r="I149" t="n">
        <v>0</v>
      </c>
      <c r="J149" t="n">
        <v>0</v>
      </c>
      <c r="K149" t="n">
        <v>0</v>
      </c>
      <c r="L149" t="n">
        <v>0</v>
      </c>
      <c r="M149" t="n">
        <v>0</v>
      </c>
      <c r="N149" t="n">
        <v>0</v>
      </c>
      <c r="O149" t="n">
        <v>0</v>
      </c>
      <c r="P149" t="n">
        <v>0</v>
      </c>
      <c r="Q149" t="n">
        <v>0</v>
      </c>
      <c r="R149" s="2" t="inlineStr"/>
    </row>
    <row r="150" ht="15" customHeight="1">
      <c r="A150" t="inlineStr">
        <is>
          <t>A 69325-2020</t>
        </is>
      </c>
      <c r="B150" s="1" t="n">
        <v>44193</v>
      </c>
      <c r="C150" s="1" t="n">
        <v>45940</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43732-2025</t>
        </is>
      </c>
      <c r="B151" s="1" t="n">
        <v>45912.43576388889</v>
      </c>
      <c r="C151" s="1" t="n">
        <v>45940</v>
      </c>
      <c r="D151" t="inlineStr">
        <is>
          <t>VÄSTRA GÖTALANDS LÄN</t>
        </is>
      </c>
      <c r="E151" t="inlineStr">
        <is>
          <t>ALE</t>
        </is>
      </c>
      <c r="G151" t="n">
        <v>2.9</v>
      </c>
      <c r="H151" t="n">
        <v>0</v>
      </c>
      <c r="I151" t="n">
        <v>0</v>
      </c>
      <c r="J151" t="n">
        <v>0</v>
      </c>
      <c r="K151" t="n">
        <v>0</v>
      </c>
      <c r="L151" t="n">
        <v>0</v>
      </c>
      <c r="M151" t="n">
        <v>0</v>
      </c>
      <c r="N151" t="n">
        <v>0</v>
      </c>
      <c r="O151" t="n">
        <v>0</v>
      </c>
      <c r="P151" t="n">
        <v>0</v>
      </c>
      <c r="Q151" t="n">
        <v>0</v>
      </c>
      <c r="R151" s="2" t="inlineStr"/>
    </row>
    <row r="152" ht="15" customHeight="1">
      <c r="A152" t="inlineStr">
        <is>
          <t>A 72801-2021</t>
        </is>
      </c>
      <c r="B152" s="1" t="n">
        <v>44546</v>
      </c>
      <c r="C152" s="1" t="n">
        <v>45940</v>
      </c>
      <c r="D152" t="inlineStr">
        <is>
          <t>VÄSTRA GÖTALANDS LÄN</t>
        </is>
      </c>
      <c r="E152" t="inlineStr">
        <is>
          <t>ALE</t>
        </is>
      </c>
      <c r="F152" t="inlineStr">
        <is>
          <t>Naturvårdsverket</t>
        </is>
      </c>
      <c r="G152" t="n">
        <v>1.4</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45940</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46084-2025</t>
        </is>
      </c>
      <c r="B154" s="1" t="n">
        <v>45924.51282407407</v>
      </c>
      <c r="C154" s="1" t="n">
        <v>45940</v>
      </c>
      <c r="D154" t="inlineStr">
        <is>
          <t>VÄSTRA GÖTALANDS LÄN</t>
        </is>
      </c>
      <c r="E154" t="inlineStr">
        <is>
          <t>ALE</t>
        </is>
      </c>
      <c r="G154" t="n">
        <v>4.2</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45940</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46227-2025</t>
        </is>
      </c>
      <c r="B156" s="1" t="n">
        <v>45924.90386574074</v>
      </c>
      <c r="C156" s="1" t="n">
        <v>45940</v>
      </c>
      <c r="D156" t="inlineStr">
        <is>
          <t>VÄSTRA GÖTALANDS LÄN</t>
        </is>
      </c>
      <c r="E156" t="inlineStr">
        <is>
          <t>ALE</t>
        </is>
      </c>
      <c r="G156" t="n">
        <v>0.3</v>
      </c>
      <c r="H156" t="n">
        <v>0</v>
      </c>
      <c r="I156" t="n">
        <v>0</v>
      </c>
      <c r="J156" t="n">
        <v>0</v>
      </c>
      <c r="K156" t="n">
        <v>0</v>
      </c>
      <c r="L156" t="n">
        <v>0</v>
      </c>
      <c r="M156" t="n">
        <v>0</v>
      </c>
      <c r="N156" t="n">
        <v>0</v>
      </c>
      <c r="O156" t="n">
        <v>0</v>
      </c>
      <c r="P156" t="n">
        <v>0</v>
      </c>
      <c r="Q156" t="n">
        <v>0</v>
      </c>
      <c r="R156" s="2" t="inlineStr"/>
    </row>
    <row r="157" ht="15" customHeight="1">
      <c r="A157" t="inlineStr">
        <is>
          <t>A 5916-2023</t>
        </is>
      </c>
      <c r="B157" s="1" t="n">
        <v>44963</v>
      </c>
      <c r="C157" s="1" t="n">
        <v>45940</v>
      </c>
      <c r="D157" t="inlineStr">
        <is>
          <t>VÄSTRA GÖTALANDS LÄN</t>
        </is>
      </c>
      <c r="E157" t="inlineStr">
        <is>
          <t>ALE</t>
        </is>
      </c>
      <c r="G157" t="n">
        <v>4.2</v>
      </c>
      <c r="H157" t="n">
        <v>0</v>
      </c>
      <c r="I157" t="n">
        <v>0</v>
      </c>
      <c r="J157" t="n">
        <v>0</v>
      </c>
      <c r="K157" t="n">
        <v>0</v>
      </c>
      <c r="L157" t="n">
        <v>0</v>
      </c>
      <c r="M157" t="n">
        <v>0</v>
      </c>
      <c r="N157" t="n">
        <v>0</v>
      </c>
      <c r="O157" t="n">
        <v>0</v>
      </c>
      <c r="P157" t="n">
        <v>0</v>
      </c>
      <c r="Q157" t="n">
        <v>0</v>
      </c>
      <c r="R157" s="2" t="inlineStr"/>
    </row>
    <row r="158" ht="15" customHeight="1">
      <c r="A158" t="inlineStr">
        <is>
          <t>A 4363-2024</t>
        </is>
      </c>
      <c r="B158" s="1" t="n">
        <v>45325</v>
      </c>
      <c r="C158" s="1" t="n">
        <v>45940</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3457-2022</t>
        </is>
      </c>
      <c r="B159" s="1" t="n">
        <v>44585</v>
      </c>
      <c r="C159" s="1" t="n">
        <v>45940</v>
      </c>
      <c r="D159" t="inlineStr">
        <is>
          <t>VÄSTRA GÖTALANDS LÄN</t>
        </is>
      </c>
      <c r="E159" t="inlineStr">
        <is>
          <t>ALE</t>
        </is>
      </c>
      <c r="G159" t="n">
        <v>5.1</v>
      </c>
      <c r="H159" t="n">
        <v>0</v>
      </c>
      <c r="I159" t="n">
        <v>0</v>
      </c>
      <c r="J159" t="n">
        <v>0</v>
      </c>
      <c r="K159" t="n">
        <v>0</v>
      </c>
      <c r="L159" t="n">
        <v>0</v>
      </c>
      <c r="M159" t="n">
        <v>0</v>
      </c>
      <c r="N159" t="n">
        <v>0</v>
      </c>
      <c r="O159" t="n">
        <v>0</v>
      </c>
      <c r="P159" t="n">
        <v>0</v>
      </c>
      <c r="Q159" t="n">
        <v>0</v>
      </c>
      <c r="R159" s="2" t="inlineStr"/>
    </row>
    <row r="160">
      <c r="A160" t="inlineStr">
        <is>
          <t>A 8956-2025</t>
        </is>
      </c>
      <c r="B160" s="1" t="n">
        <v>45713.46825231481</v>
      </c>
      <c r="C160" s="1" t="n">
        <v>45940</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2025-10-10T12:41:32Z</dcterms:created>
  <dcterms:modified xmlns:dcterms="http://purl.org/dc/terms/" xmlns:xsi="http://www.w3.org/2001/XMLSchema-instance" xsi:type="dcterms:W3CDTF">2025-10-10T12:41:32Z</dcterms:modified>
</cp:coreProperties>
</file>