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45753</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45753</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45753</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45753</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45753</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45753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45753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45753</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45753</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45753</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45753</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45753</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45753</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45753</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45753</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45753</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45753</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45753</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45753</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45753</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45753</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45753</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45753</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45753</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45753</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45753</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45753</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45753</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45753</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45753</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45753</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45753</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45753</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45753</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45753</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16534-2025</t>
        </is>
      </c>
      <c r="B37" s="1" t="n">
        <v>45751</v>
      </c>
      <c r="C37" s="1" t="n">
        <v>45753</v>
      </c>
      <c r="D37" t="inlineStr">
        <is>
          <t>VÄSTRA GÖTALANDS LÄN</t>
        </is>
      </c>
      <c r="E37" t="inlineStr">
        <is>
          <t>ALE</t>
        </is>
      </c>
      <c r="G37" t="n">
        <v>1.5</v>
      </c>
      <c r="H37" t="n">
        <v>1</v>
      </c>
      <c r="I37" t="n">
        <v>1</v>
      </c>
      <c r="J37" t="n">
        <v>1</v>
      </c>
      <c r="K37" t="n">
        <v>0</v>
      </c>
      <c r="L37" t="n">
        <v>0</v>
      </c>
      <c r="M37" t="n">
        <v>0</v>
      </c>
      <c r="N37" t="n">
        <v>0</v>
      </c>
      <c r="O37" t="n">
        <v>1</v>
      </c>
      <c r="P37" t="n">
        <v>0</v>
      </c>
      <c r="Q37" t="n">
        <v>2</v>
      </c>
      <c r="R37" s="2" t="inlineStr">
        <is>
          <t>Entita
Västlig hakmossa</t>
        </is>
      </c>
      <c r="S37">
        <f>HYPERLINK("https://klasma.github.io/Logging_141440/artfynd/A 16534-2025 artfynd.xlsx", "A 16534-2025")</f>
        <v/>
      </c>
      <c r="T37">
        <f>HYPERLINK("https://klasma.github.io/Logging_141440/kartor/A 16534-2025 karta.png", "A 16534-2025")</f>
        <v/>
      </c>
      <c r="V37">
        <f>HYPERLINK("https://klasma.github.io/Logging_141440/klagomål/A 16534-2025 FSC-klagomål.docx", "A 16534-2025")</f>
        <v/>
      </c>
      <c r="W37">
        <f>HYPERLINK("https://klasma.github.io/Logging_141440/klagomålsmail/A 16534-2025 FSC-klagomål mail.docx", "A 16534-2025")</f>
        <v/>
      </c>
      <c r="X37">
        <f>HYPERLINK("https://klasma.github.io/Logging_141440/tillsyn/A 16534-2025 tillsynsbegäran.docx", "A 16534-2025")</f>
        <v/>
      </c>
      <c r="Y37">
        <f>HYPERLINK("https://klasma.github.io/Logging_141440/tillsynsmail/A 16534-2025 tillsynsbegäran mail.docx", "A 16534-2025")</f>
        <v/>
      </c>
      <c r="Z37">
        <f>HYPERLINK("https://klasma.github.io/Logging_141440/fåglar/A 16534-2025 prioriterade fågelarter.docx", "A 16534-2025")</f>
        <v/>
      </c>
    </row>
    <row r="38" ht="15" customHeight="1">
      <c r="A38" t="inlineStr">
        <is>
          <t>A 25391-2019</t>
        </is>
      </c>
      <c r="B38" s="1" t="n">
        <v>43606</v>
      </c>
      <c r="C38" s="1" t="n">
        <v>45753</v>
      </c>
      <c r="D38" t="inlineStr">
        <is>
          <t>VÄSTRA GÖTALANDS LÄN</t>
        </is>
      </c>
      <c r="E38" t="inlineStr">
        <is>
          <t>ALE</t>
        </is>
      </c>
      <c r="G38" t="n">
        <v>10.1</v>
      </c>
      <c r="H38" t="n">
        <v>1</v>
      </c>
      <c r="I38" t="n">
        <v>0</v>
      </c>
      <c r="J38" t="n">
        <v>1</v>
      </c>
      <c r="K38" t="n">
        <v>0</v>
      </c>
      <c r="L38" t="n">
        <v>0</v>
      </c>
      <c r="M38" t="n">
        <v>0</v>
      </c>
      <c r="N38" t="n">
        <v>0</v>
      </c>
      <c r="O38" t="n">
        <v>1</v>
      </c>
      <c r="P38" t="n">
        <v>0</v>
      </c>
      <c r="Q38" t="n">
        <v>1</v>
      </c>
      <c r="R38" s="2" t="inlineStr">
        <is>
          <t>Kungsörn</t>
        </is>
      </c>
      <c r="S38">
        <f>HYPERLINK("https://klasma.github.io/Logging_1440/artfynd/A 25391-2019 artfynd.xlsx", "A 25391-2019")</f>
        <v/>
      </c>
      <c r="T38">
        <f>HYPERLINK("https://klasma.github.io/Logging_1440/kartor/A 25391-2019 karta.png", "A 25391-2019")</f>
        <v/>
      </c>
      <c r="V38">
        <f>HYPERLINK("https://klasma.github.io/Logging_1440/klagomål/A 25391-2019 FSC-klagomål.docx", "A 25391-2019")</f>
        <v/>
      </c>
      <c r="W38">
        <f>HYPERLINK("https://klasma.github.io/Logging_1440/klagomålsmail/A 25391-2019 FSC-klagomål mail.docx", "A 25391-2019")</f>
        <v/>
      </c>
      <c r="X38">
        <f>HYPERLINK("https://klasma.github.io/Logging_1440/tillsyn/A 25391-2019 tillsynsbegäran.docx", "A 25391-2019")</f>
        <v/>
      </c>
      <c r="Y38">
        <f>HYPERLINK("https://klasma.github.io/Logging_1440/tillsynsmail/A 25391-2019 tillsynsbegäran mail.docx", "A 25391-2019")</f>
        <v/>
      </c>
      <c r="Z38">
        <f>HYPERLINK("https://klasma.github.io/Logging_1440/fåglar/A 25391-2019 prioriterade fågelarter.docx", "A 25391-2019")</f>
        <v/>
      </c>
    </row>
    <row r="39" ht="15" customHeight="1">
      <c r="A39" t="inlineStr">
        <is>
          <t>A 8431-2022</t>
        </is>
      </c>
      <c r="B39" s="1" t="n">
        <v>44611</v>
      </c>
      <c r="C39" s="1" t="n">
        <v>45753</v>
      </c>
      <c r="D39" t="inlineStr">
        <is>
          <t>VÄSTRA GÖTALANDS LÄN</t>
        </is>
      </c>
      <c r="E39" t="inlineStr">
        <is>
          <t>ALE</t>
        </is>
      </c>
      <c r="G39" t="n">
        <v>2.7</v>
      </c>
      <c r="H39" t="n">
        <v>0</v>
      </c>
      <c r="I39" t="n">
        <v>1</v>
      </c>
      <c r="J39" t="n">
        <v>0</v>
      </c>
      <c r="K39" t="n">
        <v>0</v>
      </c>
      <c r="L39" t="n">
        <v>0</v>
      </c>
      <c r="M39" t="n">
        <v>0</v>
      </c>
      <c r="N39" t="n">
        <v>0</v>
      </c>
      <c r="O39" t="n">
        <v>0</v>
      </c>
      <c r="P39" t="n">
        <v>0</v>
      </c>
      <c r="Q39" t="n">
        <v>1</v>
      </c>
      <c r="R39" s="2" t="inlineStr">
        <is>
          <t>Havstulpanlav</t>
        </is>
      </c>
      <c r="S39">
        <f>HYPERLINK("https://klasma.github.io/Logging_1440/artfynd/A 8431-2022 artfynd.xlsx", "A 8431-2022")</f>
        <v/>
      </c>
      <c r="T39">
        <f>HYPERLINK("https://klasma.github.io/Logging_1440/kartor/A 8431-2022 karta.png", "A 8431-2022")</f>
        <v/>
      </c>
      <c r="V39">
        <f>HYPERLINK("https://klasma.github.io/Logging_1440/klagomål/A 8431-2022 FSC-klagomål.docx", "A 8431-2022")</f>
        <v/>
      </c>
      <c r="W39">
        <f>HYPERLINK("https://klasma.github.io/Logging_1440/klagomålsmail/A 8431-2022 FSC-klagomål mail.docx", "A 8431-2022")</f>
        <v/>
      </c>
      <c r="X39">
        <f>HYPERLINK("https://klasma.github.io/Logging_1440/tillsyn/A 8431-2022 tillsynsbegäran.docx", "A 8431-2022")</f>
        <v/>
      </c>
      <c r="Y39">
        <f>HYPERLINK("https://klasma.github.io/Logging_1440/tillsynsmail/A 8431-2022 tillsynsbegäran mail.docx", "A 8431-2022")</f>
        <v/>
      </c>
    </row>
    <row r="40" ht="15" customHeight="1">
      <c r="A40" t="inlineStr">
        <is>
          <t>A 8432-2022</t>
        </is>
      </c>
      <c r="B40" s="1" t="n">
        <v>44611</v>
      </c>
      <c r="C40" s="1" t="n">
        <v>45753</v>
      </c>
      <c r="D40" t="inlineStr">
        <is>
          <t>VÄSTRA GÖTALANDS LÄN</t>
        </is>
      </c>
      <c r="E40" t="inlineStr">
        <is>
          <t>ALE</t>
        </is>
      </c>
      <c r="G40" t="n">
        <v>1.7</v>
      </c>
      <c r="H40" t="n">
        <v>1</v>
      </c>
      <c r="I40" t="n">
        <v>0</v>
      </c>
      <c r="J40" t="n">
        <v>0</v>
      </c>
      <c r="K40" t="n">
        <v>0</v>
      </c>
      <c r="L40" t="n">
        <v>0</v>
      </c>
      <c r="M40" t="n">
        <v>0</v>
      </c>
      <c r="N40" t="n">
        <v>0</v>
      </c>
      <c r="O40" t="n">
        <v>0</v>
      </c>
      <c r="P40" t="n">
        <v>0</v>
      </c>
      <c r="Q40" t="n">
        <v>1</v>
      </c>
      <c r="R40" s="2" t="inlineStr">
        <is>
          <t>Gröngöling</t>
        </is>
      </c>
      <c r="S40">
        <f>HYPERLINK("https://klasma.github.io/Logging_1440/artfynd/A 8432-2022 artfynd.xlsx", "A 8432-2022")</f>
        <v/>
      </c>
      <c r="T40">
        <f>HYPERLINK("https://klasma.github.io/Logging_1440/kartor/A 8432-2022 karta.png", "A 8432-2022")</f>
        <v/>
      </c>
      <c r="V40">
        <f>HYPERLINK("https://klasma.github.io/Logging_1440/klagomål/A 8432-2022 FSC-klagomål.docx", "A 8432-2022")</f>
        <v/>
      </c>
      <c r="W40">
        <f>HYPERLINK("https://klasma.github.io/Logging_1440/klagomålsmail/A 8432-2022 FSC-klagomål mail.docx", "A 8432-2022")</f>
        <v/>
      </c>
      <c r="X40">
        <f>HYPERLINK("https://klasma.github.io/Logging_1440/tillsyn/A 8432-2022 tillsynsbegäran.docx", "A 8432-2022")</f>
        <v/>
      </c>
      <c r="Y40">
        <f>HYPERLINK("https://klasma.github.io/Logging_1440/tillsynsmail/A 8432-2022 tillsynsbegäran mail.docx", "A 8432-2022")</f>
        <v/>
      </c>
      <c r="Z40">
        <f>HYPERLINK("https://klasma.github.io/Logging_1440/fåglar/A 8432-2022 prioriterade fågelarter.docx", "A 8432-2022")</f>
        <v/>
      </c>
    </row>
    <row r="41" ht="15" customHeight="1">
      <c r="A41" t="inlineStr">
        <is>
          <t>A 23339-2023</t>
        </is>
      </c>
      <c r="B41" s="1" t="n">
        <v>45076</v>
      </c>
      <c r="C41" s="1" t="n">
        <v>45753</v>
      </c>
      <c r="D41" t="inlineStr">
        <is>
          <t>VÄSTRA GÖTALANDS LÄN</t>
        </is>
      </c>
      <c r="E41" t="inlineStr">
        <is>
          <t>ALE</t>
        </is>
      </c>
      <c r="G41" t="n">
        <v>7.4</v>
      </c>
      <c r="H41" t="n">
        <v>1</v>
      </c>
      <c r="I41" t="n">
        <v>0</v>
      </c>
      <c r="J41" t="n">
        <v>0</v>
      </c>
      <c r="K41" t="n">
        <v>0</v>
      </c>
      <c r="L41" t="n">
        <v>0</v>
      </c>
      <c r="M41" t="n">
        <v>0</v>
      </c>
      <c r="N41" t="n">
        <v>0</v>
      </c>
      <c r="O41" t="n">
        <v>0</v>
      </c>
      <c r="P41" t="n">
        <v>0</v>
      </c>
      <c r="Q41" t="n">
        <v>1</v>
      </c>
      <c r="R41" s="2" t="inlineStr">
        <is>
          <t>Revlummer</t>
        </is>
      </c>
      <c r="S41">
        <f>HYPERLINK("https://klasma.github.io/Logging_1440/artfynd/A 23339-2023 artfynd.xlsx", "A 23339-2023")</f>
        <v/>
      </c>
      <c r="T41">
        <f>HYPERLINK("https://klasma.github.io/Logging_1440/kartor/A 23339-2023 karta.png", "A 23339-2023")</f>
        <v/>
      </c>
      <c r="V41">
        <f>HYPERLINK("https://klasma.github.io/Logging_1440/klagomål/A 23339-2023 FSC-klagomål.docx", "A 23339-2023")</f>
        <v/>
      </c>
      <c r="W41">
        <f>HYPERLINK("https://klasma.github.io/Logging_1440/klagomålsmail/A 23339-2023 FSC-klagomål mail.docx", "A 23339-2023")</f>
        <v/>
      </c>
      <c r="X41">
        <f>HYPERLINK("https://klasma.github.io/Logging_1440/tillsyn/A 23339-2023 tillsynsbegäran.docx", "A 23339-2023")</f>
        <v/>
      </c>
      <c r="Y41">
        <f>HYPERLINK("https://klasma.github.io/Logging_1440/tillsynsmail/A 23339-2023 tillsynsbegäran mail.docx", "A 23339-2023")</f>
        <v/>
      </c>
    </row>
    <row r="42" ht="15" customHeight="1">
      <c r="A42" t="inlineStr">
        <is>
          <t>A 26493-2024</t>
        </is>
      </c>
      <c r="B42" s="1" t="n">
        <v>45469</v>
      </c>
      <c r="C42" s="1" t="n">
        <v>45753</v>
      </c>
      <c r="D42" t="inlineStr">
        <is>
          <t>VÄSTRA GÖTALANDS LÄN</t>
        </is>
      </c>
      <c r="E42" t="inlineStr">
        <is>
          <t>ALE</t>
        </is>
      </c>
      <c r="G42" t="n">
        <v>1.6</v>
      </c>
      <c r="H42" t="n">
        <v>1</v>
      </c>
      <c r="I42" t="n">
        <v>0</v>
      </c>
      <c r="J42" t="n">
        <v>0</v>
      </c>
      <c r="K42" t="n">
        <v>0</v>
      </c>
      <c r="L42" t="n">
        <v>0</v>
      </c>
      <c r="M42" t="n">
        <v>0</v>
      </c>
      <c r="N42" t="n">
        <v>0</v>
      </c>
      <c r="O42" t="n">
        <v>0</v>
      </c>
      <c r="P42" t="n">
        <v>0</v>
      </c>
      <c r="Q42" t="n">
        <v>1</v>
      </c>
      <c r="R42" s="2" t="inlineStr">
        <is>
          <t>Grönvit nattviol</t>
        </is>
      </c>
      <c r="S42">
        <f>HYPERLINK("https://klasma.github.io/Logging_1440/artfynd/A 26493-2024 artfynd.xlsx", "A 26493-2024")</f>
        <v/>
      </c>
      <c r="T42">
        <f>HYPERLINK("https://klasma.github.io/Logging_1440/kartor/A 26493-2024 karta.png", "A 26493-2024")</f>
        <v/>
      </c>
      <c r="V42">
        <f>HYPERLINK("https://klasma.github.io/Logging_1440/klagomål/A 26493-2024 FSC-klagomål.docx", "A 26493-2024")</f>
        <v/>
      </c>
      <c r="W42">
        <f>HYPERLINK("https://klasma.github.io/Logging_1440/klagomålsmail/A 26493-2024 FSC-klagomål mail.docx", "A 26493-2024")</f>
        <v/>
      </c>
      <c r="X42">
        <f>HYPERLINK("https://klasma.github.io/Logging_1440/tillsyn/A 26493-2024 tillsynsbegäran.docx", "A 26493-2024")</f>
        <v/>
      </c>
      <c r="Y42">
        <f>HYPERLINK("https://klasma.github.io/Logging_1440/tillsynsmail/A 26493-2024 tillsynsbegäran mail.docx", "A 26493-2024")</f>
        <v/>
      </c>
    </row>
    <row r="43" ht="15" customHeight="1">
      <c r="A43" t="inlineStr">
        <is>
          <t>A 5040-2025</t>
        </is>
      </c>
      <c r="B43" s="1" t="n">
        <v>45691</v>
      </c>
      <c r="C43" s="1" t="n">
        <v>45753</v>
      </c>
      <c r="D43" t="inlineStr">
        <is>
          <t>VÄSTRA GÖTALANDS LÄN</t>
        </is>
      </c>
      <c r="E43" t="inlineStr">
        <is>
          <t>ALE</t>
        </is>
      </c>
      <c r="G43" t="n">
        <v>3</v>
      </c>
      <c r="H43" t="n">
        <v>1</v>
      </c>
      <c r="I43" t="n">
        <v>0</v>
      </c>
      <c r="J43" t="n">
        <v>1</v>
      </c>
      <c r="K43" t="n">
        <v>0</v>
      </c>
      <c r="L43" t="n">
        <v>0</v>
      </c>
      <c r="M43" t="n">
        <v>0</v>
      </c>
      <c r="N43" t="n">
        <v>0</v>
      </c>
      <c r="O43" t="n">
        <v>1</v>
      </c>
      <c r="P43" t="n">
        <v>0</v>
      </c>
      <c r="Q43" t="n">
        <v>1</v>
      </c>
      <c r="R43" s="2" t="inlineStr">
        <is>
          <t>Spillkråka</t>
        </is>
      </c>
      <c r="S43">
        <f>HYPERLINK("https://klasma.github.io/Logging_1440/artfynd/A 5040-2025 artfynd.xlsx", "A 5040-2025")</f>
        <v/>
      </c>
      <c r="T43">
        <f>HYPERLINK("https://klasma.github.io/Logging_1440/kartor/A 5040-2025 karta.png", "A 5040-2025")</f>
        <v/>
      </c>
      <c r="V43">
        <f>HYPERLINK("https://klasma.github.io/Logging_1440/klagomål/A 5040-2025 FSC-klagomål.docx", "A 5040-2025")</f>
        <v/>
      </c>
      <c r="W43">
        <f>HYPERLINK("https://klasma.github.io/Logging_1440/klagomålsmail/A 5040-2025 FSC-klagomål mail.docx", "A 5040-2025")</f>
        <v/>
      </c>
      <c r="X43">
        <f>HYPERLINK("https://klasma.github.io/Logging_1440/tillsyn/A 5040-2025 tillsynsbegäran.docx", "A 5040-2025")</f>
        <v/>
      </c>
      <c r="Y43">
        <f>HYPERLINK("https://klasma.github.io/Logging_1440/tillsynsmail/A 5040-2025 tillsynsbegäran mail.docx", "A 5040-2025")</f>
        <v/>
      </c>
      <c r="Z43">
        <f>HYPERLINK("https://klasma.github.io/Logging_1440/fåglar/A 5040-2025 prioriterade fågelarter.docx", "A 5040-2025")</f>
        <v/>
      </c>
    </row>
    <row r="44" ht="15" customHeight="1">
      <c r="A44" t="inlineStr">
        <is>
          <t>A 9832-2025</t>
        </is>
      </c>
      <c r="B44" s="1" t="n">
        <v>45716</v>
      </c>
      <c r="C44" s="1" t="n">
        <v>45753</v>
      </c>
      <c r="D44" t="inlineStr">
        <is>
          <t>VÄSTRA GÖTALANDS LÄN</t>
        </is>
      </c>
      <c r="E44" t="inlineStr">
        <is>
          <t>ALE</t>
        </is>
      </c>
      <c r="G44" t="n">
        <v>2.8</v>
      </c>
      <c r="H44" t="n">
        <v>1</v>
      </c>
      <c r="I44" t="n">
        <v>0</v>
      </c>
      <c r="J44" t="n">
        <v>1</v>
      </c>
      <c r="K44" t="n">
        <v>0</v>
      </c>
      <c r="L44" t="n">
        <v>0</v>
      </c>
      <c r="M44" t="n">
        <v>0</v>
      </c>
      <c r="N44" t="n">
        <v>0</v>
      </c>
      <c r="O44" t="n">
        <v>1</v>
      </c>
      <c r="P44" t="n">
        <v>0</v>
      </c>
      <c r="Q44" t="n">
        <v>1</v>
      </c>
      <c r="R44" s="2" t="inlineStr">
        <is>
          <t>Spillkråka</t>
        </is>
      </c>
      <c r="S44">
        <f>HYPERLINK("https://klasma.github.io/Logging_141440/artfynd/A 9832-2025 artfynd.xlsx", "A 9832-2025")</f>
        <v/>
      </c>
      <c r="T44">
        <f>HYPERLINK("https://klasma.github.io/Logging_141440/kartor/A 9832-2025 karta.png", "A 9832-2025")</f>
        <v/>
      </c>
      <c r="V44">
        <f>HYPERLINK("https://klasma.github.io/Logging_141440/klagomål/A 9832-2025 FSC-klagomål.docx", "A 9832-2025")</f>
        <v/>
      </c>
      <c r="W44">
        <f>HYPERLINK("https://klasma.github.io/Logging_141440/klagomålsmail/A 9832-2025 FSC-klagomål mail.docx", "A 9832-2025")</f>
        <v/>
      </c>
      <c r="X44">
        <f>HYPERLINK("https://klasma.github.io/Logging_141440/tillsyn/A 9832-2025 tillsynsbegäran.docx", "A 9832-2025")</f>
        <v/>
      </c>
      <c r="Y44">
        <f>HYPERLINK("https://klasma.github.io/Logging_141440/tillsynsmail/A 9832-2025 tillsynsbegäran mail.docx", "A 9832-2025")</f>
        <v/>
      </c>
      <c r="Z44">
        <f>HYPERLINK("https://klasma.github.io/Logging_141440/fåglar/A 9832-2025 prioriterade fågelarter.docx", "A 9832-2025")</f>
        <v/>
      </c>
    </row>
    <row r="45" ht="15" customHeight="1">
      <c r="A45" t="inlineStr">
        <is>
          <t>A 12084-2025</t>
        </is>
      </c>
      <c r="B45" s="1" t="n">
        <v>45728</v>
      </c>
      <c r="C45" s="1" t="n">
        <v>45753</v>
      </c>
      <c r="D45" t="inlineStr">
        <is>
          <t>VÄSTRA GÖTALANDS LÄN</t>
        </is>
      </c>
      <c r="E45" t="inlineStr">
        <is>
          <t>ALE</t>
        </is>
      </c>
      <c r="G45" t="n">
        <v>2.4</v>
      </c>
      <c r="H45" t="n">
        <v>1</v>
      </c>
      <c r="I45" t="n">
        <v>0</v>
      </c>
      <c r="J45" t="n">
        <v>1</v>
      </c>
      <c r="K45" t="n">
        <v>0</v>
      </c>
      <c r="L45" t="n">
        <v>0</v>
      </c>
      <c r="M45" t="n">
        <v>0</v>
      </c>
      <c r="N45" t="n">
        <v>0</v>
      </c>
      <c r="O45" t="n">
        <v>1</v>
      </c>
      <c r="P45" t="n">
        <v>0</v>
      </c>
      <c r="Q45" t="n">
        <v>1</v>
      </c>
      <c r="R45" s="2" t="inlineStr">
        <is>
          <t>Spillkråka</t>
        </is>
      </c>
      <c r="S45">
        <f>HYPERLINK("https://klasma.github.io/Logging_141440/artfynd/A 12084-2025 artfynd.xlsx", "A 12084-2025")</f>
        <v/>
      </c>
      <c r="T45">
        <f>HYPERLINK("https://klasma.github.io/Logging_141440/kartor/A 12084-2025 karta.png", "A 12084-2025")</f>
        <v/>
      </c>
      <c r="V45">
        <f>HYPERLINK("https://klasma.github.io/Logging_141440/klagomål/A 12084-2025 FSC-klagomål.docx", "A 12084-2025")</f>
        <v/>
      </c>
      <c r="W45">
        <f>HYPERLINK("https://klasma.github.io/Logging_141440/klagomålsmail/A 12084-2025 FSC-klagomål mail.docx", "A 12084-2025")</f>
        <v/>
      </c>
      <c r="X45">
        <f>HYPERLINK("https://klasma.github.io/Logging_141440/tillsyn/A 12084-2025 tillsynsbegäran.docx", "A 12084-2025")</f>
        <v/>
      </c>
      <c r="Y45">
        <f>HYPERLINK("https://klasma.github.io/Logging_141440/tillsynsmail/A 12084-2025 tillsynsbegäran mail.docx", "A 12084-2025")</f>
        <v/>
      </c>
      <c r="Z45">
        <f>HYPERLINK("https://klasma.github.io/Logging_141440/fåglar/A 12084-2025 prioriterade fågelarter.docx", "A 12084-2025")</f>
        <v/>
      </c>
    </row>
    <row r="46" ht="15" customHeight="1">
      <c r="A46" t="inlineStr">
        <is>
          <t>A 13380-2025</t>
        </is>
      </c>
      <c r="B46" s="1" t="n">
        <v>45735</v>
      </c>
      <c r="C46" s="1" t="n">
        <v>45753</v>
      </c>
      <c r="D46" t="inlineStr">
        <is>
          <t>VÄSTRA GÖTALANDS LÄN</t>
        </is>
      </c>
      <c r="E46" t="inlineStr">
        <is>
          <t>ALE</t>
        </is>
      </c>
      <c r="G46" t="n">
        <v>1.8</v>
      </c>
      <c r="H46" t="n">
        <v>1</v>
      </c>
      <c r="I46" t="n">
        <v>0</v>
      </c>
      <c r="J46" t="n">
        <v>1</v>
      </c>
      <c r="K46" t="n">
        <v>0</v>
      </c>
      <c r="L46" t="n">
        <v>0</v>
      </c>
      <c r="M46" t="n">
        <v>0</v>
      </c>
      <c r="N46" t="n">
        <v>0</v>
      </c>
      <c r="O46" t="n">
        <v>1</v>
      </c>
      <c r="P46" t="n">
        <v>0</v>
      </c>
      <c r="Q46" t="n">
        <v>1</v>
      </c>
      <c r="R46" s="2" t="inlineStr">
        <is>
          <t>Spillkråka</t>
        </is>
      </c>
      <c r="S46">
        <f>HYPERLINK("https://klasma.github.io/Logging_141440/artfynd/A 13380-2025 artfynd.xlsx", "A 13380-2025")</f>
        <v/>
      </c>
      <c r="T46">
        <f>HYPERLINK("https://klasma.github.io/Logging_141440/kartor/A 13380-2025 karta.png", "A 13380-2025")</f>
        <v/>
      </c>
      <c r="V46">
        <f>HYPERLINK("https://klasma.github.io/Logging_141440/klagomål/A 13380-2025 FSC-klagomål.docx", "A 13380-2025")</f>
        <v/>
      </c>
      <c r="W46">
        <f>HYPERLINK("https://klasma.github.io/Logging_141440/klagomålsmail/A 13380-2025 FSC-klagomål mail.docx", "A 13380-2025")</f>
        <v/>
      </c>
      <c r="X46">
        <f>HYPERLINK("https://klasma.github.io/Logging_141440/tillsyn/A 13380-2025 tillsynsbegäran.docx", "A 13380-2025")</f>
        <v/>
      </c>
      <c r="Y46">
        <f>HYPERLINK("https://klasma.github.io/Logging_141440/tillsynsmail/A 13380-2025 tillsynsbegäran mail.docx", "A 13380-2025")</f>
        <v/>
      </c>
      <c r="Z46">
        <f>HYPERLINK("https://klasma.github.io/Logging_141440/fåglar/A 13380-2025 prioriterade fågelarter.docx", "A 13380-2025")</f>
        <v/>
      </c>
    </row>
    <row r="47" ht="15" customHeight="1">
      <c r="A47" t="inlineStr">
        <is>
          <t>A 13902-2025</t>
        </is>
      </c>
      <c r="B47" s="1" t="n">
        <v>45737</v>
      </c>
      <c r="C47" s="1" t="n">
        <v>45753</v>
      </c>
      <c r="D47" t="inlineStr">
        <is>
          <t>VÄSTRA GÖTALANDS LÄN</t>
        </is>
      </c>
      <c r="E47" t="inlineStr">
        <is>
          <t>ALE</t>
        </is>
      </c>
      <c r="G47" t="n">
        <v>1.4</v>
      </c>
      <c r="H47" t="n">
        <v>1</v>
      </c>
      <c r="I47" t="n">
        <v>0</v>
      </c>
      <c r="J47" t="n">
        <v>1</v>
      </c>
      <c r="K47" t="n">
        <v>0</v>
      </c>
      <c r="L47" t="n">
        <v>0</v>
      </c>
      <c r="M47" t="n">
        <v>0</v>
      </c>
      <c r="N47" t="n">
        <v>0</v>
      </c>
      <c r="O47" t="n">
        <v>1</v>
      </c>
      <c r="P47" t="n">
        <v>0</v>
      </c>
      <c r="Q47" t="n">
        <v>1</v>
      </c>
      <c r="R47" s="2" t="inlineStr">
        <is>
          <t>Svartvit flugsnappare</t>
        </is>
      </c>
      <c r="S47">
        <f>HYPERLINK("https://klasma.github.io/Logging_141440/artfynd/A 13902-2025 artfynd.xlsx", "A 13902-2025")</f>
        <v/>
      </c>
      <c r="T47">
        <f>HYPERLINK("https://klasma.github.io/Logging_141440/kartor/A 13902-2025 karta.png", "A 13902-2025")</f>
        <v/>
      </c>
      <c r="V47">
        <f>HYPERLINK("https://klasma.github.io/Logging_141440/klagomål/A 13902-2025 FSC-klagomål.docx", "A 13902-2025")</f>
        <v/>
      </c>
      <c r="W47">
        <f>HYPERLINK("https://klasma.github.io/Logging_141440/klagomålsmail/A 13902-2025 FSC-klagomål mail.docx", "A 13902-2025")</f>
        <v/>
      </c>
      <c r="X47">
        <f>HYPERLINK("https://klasma.github.io/Logging_141440/tillsyn/A 13902-2025 tillsynsbegäran.docx", "A 13902-2025")</f>
        <v/>
      </c>
      <c r="Y47">
        <f>HYPERLINK("https://klasma.github.io/Logging_141440/tillsynsmail/A 13902-2025 tillsynsbegäran mail.docx", "A 13902-2025")</f>
        <v/>
      </c>
      <c r="Z47">
        <f>HYPERLINK("https://klasma.github.io/Logging_141440/fåglar/A 13902-2025 prioriterade fågelarter.docx", "A 13902-2025")</f>
        <v/>
      </c>
    </row>
    <row r="48" ht="15" customHeight="1">
      <c r="A48" t="inlineStr">
        <is>
          <t>A 22015-2019</t>
        </is>
      </c>
      <c r="B48" s="1" t="n">
        <v>43584</v>
      </c>
      <c r="C48" s="1" t="n">
        <v>45753</v>
      </c>
      <c r="D48" t="inlineStr">
        <is>
          <t>VÄSTRA GÖTALANDS LÄN</t>
        </is>
      </c>
      <c r="E48" t="inlineStr">
        <is>
          <t>ALE</t>
        </is>
      </c>
      <c r="G48" t="n">
        <v>1.6</v>
      </c>
      <c r="H48" t="n">
        <v>0</v>
      </c>
      <c r="I48" t="n">
        <v>0</v>
      </c>
      <c r="J48" t="n">
        <v>0</v>
      </c>
      <c r="K48" t="n">
        <v>0</v>
      </c>
      <c r="L48" t="n">
        <v>0</v>
      </c>
      <c r="M48" t="n">
        <v>0</v>
      </c>
      <c r="N48" t="n">
        <v>0</v>
      </c>
      <c r="O48" t="n">
        <v>0</v>
      </c>
      <c r="P48" t="n">
        <v>0</v>
      </c>
      <c r="Q48" t="n">
        <v>0</v>
      </c>
      <c r="R48" s="2" t="inlineStr"/>
    </row>
    <row r="49" ht="15" customHeight="1">
      <c r="A49" t="inlineStr">
        <is>
          <t>A 50538-2019</t>
        </is>
      </c>
      <c r="B49" s="1" t="n">
        <v>43735</v>
      </c>
      <c r="C49" s="1" t="n">
        <v>45753</v>
      </c>
      <c r="D49" t="inlineStr">
        <is>
          <t>VÄSTRA GÖTALANDS LÄN</t>
        </is>
      </c>
      <c r="E49" t="inlineStr">
        <is>
          <t>ALE</t>
        </is>
      </c>
      <c r="G49" t="n">
        <v>10.9</v>
      </c>
      <c r="H49" t="n">
        <v>0</v>
      </c>
      <c r="I49" t="n">
        <v>0</v>
      </c>
      <c r="J49" t="n">
        <v>0</v>
      </c>
      <c r="K49" t="n">
        <v>0</v>
      </c>
      <c r="L49" t="n">
        <v>0</v>
      </c>
      <c r="M49" t="n">
        <v>0</v>
      </c>
      <c r="N49" t="n">
        <v>0</v>
      </c>
      <c r="O49" t="n">
        <v>0</v>
      </c>
      <c r="P49" t="n">
        <v>0</v>
      </c>
      <c r="Q49" t="n">
        <v>0</v>
      </c>
      <c r="R49" s="2" t="inlineStr"/>
    </row>
    <row r="50" ht="15" customHeight="1">
      <c r="A50" t="inlineStr">
        <is>
          <t>A 59735-2019</t>
        </is>
      </c>
      <c r="B50" s="1" t="n">
        <v>43776</v>
      </c>
      <c r="C50" s="1" t="n">
        <v>45753</v>
      </c>
      <c r="D50" t="inlineStr">
        <is>
          <t>VÄSTRA GÖTALANDS LÄN</t>
        </is>
      </c>
      <c r="E50" t="inlineStr">
        <is>
          <t>ALE</t>
        </is>
      </c>
      <c r="G50" t="n">
        <v>2</v>
      </c>
      <c r="H50" t="n">
        <v>0</v>
      </c>
      <c r="I50" t="n">
        <v>0</v>
      </c>
      <c r="J50" t="n">
        <v>0</v>
      </c>
      <c r="K50" t="n">
        <v>0</v>
      </c>
      <c r="L50" t="n">
        <v>0</v>
      </c>
      <c r="M50" t="n">
        <v>0</v>
      </c>
      <c r="N50" t="n">
        <v>0</v>
      </c>
      <c r="O50" t="n">
        <v>0</v>
      </c>
      <c r="P50" t="n">
        <v>0</v>
      </c>
      <c r="Q50" t="n">
        <v>0</v>
      </c>
      <c r="R50" s="2" t="inlineStr"/>
    </row>
    <row r="51" ht="15" customHeight="1">
      <c r="A51" t="inlineStr">
        <is>
          <t>A 60395-2019</t>
        </is>
      </c>
      <c r="B51" s="1" t="n">
        <v>43780</v>
      </c>
      <c r="C51" s="1" t="n">
        <v>45753</v>
      </c>
      <c r="D51" t="inlineStr">
        <is>
          <t>VÄSTRA GÖTALANDS LÄN</t>
        </is>
      </c>
      <c r="E51" t="inlineStr">
        <is>
          <t>ALE</t>
        </is>
      </c>
      <c r="F51" t="inlineStr">
        <is>
          <t>Kommuner</t>
        </is>
      </c>
      <c r="G51" t="n">
        <v>1.7</v>
      </c>
      <c r="H51" t="n">
        <v>0</v>
      </c>
      <c r="I51" t="n">
        <v>0</v>
      </c>
      <c r="J51" t="n">
        <v>0</v>
      </c>
      <c r="K51" t="n">
        <v>0</v>
      </c>
      <c r="L51" t="n">
        <v>0</v>
      </c>
      <c r="M51" t="n">
        <v>0</v>
      </c>
      <c r="N51" t="n">
        <v>0</v>
      </c>
      <c r="O51" t="n">
        <v>0</v>
      </c>
      <c r="P51" t="n">
        <v>0</v>
      </c>
      <c r="Q51" t="n">
        <v>0</v>
      </c>
      <c r="R51" s="2" t="inlineStr"/>
    </row>
    <row r="52" ht="15" customHeight="1">
      <c r="A52" t="inlineStr">
        <is>
          <t>A 60379-2019</t>
        </is>
      </c>
      <c r="B52" s="1" t="n">
        <v>43780</v>
      </c>
      <c r="C52" s="1" t="n">
        <v>45753</v>
      </c>
      <c r="D52" t="inlineStr">
        <is>
          <t>VÄSTRA GÖTALANDS LÄN</t>
        </is>
      </c>
      <c r="E52" t="inlineStr">
        <is>
          <t>ALE</t>
        </is>
      </c>
      <c r="F52" t="inlineStr">
        <is>
          <t>Kommuner</t>
        </is>
      </c>
      <c r="G52" t="n">
        <v>1.1</v>
      </c>
      <c r="H52" t="n">
        <v>0</v>
      </c>
      <c r="I52" t="n">
        <v>0</v>
      </c>
      <c r="J52" t="n">
        <v>0</v>
      </c>
      <c r="K52" t="n">
        <v>0</v>
      </c>
      <c r="L52" t="n">
        <v>0</v>
      </c>
      <c r="M52" t="n">
        <v>0</v>
      </c>
      <c r="N52" t="n">
        <v>0</v>
      </c>
      <c r="O52" t="n">
        <v>0</v>
      </c>
      <c r="P52" t="n">
        <v>0</v>
      </c>
      <c r="Q52" t="n">
        <v>0</v>
      </c>
      <c r="R52" s="2" t="inlineStr"/>
    </row>
    <row r="53" ht="15" customHeight="1">
      <c r="A53" t="inlineStr">
        <is>
          <t>A 60679-2019</t>
        </is>
      </c>
      <c r="B53" s="1" t="n">
        <v>43781</v>
      </c>
      <c r="C53" s="1" t="n">
        <v>45753</v>
      </c>
      <c r="D53" t="inlineStr">
        <is>
          <t>VÄSTRA GÖTALANDS LÄN</t>
        </is>
      </c>
      <c r="E53" t="inlineStr">
        <is>
          <t>ALE</t>
        </is>
      </c>
      <c r="G53" t="n">
        <v>1.8</v>
      </c>
      <c r="H53" t="n">
        <v>0</v>
      </c>
      <c r="I53" t="n">
        <v>0</v>
      </c>
      <c r="J53" t="n">
        <v>0</v>
      </c>
      <c r="K53" t="n">
        <v>0</v>
      </c>
      <c r="L53" t="n">
        <v>0</v>
      </c>
      <c r="M53" t="n">
        <v>0</v>
      </c>
      <c r="N53" t="n">
        <v>0</v>
      </c>
      <c r="O53" t="n">
        <v>0</v>
      </c>
      <c r="P53" t="n">
        <v>0</v>
      </c>
      <c r="Q53" t="n">
        <v>0</v>
      </c>
      <c r="R53" s="2" t="inlineStr"/>
    </row>
    <row r="54" ht="15" customHeight="1">
      <c r="A54" t="inlineStr">
        <is>
          <t>A 377-2020</t>
        </is>
      </c>
      <c r="B54" s="1" t="n">
        <v>43837</v>
      </c>
      <c r="C54" s="1" t="n">
        <v>45753</v>
      </c>
      <c r="D54" t="inlineStr">
        <is>
          <t>VÄSTRA GÖTALANDS LÄN</t>
        </is>
      </c>
      <c r="E54" t="inlineStr">
        <is>
          <t>ALE</t>
        </is>
      </c>
      <c r="G54" t="n">
        <v>2.6</v>
      </c>
      <c r="H54" t="n">
        <v>0</v>
      </c>
      <c r="I54" t="n">
        <v>0</v>
      </c>
      <c r="J54" t="n">
        <v>0</v>
      </c>
      <c r="K54" t="n">
        <v>0</v>
      </c>
      <c r="L54" t="n">
        <v>0</v>
      </c>
      <c r="M54" t="n">
        <v>0</v>
      </c>
      <c r="N54" t="n">
        <v>0</v>
      </c>
      <c r="O54" t="n">
        <v>0</v>
      </c>
      <c r="P54" t="n">
        <v>0</v>
      </c>
      <c r="Q54" t="n">
        <v>0</v>
      </c>
      <c r="R54" s="2" t="inlineStr"/>
    </row>
    <row r="55" ht="15" customHeight="1">
      <c r="A55" t="inlineStr">
        <is>
          <t>A 2843-2020</t>
        </is>
      </c>
      <c r="B55" s="1" t="n">
        <v>43850</v>
      </c>
      <c r="C55" s="1" t="n">
        <v>45753</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4879-2020</t>
        </is>
      </c>
      <c r="B56" s="1" t="n">
        <v>43859</v>
      </c>
      <c r="C56" s="1" t="n">
        <v>45753</v>
      </c>
      <c r="D56" t="inlineStr">
        <is>
          <t>VÄSTRA GÖTALANDS LÄN</t>
        </is>
      </c>
      <c r="E56" t="inlineStr">
        <is>
          <t>ALE</t>
        </is>
      </c>
      <c r="G56" t="n">
        <v>3.1</v>
      </c>
      <c r="H56" t="n">
        <v>0</v>
      </c>
      <c r="I56" t="n">
        <v>0</v>
      </c>
      <c r="J56" t="n">
        <v>0</v>
      </c>
      <c r="K56" t="n">
        <v>0</v>
      </c>
      <c r="L56" t="n">
        <v>0</v>
      </c>
      <c r="M56" t="n">
        <v>0</v>
      </c>
      <c r="N56" t="n">
        <v>0</v>
      </c>
      <c r="O56" t="n">
        <v>0</v>
      </c>
      <c r="P56" t="n">
        <v>0</v>
      </c>
      <c r="Q56" t="n">
        <v>0</v>
      </c>
      <c r="R56" s="2" t="inlineStr"/>
    </row>
    <row r="57" ht="15" customHeight="1">
      <c r="A57" t="inlineStr">
        <is>
          <t>A 7706-2020</t>
        </is>
      </c>
      <c r="B57" s="1" t="n">
        <v>43872</v>
      </c>
      <c r="C57" s="1" t="n">
        <v>45753</v>
      </c>
      <c r="D57" t="inlineStr">
        <is>
          <t>VÄSTRA GÖTALANDS LÄN</t>
        </is>
      </c>
      <c r="E57" t="inlineStr">
        <is>
          <t>ALE</t>
        </is>
      </c>
      <c r="G57" t="n">
        <v>1.2</v>
      </c>
      <c r="H57" t="n">
        <v>0</v>
      </c>
      <c r="I57" t="n">
        <v>0</v>
      </c>
      <c r="J57" t="n">
        <v>0</v>
      </c>
      <c r="K57" t="n">
        <v>0</v>
      </c>
      <c r="L57" t="n">
        <v>0</v>
      </c>
      <c r="M57" t="n">
        <v>0</v>
      </c>
      <c r="N57" t="n">
        <v>0</v>
      </c>
      <c r="O57" t="n">
        <v>0</v>
      </c>
      <c r="P57" t="n">
        <v>0</v>
      </c>
      <c r="Q57" t="n">
        <v>0</v>
      </c>
      <c r="R57" s="2" t="inlineStr"/>
    </row>
    <row r="58" ht="15" customHeight="1">
      <c r="A58" t="inlineStr">
        <is>
          <t>A 7804-2020</t>
        </is>
      </c>
      <c r="B58" s="1" t="n">
        <v>43873</v>
      </c>
      <c r="C58" s="1" t="n">
        <v>45753</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9154-2020</t>
        </is>
      </c>
      <c r="B59" s="1" t="n">
        <v>43879</v>
      </c>
      <c r="C59" s="1" t="n">
        <v>45753</v>
      </c>
      <c r="D59" t="inlineStr">
        <is>
          <t>VÄSTRA GÖTALANDS LÄN</t>
        </is>
      </c>
      <c r="E59" t="inlineStr">
        <is>
          <t>ALE</t>
        </is>
      </c>
      <c r="G59" t="n">
        <v>2.7</v>
      </c>
      <c r="H59" t="n">
        <v>0</v>
      </c>
      <c r="I59" t="n">
        <v>0</v>
      </c>
      <c r="J59" t="n">
        <v>0</v>
      </c>
      <c r="K59" t="n">
        <v>0</v>
      </c>
      <c r="L59" t="n">
        <v>0</v>
      </c>
      <c r="M59" t="n">
        <v>0</v>
      </c>
      <c r="N59" t="n">
        <v>0</v>
      </c>
      <c r="O59" t="n">
        <v>0</v>
      </c>
      <c r="P59" t="n">
        <v>0</v>
      </c>
      <c r="Q59" t="n">
        <v>0</v>
      </c>
      <c r="R59" s="2" t="inlineStr"/>
    </row>
    <row r="60" ht="15" customHeight="1">
      <c r="A60" t="inlineStr">
        <is>
          <t>A 10079-2020</t>
        </is>
      </c>
      <c r="B60" s="1" t="n">
        <v>43886</v>
      </c>
      <c r="C60" s="1" t="n">
        <v>45753</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13432-2020</t>
        </is>
      </c>
      <c r="B61" s="1" t="n">
        <v>43902</v>
      </c>
      <c r="C61" s="1" t="n">
        <v>45753</v>
      </c>
      <c r="D61" t="inlineStr">
        <is>
          <t>VÄSTRA GÖTALANDS LÄN</t>
        </is>
      </c>
      <c r="E61" t="inlineStr">
        <is>
          <t>ALE</t>
        </is>
      </c>
      <c r="G61" t="n">
        <v>0.6</v>
      </c>
      <c r="H61" t="n">
        <v>0</v>
      </c>
      <c r="I61" t="n">
        <v>0</v>
      </c>
      <c r="J61" t="n">
        <v>0</v>
      </c>
      <c r="K61" t="n">
        <v>0</v>
      </c>
      <c r="L61" t="n">
        <v>0</v>
      </c>
      <c r="M61" t="n">
        <v>0</v>
      </c>
      <c r="N61" t="n">
        <v>0</v>
      </c>
      <c r="O61" t="n">
        <v>0</v>
      </c>
      <c r="P61" t="n">
        <v>0</v>
      </c>
      <c r="Q61" t="n">
        <v>0</v>
      </c>
      <c r="R61" s="2" t="inlineStr"/>
    </row>
    <row r="62" ht="15" customHeight="1">
      <c r="A62" t="inlineStr">
        <is>
          <t>A 21077-2020</t>
        </is>
      </c>
      <c r="B62" s="1" t="n">
        <v>43951</v>
      </c>
      <c r="C62" s="1" t="n">
        <v>45753</v>
      </c>
      <c r="D62" t="inlineStr">
        <is>
          <t>VÄSTRA GÖTALANDS LÄN</t>
        </is>
      </c>
      <c r="E62" t="inlineStr">
        <is>
          <t>ALE</t>
        </is>
      </c>
      <c r="G62" t="n">
        <v>4.4</v>
      </c>
      <c r="H62" t="n">
        <v>0</v>
      </c>
      <c r="I62" t="n">
        <v>0</v>
      </c>
      <c r="J62" t="n">
        <v>0</v>
      </c>
      <c r="K62" t="n">
        <v>0</v>
      </c>
      <c r="L62" t="n">
        <v>0</v>
      </c>
      <c r="M62" t="n">
        <v>0</v>
      </c>
      <c r="N62" t="n">
        <v>0</v>
      </c>
      <c r="O62" t="n">
        <v>0</v>
      </c>
      <c r="P62" t="n">
        <v>0</v>
      </c>
      <c r="Q62" t="n">
        <v>0</v>
      </c>
      <c r="R62" s="2" t="inlineStr"/>
    </row>
    <row r="63" ht="15" customHeight="1">
      <c r="A63" t="inlineStr">
        <is>
          <t>A 23099-2020</t>
        </is>
      </c>
      <c r="B63" s="1" t="n">
        <v>43965</v>
      </c>
      <c r="C63" s="1" t="n">
        <v>45753</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27496-2020</t>
        </is>
      </c>
      <c r="B64" s="1" t="n">
        <v>43993</v>
      </c>
      <c r="C64" s="1" t="n">
        <v>45753</v>
      </c>
      <c r="D64" t="inlineStr">
        <is>
          <t>VÄSTRA GÖTALANDS LÄN</t>
        </is>
      </c>
      <c r="E64" t="inlineStr">
        <is>
          <t>ALE</t>
        </is>
      </c>
      <c r="G64" t="n">
        <v>3.5</v>
      </c>
      <c r="H64" t="n">
        <v>0</v>
      </c>
      <c r="I64" t="n">
        <v>0</v>
      </c>
      <c r="J64" t="n">
        <v>0</v>
      </c>
      <c r="K64" t="n">
        <v>0</v>
      </c>
      <c r="L64" t="n">
        <v>0</v>
      </c>
      <c r="M64" t="n">
        <v>0</v>
      </c>
      <c r="N64" t="n">
        <v>0</v>
      </c>
      <c r="O64" t="n">
        <v>0</v>
      </c>
      <c r="P64" t="n">
        <v>0</v>
      </c>
      <c r="Q64" t="n">
        <v>0</v>
      </c>
      <c r="R64" s="2" t="inlineStr"/>
    </row>
    <row r="65" ht="15" customHeight="1">
      <c r="A65" t="inlineStr">
        <is>
          <t>A 29258-2020</t>
        </is>
      </c>
      <c r="B65" s="1" t="n">
        <v>44004</v>
      </c>
      <c r="C65" s="1" t="n">
        <v>45753</v>
      </c>
      <c r="D65" t="inlineStr">
        <is>
          <t>VÄSTRA GÖTALANDS LÄN</t>
        </is>
      </c>
      <c r="E65" t="inlineStr">
        <is>
          <t>ALE</t>
        </is>
      </c>
      <c r="G65" t="n">
        <v>1.5</v>
      </c>
      <c r="H65" t="n">
        <v>0</v>
      </c>
      <c r="I65" t="n">
        <v>0</v>
      </c>
      <c r="J65" t="n">
        <v>0</v>
      </c>
      <c r="K65" t="n">
        <v>0</v>
      </c>
      <c r="L65" t="n">
        <v>0</v>
      </c>
      <c r="M65" t="n">
        <v>0</v>
      </c>
      <c r="N65" t="n">
        <v>0</v>
      </c>
      <c r="O65" t="n">
        <v>0</v>
      </c>
      <c r="P65" t="n">
        <v>0</v>
      </c>
      <c r="Q65" t="n">
        <v>0</v>
      </c>
      <c r="R65" s="2" t="inlineStr"/>
    </row>
    <row r="66" ht="15" customHeight="1">
      <c r="A66" t="inlineStr">
        <is>
          <t>A 31247-2020</t>
        </is>
      </c>
      <c r="B66" s="1" t="n">
        <v>44012</v>
      </c>
      <c r="C66" s="1" t="n">
        <v>45753</v>
      </c>
      <c r="D66" t="inlineStr">
        <is>
          <t>VÄSTRA GÖTALANDS LÄN</t>
        </is>
      </c>
      <c r="E66" t="inlineStr">
        <is>
          <t>ALE</t>
        </is>
      </c>
      <c r="G66" t="n">
        <v>1.8</v>
      </c>
      <c r="H66" t="n">
        <v>0</v>
      </c>
      <c r="I66" t="n">
        <v>0</v>
      </c>
      <c r="J66" t="n">
        <v>0</v>
      </c>
      <c r="K66" t="n">
        <v>0</v>
      </c>
      <c r="L66" t="n">
        <v>0</v>
      </c>
      <c r="M66" t="n">
        <v>0</v>
      </c>
      <c r="N66" t="n">
        <v>0</v>
      </c>
      <c r="O66" t="n">
        <v>0</v>
      </c>
      <c r="P66" t="n">
        <v>0</v>
      </c>
      <c r="Q66" t="n">
        <v>0</v>
      </c>
      <c r="R66" s="2" t="inlineStr"/>
    </row>
    <row r="67" ht="15" customHeight="1">
      <c r="A67" t="inlineStr">
        <is>
          <t>A 52839-2020</t>
        </is>
      </c>
      <c r="B67" s="1" t="n">
        <v>44118</v>
      </c>
      <c r="C67" s="1" t="n">
        <v>45753</v>
      </c>
      <c r="D67" t="inlineStr">
        <is>
          <t>VÄSTRA GÖTALANDS LÄN</t>
        </is>
      </c>
      <c r="E67" t="inlineStr">
        <is>
          <t>ALE</t>
        </is>
      </c>
      <c r="G67" t="n">
        <v>1.4</v>
      </c>
      <c r="H67" t="n">
        <v>0</v>
      </c>
      <c r="I67" t="n">
        <v>0</v>
      </c>
      <c r="J67" t="n">
        <v>0</v>
      </c>
      <c r="K67" t="n">
        <v>0</v>
      </c>
      <c r="L67" t="n">
        <v>0</v>
      </c>
      <c r="M67" t="n">
        <v>0</v>
      </c>
      <c r="N67" t="n">
        <v>0</v>
      </c>
      <c r="O67" t="n">
        <v>0</v>
      </c>
      <c r="P67" t="n">
        <v>0</v>
      </c>
      <c r="Q67" t="n">
        <v>0</v>
      </c>
      <c r="R67" s="2" t="inlineStr"/>
    </row>
    <row r="68" ht="15" customHeight="1">
      <c r="A68" t="inlineStr">
        <is>
          <t>A 58099-2020</t>
        </is>
      </c>
      <c r="B68" s="1" t="n">
        <v>44144</v>
      </c>
      <c r="C68" s="1" t="n">
        <v>45753</v>
      </c>
      <c r="D68" t="inlineStr">
        <is>
          <t>VÄSTRA GÖTALANDS LÄN</t>
        </is>
      </c>
      <c r="E68" t="inlineStr">
        <is>
          <t>ALE</t>
        </is>
      </c>
      <c r="G68" t="n">
        <v>4.6</v>
      </c>
      <c r="H68" t="n">
        <v>0</v>
      </c>
      <c r="I68" t="n">
        <v>0</v>
      </c>
      <c r="J68" t="n">
        <v>0</v>
      </c>
      <c r="K68" t="n">
        <v>0</v>
      </c>
      <c r="L68" t="n">
        <v>0</v>
      </c>
      <c r="M68" t="n">
        <v>0</v>
      </c>
      <c r="N68" t="n">
        <v>0</v>
      </c>
      <c r="O68" t="n">
        <v>0</v>
      </c>
      <c r="P68" t="n">
        <v>0</v>
      </c>
      <c r="Q68" t="n">
        <v>0</v>
      </c>
      <c r="R68" s="2" t="inlineStr"/>
    </row>
    <row r="69" ht="15" customHeight="1">
      <c r="A69" t="inlineStr">
        <is>
          <t>A 66466-2020</t>
        </is>
      </c>
      <c r="B69" s="1" t="n">
        <v>44176</v>
      </c>
      <c r="C69" s="1" t="n">
        <v>45753</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66467-2020</t>
        </is>
      </c>
      <c r="B70" s="1" t="n">
        <v>44176</v>
      </c>
      <c r="C70" s="1" t="n">
        <v>45753</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66551-2020</t>
        </is>
      </c>
      <c r="B71" s="1" t="n">
        <v>44179</v>
      </c>
      <c r="C71" s="1" t="n">
        <v>45753</v>
      </c>
      <c r="D71" t="inlineStr">
        <is>
          <t>VÄSTRA GÖTALANDS LÄN</t>
        </is>
      </c>
      <c r="E71" t="inlineStr">
        <is>
          <t>ALE</t>
        </is>
      </c>
      <c r="G71" t="n">
        <v>4.5</v>
      </c>
      <c r="H71" t="n">
        <v>0</v>
      </c>
      <c r="I71" t="n">
        <v>0</v>
      </c>
      <c r="J71" t="n">
        <v>0</v>
      </c>
      <c r="K71" t="n">
        <v>0</v>
      </c>
      <c r="L71" t="n">
        <v>0</v>
      </c>
      <c r="M71" t="n">
        <v>0</v>
      </c>
      <c r="N71" t="n">
        <v>0</v>
      </c>
      <c r="O71" t="n">
        <v>0</v>
      </c>
      <c r="P71" t="n">
        <v>0</v>
      </c>
      <c r="Q71" t="n">
        <v>0</v>
      </c>
      <c r="R71" s="2" t="inlineStr"/>
    </row>
    <row r="72" ht="15" customHeight="1">
      <c r="A72" t="inlineStr">
        <is>
          <t>A 69325-2020</t>
        </is>
      </c>
      <c r="B72" s="1" t="n">
        <v>44193</v>
      </c>
      <c r="C72" s="1" t="n">
        <v>45753</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69359-2020</t>
        </is>
      </c>
      <c r="B73" s="1" t="n">
        <v>44193</v>
      </c>
      <c r="C73" s="1" t="n">
        <v>45753</v>
      </c>
      <c r="D73" t="inlineStr">
        <is>
          <t>VÄSTRA GÖTALANDS LÄN</t>
        </is>
      </c>
      <c r="E73" t="inlineStr">
        <is>
          <t>ALE</t>
        </is>
      </c>
      <c r="G73" t="n">
        <v>1.7</v>
      </c>
      <c r="H73" t="n">
        <v>0</v>
      </c>
      <c r="I73" t="n">
        <v>0</v>
      </c>
      <c r="J73" t="n">
        <v>0</v>
      </c>
      <c r="K73" t="n">
        <v>0</v>
      </c>
      <c r="L73" t="n">
        <v>0</v>
      </c>
      <c r="M73" t="n">
        <v>0</v>
      </c>
      <c r="N73" t="n">
        <v>0</v>
      </c>
      <c r="O73" t="n">
        <v>0</v>
      </c>
      <c r="P73" t="n">
        <v>0</v>
      </c>
      <c r="Q73" t="n">
        <v>0</v>
      </c>
      <c r="R73" s="2" t="inlineStr"/>
    </row>
    <row r="74" ht="15" customHeight="1">
      <c r="A74" t="inlineStr">
        <is>
          <t>A 2003-2021</t>
        </is>
      </c>
      <c r="B74" s="1" t="n">
        <v>44210</v>
      </c>
      <c r="C74" s="1" t="n">
        <v>45753</v>
      </c>
      <c r="D74" t="inlineStr">
        <is>
          <t>VÄSTRA GÖTALANDS LÄN</t>
        </is>
      </c>
      <c r="E74" t="inlineStr">
        <is>
          <t>ALE</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3293-2021</t>
        </is>
      </c>
      <c r="B75" s="1" t="n">
        <v>44217</v>
      </c>
      <c r="C75" s="1" t="n">
        <v>45753</v>
      </c>
      <c r="D75" t="inlineStr">
        <is>
          <t>VÄSTRA GÖTALANDS LÄN</t>
        </is>
      </c>
      <c r="E75" t="inlineStr">
        <is>
          <t>ALE</t>
        </is>
      </c>
      <c r="G75" t="n">
        <v>4.2</v>
      </c>
      <c r="H75" t="n">
        <v>0</v>
      </c>
      <c r="I75" t="n">
        <v>0</v>
      </c>
      <c r="J75" t="n">
        <v>0</v>
      </c>
      <c r="K75" t="n">
        <v>0</v>
      </c>
      <c r="L75" t="n">
        <v>0</v>
      </c>
      <c r="M75" t="n">
        <v>0</v>
      </c>
      <c r="N75" t="n">
        <v>0</v>
      </c>
      <c r="O75" t="n">
        <v>0</v>
      </c>
      <c r="P75" t="n">
        <v>0</v>
      </c>
      <c r="Q75" t="n">
        <v>0</v>
      </c>
      <c r="R75" s="2" t="inlineStr"/>
    </row>
    <row r="76" ht="15" customHeight="1">
      <c r="A76" t="inlineStr">
        <is>
          <t>A 13462-2021</t>
        </is>
      </c>
      <c r="B76" s="1" t="n">
        <v>44273</v>
      </c>
      <c r="C76" s="1" t="n">
        <v>45753</v>
      </c>
      <c r="D76" t="inlineStr">
        <is>
          <t>VÄSTRA GÖTALANDS LÄN</t>
        </is>
      </c>
      <c r="E76" t="inlineStr">
        <is>
          <t>ALE</t>
        </is>
      </c>
      <c r="G76" t="n">
        <v>7.4</v>
      </c>
      <c r="H76" t="n">
        <v>0</v>
      </c>
      <c r="I76" t="n">
        <v>0</v>
      </c>
      <c r="J76" t="n">
        <v>0</v>
      </c>
      <c r="K76" t="n">
        <v>0</v>
      </c>
      <c r="L76" t="n">
        <v>0</v>
      </c>
      <c r="M76" t="n">
        <v>0</v>
      </c>
      <c r="N76" t="n">
        <v>0</v>
      </c>
      <c r="O76" t="n">
        <v>0</v>
      </c>
      <c r="P76" t="n">
        <v>0</v>
      </c>
      <c r="Q76" t="n">
        <v>0</v>
      </c>
      <c r="R76" s="2" t="inlineStr"/>
    </row>
    <row r="77" ht="15" customHeight="1">
      <c r="A77" t="inlineStr">
        <is>
          <t>A 14517-2021</t>
        </is>
      </c>
      <c r="B77" s="1" t="n">
        <v>44279</v>
      </c>
      <c r="C77" s="1" t="n">
        <v>45753</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17283-2021</t>
        </is>
      </c>
      <c r="B78" s="1" t="n">
        <v>44298</v>
      </c>
      <c r="C78" s="1" t="n">
        <v>45753</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17286-2021</t>
        </is>
      </c>
      <c r="B79" s="1" t="n">
        <v>44298</v>
      </c>
      <c r="C79" s="1" t="n">
        <v>45753</v>
      </c>
      <c r="D79" t="inlineStr">
        <is>
          <t>VÄSTRA GÖTALANDS LÄN</t>
        </is>
      </c>
      <c r="E79" t="inlineStr">
        <is>
          <t>ALE</t>
        </is>
      </c>
      <c r="G79" t="n">
        <v>3.3</v>
      </c>
      <c r="H79" t="n">
        <v>0</v>
      </c>
      <c r="I79" t="n">
        <v>0</v>
      </c>
      <c r="J79" t="n">
        <v>0</v>
      </c>
      <c r="K79" t="n">
        <v>0</v>
      </c>
      <c r="L79" t="n">
        <v>0</v>
      </c>
      <c r="M79" t="n">
        <v>0</v>
      </c>
      <c r="N79" t="n">
        <v>0</v>
      </c>
      <c r="O79" t="n">
        <v>0</v>
      </c>
      <c r="P79" t="n">
        <v>0</v>
      </c>
      <c r="Q79" t="n">
        <v>0</v>
      </c>
      <c r="R79" s="2" t="inlineStr"/>
    </row>
    <row r="80" ht="15" customHeight="1">
      <c r="A80" t="inlineStr">
        <is>
          <t>A 18999-2021</t>
        </is>
      </c>
      <c r="B80" s="1" t="n">
        <v>44308</v>
      </c>
      <c r="C80" s="1" t="n">
        <v>45753</v>
      </c>
      <c r="D80" t="inlineStr">
        <is>
          <t>VÄSTRA GÖTALANDS LÄN</t>
        </is>
      </c>
      <c r="E80" t="inlineStr">
        <is>
          <t>ALE</t>
        </is>
      </c>
      <c r="G80" t="n">
        <v>3.7</v>
      </c>
      <c r="H80" t="n">
        <v>0</v>
      </c>
      <c r="I80" t="n">
        <v>0</v>
      </c>
      <c r="J80" t="n">
        <v>0</v>
      </c>
      <c r="K80" t="n">
        <v>0</v>
      </c>
      <c r="L80" t="n">
        <v>0</v>
      </c>
      <c r="M80" t="n">
        <v>0</v>
      </c>
      <c r="N80" t="n">
        <v>0</v>
      </c>
      <c r="O80" t="n">
        <v>0</v>
      </c>
      <c r="P80" t="n">
        <v>0</v>
      </c>
      <c r="Q80" t="n">
        <v>0</v>
      </c>
      <c r="R80" s="2" t="inlineStr"/>
    </row>
    <row r="81" ht="15" customHeight="1">
      <c r="A81" t="inlineStr">
        <is>
          <t>A 21026-2021</t>
        </is>
      </c>
      <c r="B81" s="1" t="n">
        <v>44319</v>
      </c>
      <c r="C81" s="1" t="n">
        <v>45753</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21281-2021</t>
        </is>
      </c>
      <c r="B82" s="1" t="n">
        <v>44320</v>
      </c>
      <c r="C82" s="1" t="n">
        <v>45753</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22138-2021</t>
        </is>
      </c>
      <c r="B83" s="1" t="n">
        <v>44324</v>
      </c>
      <c r="C83" s="1" t="n">
        <v>45753</v>
      </c>
      <c r="D83" t="inlineStr">
        <is>
          <t>VÄSTRA GÖTALANDS LÄN</t>
        </is>
      </c>
      <c r="E83" t="inlineStr">
        <is>
          <t>ALE</t>
        </is>
      </c>
      <c r="G83" t="n">
        <v>0.6</v>
      </c>
      <c r="H83" t="n">
        <v>0</v>
      </c>
      <c r="I83" t="n">
        <v>0</v>
      </c>
      <c r="J83" t="n">
        <v>0</v>
      </c>
      <c r="K83" t="n">
        <v>0</v>
      </c>
      <c r="L83" t="n">
        <v>0</v>
      </c>
      <c r="M83" t="n">
        <v>0</v>
      </c>
      <c r="N83" t="n">
        <v>0</v>
      </c>
      <c r="O83" t="n">
        <v>0</v>
      </c>
      <c r="P83" t="n">
        <v>0</v>
      </c>
      <c r="Q83" t="n">
        <v>0</v>
      </c>
      <c r="R83" s="2" t="inlineStr"/>
    </row>
    <row r="84" ht="15" customHeight="1">
      <c r="A84" t="inlineStr">
        <is>
          <t>A 25632-2021</t>
        </is>
      </c>
      <c r="B84" s="1" t="n">
        <v>44343</v>
      </c>
      <c r="C84" s="1" t="n">
        <v>45753</v>
      </c>
      <c r="D84" t="inlineStr">
        <is>
          <t>VÄSTRA GÖTALANDS LÄN</t>
        </is>
      </c>
      <c r="E84" t="inlineStr">
        <is>
          <t>ALE</t>
        </is>
      </c>
      <c r="G84" t="n">
        <v>3.2</v>
      </c>
      <c r="H84" t="n">
        <v>0</v>
      </c>
      <c r="I84" t="n">
        <v>0</v>
      </c>
      <c r="J84" t="n">
        <v>0</v>
      </c>
      <c r="K84" t="n">
        <v>0</v>
      </c>
      <c r="L84" t="n">
        <v>0</v>
      </c>
      <c r="M84" t="n">
        <v>0</v>
      </c>
      <c r="N84" t="n">
        <v>0</v>
      </c>
      <c r="O84" t="n">
        <v>0</v>
      </c>
      <c r="P84" t="n">
        <v>0</v>
      </c>
      <c r="Q84" t="n">
        <v>0</v>
      </c>
      <c r="R84" s="2" t="inlineStr"/>
    </row>
    <row r="85" ht="15" customHeight="1">
      <c r="A85" t="inlineStr">
        <is>
          <t>A 27314-2021</t>
        </is>
      </c>
      <c r="B85" s="1" t="n">
        <v>44351</v>
      </c>
      <c r="C85" s="1" t="n">
        <v>45753</v>
      </c>
      <c r="D85" t="inlineStr">
        <is>
          <t>VÄSTRA GÖTALANDS LÄN</t>
        </is>
      </c>
      <c r="E85" t="inlineStr">
        <is>
          <t>ALE</t>
        </is>
      </c>
      <c r="G85" t="n">
        <v>11.3</v>
      </c>
      <c r="H85" t="n">
        <v>0</v>
      </c>
      <c r="I85" t="n">
        <v>0</v>
      </c>
      <c r="J85" t="n">
        <v>0</v>
      </c>
      <c r="K85" t="n">
        <v>0</v>
      </c>
      <c r="L85" t="n">
        <v>0</v>
      </c>
      <c r="M85" t="n">
        <v>0</v>
      </c>
      <c r="N85" t="n">
        <v>0</v>
      </c>
      <c r="O85" t="n">
        <v>0</v>
      </c>
      <c r="P85" t="n">
        <v>0</v>
      </c>
      <c r="Q85" t="n">
        <v>0</v>
      </c>
      <c r="R85" s="2" t="inlineStr"/>
    </row>
    <row r="86" ht="15" customHeight="1">
      <c r="A86" t="inlineStr">
        <is>
          <t>A 31566-2021</t>
        </is>
      </c>
      <c r="B86" s="1" t="n">
        <v>44369</v>
      </c>
      <c r="C86" s="1" t="n">
        <v>45753</v>
      </c>
      <c r="D86" t="inlineStr">
        <is>
          <t>VÄSTRA GÖTALANDS LÄN</t>
        </is>
      </c>
      <c r="E86" t="inlineStr">
        <is>
          <t>ALE</t>
        </is>
      </c>
      <c r="G86" t="n">
        <v>1.1</v>
      </c>
      <c r="H86" t="n">
        <v>0</v>
      </c>
      <c r="I86" t="n">
        <v>0</v>
      </c>
      <c r="J86" t="n">
        <v>0</v>
      </c>
      <c r="K86" t="n">
        <v>0</v>
      </c>
      <c r="L86" t="n">
        <v>0</v>
      </c>
      <c r="M86" t="n">
        <v>0</v>
      </c>
      <c r="N86" t="n">
        <v>0</v>
      </c>
      <c r="O86" t="n">
        <v>0</v>
      </c>
      <c r="P86" t="n">
        <v>0</v>
      </c>
      <c r="Q86" t="n">
        <v>0</v>
      </c>
      <c r="R86" s="2" t="inlineStr"/>
    </row>
    <row r="87" ht="15" customHeight="1">
      <c r="A87" t="inlineStr">
        <is>
          <t>A 31568-2021</t>
        </is>
      </c>
      <c r="B87" s="1" t="n">
        <v>44369</v>
      </c>
      <c r="C87" s="1" t="n">
        <v>45753</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35148-2021</t>
        </is>
      </c>
      <c r="B88" s="1" t="n">
        <v>44384</v>
      </c>
      <c r="C88" s="1" t="n">
        <v>45753</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36394-2021</t>
        </is>
      </c>
      <c r="B89" s="1" t="n">
        <v>44389</v>
      </c>
      <c r="C89" s="1" t="n">
        <v>45753</v>
      </c>
      <c r="D89" t="inlineStr">
        <is>
          <t>VÄSTRA GÖTALANDS LÄN</t>
        </is>
      </c>
      <c r="E89" t="inlineStr">
        <is>
          <t>ALE</t>
        </is>
      </c>
      <c r="G89" t="n">
        <v>0.9</v>
      </c>
      <c r="H89" t="n">
        <v>0</v>
      </c>
      <c r="I89" t="n">
        <v>0</v>
      </c>
      <c r="J89" t="n">
        <v>0</v>
      </c>
      <c r="K89" t="n">
        <v>0</v>
      </c>
      <c r="L89" t="n">
        <v>0</v>
      </c>
      <c r="M89" t="n">
        <v>0</v>
      </c>
      <c r="N89" t="n">
        <v>0</v>
      </c>
      <c r="O89" t="n">
        <v>0</v>
      </c>
      <c r="P89" t="n">
        <v>0</v>
      </c>
      <c r="Q89" t="n">
        <v>0</v>
      </c>
      <c r="R89" s="2" t="inlineStr"/>
    </row>
    <row r="90" ht="15" customHeight="1">
      <c r="A90" t="inlineStr">
        <is>
          <t>A 45986-2021</t>
        </is>
      </c>
      <c r="B90" s="1" t="n">
        <v>44441</v>
      </c>
      <c r="C90" s="1" t="n">
        <v>45753</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45988-2021</t>
        </is>
      </c>
      <c r="B91" s="1" t="n">
        <v>44441</v>
      </c>
      <c r="C91" s="1" t="n">
        <v>45753</v>
      </c>
      <c r="D91" t="inlineStr">
        <is>
          <t>VÄSTRA GÖTALANDS LÄN</t>
        </is>
      </c>
      <c r="E91" t="inlineStr">
        <is>
          <t>ALE</t>
        </is>
      </c>
      <c r="G91" t="n">
        <v>1.2</v>
      </c>
      <c r="H91" t="n">
        <v>0</v>
      </c>
      <c r="I91" t="n">
        <v>0</v>
      </c>
      <c r="J91" t="n">
        <v>0</v>
      </c>
      <c r="K91" t="n">
        <v>0</v>
      </c>
      <c r="L91" t="n">
        <v>0</v>
      </c>
      <c r="M91" t="n">
        <v>0</v>
      </c>
      <c r="N91" t="n">
        <v>0</v>
      </c>
      <c r="O91" t="n">
        <v>0</v>
      </c>
      <c r="P91" t="n">
        <v>0</v>
      </c>
      <c r="Q91" t="n">
        <v>0</v>
      </c>
      <c r="R91" s="2" t="inlineStr"/>
    </row>
    <row r="92" ht="15" customHeight="1">
      <c r="A92" t="inlineStr">
        <is>
          <t>A 46391-2021</t>
        </is>
      </c>
      <c r="B92" s="1" t="n">
        <v>44443</v>
      </c>
      <c r="C92" s="1" t="n">
        <v>45753</v>
      </c>
      <c r="D92" t="inlineStr">
        <is>
          <t>VÄSTRA GÖTALANDS LÄN</t>
        </is>
      </c>
      <c r="E92" t="inlineStr">
        <is>
          <t>ALE</t>
        </is>
      </c>
      <c r="G92" t="n">
        <v>1.3</v>
      </c>
      <c r="H92" t="n">
        <v>0</v>
      </c>
      <c r="I92" t="n">
        <v>0</v>
      </c>
      <c r="J92" t="n">
        <v>0</v>
      </c>
      <c r="K92" t="n">
        <v>0</v>
      </c>
      <c r="L92" t="n">
        <v>0</v>
      </c>
      <c r="M92" t="n">
        <v>0</v>
      </c>
      <c r="N92" t="n">
        <v>0</v>
      </c>
      <c r="O92" t="n">
        <v>0</v>
      </c>
      <c r="P92" t="n">
        <v>0</v>
      </c>
      <c r="Q92" t="n">
        <v>0</v>
      </c>
      <c r="R92" s="2" t="inlineStr"/>
    </row>
    <row r="93" ht="15" customHeight="1">
      <c r="A93" t="inlineStr">
        <is>
          <t>A 49955-2021</t>
        </is>
      </c>
      <c r="B93" s="1" t="n">
        <v>44456</v>
      </c>
      <c r="C93" s="1" t="n">
        <v>45753</v>
      </c>
      <c r="D93" t="inlineStr">
        <is>
          <t>VÄSTRA GÖTALANDS LÄN</t>
        </is>
      </c>
      <c r="E93" t="inlineStr">
        <is>
          <t>ALE</t>
        </is>
      </c>
      <c r="G93" t="n">
        <v>2.2</v>
      </c>
      <c r="H93" t="n">
        <v>0</v>
      </c>
      <c r="I93" t="n">
        <v>0</v>
      </c>
      <c r="J93" t="n">
        <v>0</v>
      </c>
      <c r="K93" t="n">
        <v>0</v>
      </c>
      <c r="L93" t="n">
        <v>0</v>
      </c>
      <c r="M93" t="n">
        <v>0</v>
      </c>
      <c r="N93" t="n">
        <v>0</v>
      </c>
      <c r="O93" t="n">
        <v>0</v>
      </c>
      <c r="P93" t="n">
        <v>0</v>
      </c>
      <c r="Q93" t="n">
        <v>0</v>
      </c>
      <c r="R93" s="2" t="inlineStr"/>
    </row>
    <row r="94" ht="15" customHeight="1">
      <c r="A94" t="inlineStr">
        <is>
          <t>A 53144-2021</t>
        </is>
      </c>
      <c r="B94" s="1" t="n">
        <v>44468</v>
      </c>
      <c r="C94" s="1" t="n">
        <v>45753</v>
      </c>
      <c r="D94" t="inlineStr">
        <is>
          <t>VÄSTRA GÖTALANDS LÄN</t>
        </is>
      </c>
      <c r="E94" t="inlineStr">
        <is>
          <t>ALE</t>
        </is>
      </c>
      <c r="G94" t="n">
        <v>2.6</v>
      </c>
      <c r="H94" t="n">
        <v>0</v>
      </c>
      <c r="I94" t="n">
        <v>0</v>
      </c>
      <c r="J94" t="n">
        <v>0</v>
      </c>
      <c r="K94" t="n">
        <v>0</v>
      </c>
      <c r="L94" t="n">
        <v>0</v>
      </c>
      <c r="M94" t="n">
        <v>0</v>
      </c>
      <c r="N94" t="n">
        <v>0</v>
      </c>
      <c r="O94" t="n">
        <v>0</v>
      </c>
      <c r="P94" t="n">
        <v>0</v>
      </c>
      <c r="Q94" t="n">
        <v>0</v>
      </c>
      <c r="R94" s="2" t="inlineStr"/>
    </row>
    <row r="95" ht="15" customHeight="1">
      <c r="A95" t="inlineStr">
        <is>
          <t>A 55405-2021</t>
        </is>
      </c>
      <c r="B95" s="1" t="n">
        <v>44475</v>
      </c>
      <c r="C95" s="1" t="n">
        <v>45753</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56493-2021</t>
        </is>
      </c>
      <c r="B96" s="1" t="n">
        <v>44480</v>
      </c>
      <c r="C96" s="1" t="n">
        <v>45753</v>
      </c>
      <c r="D96" t="inlineStr">
        <is>
          <t>VÄSTRA GÖTALANDS LÄN</t>
        </is>
      </c>
      <c r="E96" t="inlineStr">
        <is>
          <t>ALE</t>
        </is>
      </c>
      <c r="G96" t="n">
        <v>1.7</v>
      </c>
      <c r="H96" t="n">
        <v>0</v>
      </c>
      <c r="I96" t="n">
        <v>0</v>
      </c>
      <c r="J96" t="n">
        <v>0</v>
      </c>
      <c r="K96" t="n">
        <v>0</v>
      </c>
      <c r="L96" t="n">
        <v>0</v>
      </c>
      <c r="M96" t="n">
        <v>0</v>
      </c>
      <c r="N96" t="n">
        <v>0</v>
      </c>
      <c r="O96" t="n">
        <v>0</v>
      </c>
      <c r="P96" t="n">
        <v>0</v>
      </c>
      <c r="Q96" t="n">
        <v>0</v>
      </c>
      <c r="R96" s="2" t="inlineStr"/>
    </row>
    <row r="97" ht="15" customHeight="1">
      <c r="A97" t="inlineStr">
        <is>
          <t>A 62855-2021</t>
        </is>
      </c>
      <c r="B97" s="1" t="n">
        <v>44504</v>
      </c>
      <c r="C97" s="1" t="n">
        <v>45753</v>
      </c>
      <c r="D97" t="inlineStr">
        <is>
          <t>VÄSTRA GÖTALANDS LÄN</t>
        </is>
      </c>
      <c r="E97" t="inlineStr">
        <is>
          <t>ALE</t>
        </is>
      </c>
      <c r="G97" t="n">
        <v>5.6</v>
      </c>
      <c r="H97" t="n">
        <v>0</v>
      </c>
      <c r="I97" t="n">
        <v>0</v>
      </c>
      <c r="J97" t="n">
        <v>0</v>
      </c>
      <c r="K97" t="n">
        <v>0</v>
      </c>
      <c r="L97" t="n">
        <v>0</v>
      </c>
      <c r="M97" t="n">
        <v>0</v>
      </c>
      <c r="N97" t="n">
        <v>0</v>
      </c>
      <c r="O97" t="n">
        <v>0</v>
      </c>
      <c r="P97" t="n">
        <v>0</v>
      </c>
      <c r="Q97" t="n">
        <v>0</v>
      </c>
      <c r="R97" s="2" t="inlineStr"/>
    </row>
    <row r="98" ht="15" customHeight="1">
      <c r="A98" t="inlineStr">
        <is>
          <t>A 64199-2021</t>
        </is>
      </c>
      <c r="B98" s="1" t="n">
        <v>44510</v>
      </c>
      <c r="C98" s="1" t="n">
        <v>45753</v>
      </c>
      <c r="D98" t="inlineStr">
        <is>
          <t>VÄSTRA GÖTALANDS LÄN</t>
        </is>
      </c>
      <c r="E98" t="inlineStr">
        <is>
          <t>ALE</t>
        </is>
      </c>
      <c r="G98" t="n">
        <v>5.7</v>
      </c>
      <c r="H98" t="n">
        <v>0</v>
      </c>
      <c r="I98" t="n">
        <v>0</v>
      </c>
      <c r="J98" t="n">
        <v>0</v>
      </c>
      <c r="K98" t="n">
        <v>0</v>
      </c>
      <c r="L98" t="n">
        <v>0</v>
      </c>
      <c r="M98" t="n">
        <v>0</v>
      </c>
      <c r="N98" t="n">
        <v>0</v>
      </c>
      <c r="O98" t="n">
        <v>0</v>
      </c>
      <c r="P98" t="n">
        <v>0</v>
      </c>
      <c r="Q98" t="n">
        <v>0</v>
      </c>
      <c r="R98" s="2" t="inlineStr"/>
    </row>
    <row r="99" ht="15" customHeight="1">
      <c r="A99" t="inlineStr">
        <is>
          <t>A 65226-2021</t>
        </is>
      </c>
      <c r="B99" s="1" t="n">
        <v>44515</v>
      </c>
      <c r="C99" s="1" t="n">
        <v>45753</v>
      </c>
      <c r="D99" t="inlineStr">
        <is>
          <t>VÄSTRA GÖTALANDS LÄN</t>
        </is>
      </c>
      <c r="E99" t="inlineStr">
        <is>
          <t>ALE</t>
        </is>
      </c>
      <c r="G99" t="n">
        <v>0.7</v>
      </c>
      <c r="H99" t="n">
        <v>0</v>
      </c>
      <c r="I99" t="n">
        <v>0</v>
      </c>
      <c r="J99" t="n">
        <v>0</v>
      </c>
      <c r="K99" t="n">
        <v>0</v>
      </c>
      <c r="L99" t="n">
        <v>0</v>
      </c>
      <c r="M99" t="n">
        <v>0</v>
      </c>
      <c r="N99" t="n">
        <v>0</v>
      </c>
      <c r="O99" t="n">
        <v>0</v>
      </c>
      <c r="P99" t="n">
        <v>0</v>
      </c>
      <c r="Q99" t="n">
        <v>0</v>
      </c>
      <c r="R99" s="2" t="inlineStr"/>
    </row>
    <row r="100" ht="15" customHeight="1">
      <c r="A100" t="inlineStr">
        <is>
          <t>A 65222-2021</t>
        </is>
      </c>
      <c r="B100" s="1" t="n">
        <v>44515</v>
      </c>
      <c r="C100" s="1" t="n">
        <v>45753</v>
      </c>
      <c r="D100" t="inlineStr">
        <is>
          <t>VÄSTRA GÖTALANDS LÄN</t>
        </is>
      </c>
      <c r="E100" t="inlineStr">
        <is>
          <t>ALE</t>
        </is>
      </c>
      <c r="G100" t="n">
        <v>1.2</v>
      </c>
      <c r="H100" t="n">
        <v>0</v>
      </c>
      <c r="I100" t="n">
        <v>0</v>
      </c>
      <c r="J100" t="n">
        <v>0</v>
      </c>
      <c r="K100" t="n">
        <v>0</v>
      </c>
      <c r="L100" t="n">
        <v>0</v>
      </c>
      <c r="M100" t="n">
        <v>0</v>
      </c>
      <c r="N100" t="n">
        <v>0</v>
      </c>
      <c r="O100" t="n">
        <v>0</v>
      </c>
      <c r="P100" t="n">
        <v>0</v>
      </c>
      <c r="Q100" t="n">
        <v>0</v>
      </c>
      <c r="R100" s="2" t="inlineStr"/>
    </row>
    <row r="101" ht="15" customHeight="1">
      <c r="A101" t="inlineStr">
        <is>
          <t>A 66893-2021</t>
        </is>
      </c>
      <c r="B101" s="1" t="n">
        <v>44522</v>
      </c>
      <c r="C101" s="1" t="n">
        <v>45753</v>
      </c>
      <c r="D101" t="inlineStr">
        <is>
          <t>VÄSTRA GÖTALANDS LÄN</t>
        </is>
      </c>
      <c r="E101" t="inlineStr">
        <is>
          <t>ALE</t>
        </is>
      </c>
      <c r="G101" t="n">
        <v>1.4</v>
      </c>
      <c r="H101" t="n">
        <v>0</v>
      </c>
      <c r="I101" t="n">
        <v>0</v>
      </c>
      <c r="J101" t="n">
        <v>0</v>
      </c>
      <c r="K101" t="n">
        <v>0</v>
      </c>
      <c r="L101" t="n">
        <v>0</v>
      </c>
      <c r="M101" t="n">
        <v>0</v>
      </c>
      <c r="N101" t="n">
        <v>0</v>
      </c>
      <c r="O101" t="n">
        <v>0</v>
      </c>
      <c r="P101" t="n">
        <v>0</v>
      </c>
      <c r="Q101" t="n">
        <v>0</v>
      </c>
      <c r="R101" s="2" t="inlineStr"/>
    </row>
    <row r="102" ht="15" customHeight="1">
      <c r="A102" t="inlineStr">
        <is>
          <t>A 67165-2021</t>
        </is>
      </c>
      <c r="B102" s="1" t="n">
        <v>44523</v>
      </c>
      <c r="C102" s="1" t="n">
        <v>45753</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67160-2021</t>
        </is>
      </c>
      <c r="B103" s="1" t="n">
        <v>44523</v>
      </c>
      <c r="C103" s="1" t="n">
        <v>45753</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72801-2021</t>
        </is>
      </c>
      <c r="B104" s="1" t="n">
        <v>44546</v>
      </c>
      <c r="C104" s="1" t="n">
        <v>45753</v>
      </c>
      <c r="D104" t="inlineStr">
        <is>
          <t>VÄSTRA GÖTALANDS LÄN</t>
        </is>
      </c>
      <c r="E104" t="inlineStr">
        <is>
          <t>ALE</t>
        </is>
      </c>
      <c r="F104" t="inlineStr">
        <is>
          <t>Naturvårdsverket</t>
        </is>
      </c>
      <c r="G104" t="n">
        <v>1.4</v>
      </c>
      <c r="H104" t="n">
        <v>0</v>
      </c>
      <c r="I104" t="n">
        <v>0</v>
      </c>
      <c r="J104" t="n">
        <v>0</v>
      </c>
      <c r="K104" t="n">
        <v>0</v>
      </c>
      <c r="L104" t="n">
        <v>0</v>
      </c>
      <c r="M104" t="n">
        <v>0</v>
      </c>
      <c r="N104" t="n">
        <v>0</v>
      </c>
      <c r="O104" t="n">
        <v>0</v>
      </c>
      <c r="P104" t="n">
        <v>0</v>
      </c>
      <c r="Q104" t="n">
        <v>0</v>
      </c>
      <c r="R104" s="2" t="inlineStr"/>
    </row>
    <row r="105" ht="15" customHeight="1">
      <c r="A105" t="inlineStr">
        <is>
          <t>A 200-2022</t>
        </is>
      </c>
      <c r="B105" s="1" t="n">
        <v>44564</v>
      </c>
      <c r="C105" s="1" t="n">
        <v>45753</v>
      </c>
      <c r="D105" t="inlineStr">
        <is>
          <t>VÄSTRA GÖTALANDS LÄN</t>
        </is>
      </c>
      <c r="E105" t="inlineStr">
        <is>
          <t>ALE</t>
        </is>
      </c>
      <c r="G105" t="n">
        <v>6.8</v>
      </c>
      <c r="H105" t="n">
        <v>0</v>
      </c>
      <c r="I105" t="n">
        <v>0</v>
      </c>
      <c r="J105" t="n">
        <v>0</v>
      </c>
      <c r="K105" t="n">
        <v>0</v>
      </c>
      <c r="L105" t="n">
        <v>0</v>
      </c>
      <c r="M105" t="n">
        <v>0</v>
      </c>
      <c r="N105" t="n">
        <v>0</v>
      </c>
      <c r="O105" t="n">
        <v>0</v>
      </c>
      <c r="P105" t="n">
        <v>0</v>
      </c>
      <c r="Q105" t="n">
        <v>0</v>
      </c>
      <c r="R105" s="2" t="inlineStr"/>
    </row>
    <row r="106" ht="15" customHeight="1">
      <c r="A106" t="inlineStr">
        <is>
          <t>A 1566-2022</t>
        </is>
      </c>
      <c r="B106" s="1" t="n">
        <v>44573</v>
      </c>
      <c r="C106" s="1" t="n">
        <v>45753</v>
      </c>
      <c r="D106" t="inlineStr">
        <is>
          <t>VÄSTRA GÖTALANDS LÄN</t>
        </is>
      </c>
      <c r="E106" t="inlineStr">
        <is>
          <t>ALE</t>
        </is>
      </c>
      <c r="G106" t="n">
        <v>3</v>
      </c>
      <c r="H106" t="n">
        <v>0</v>
      </c>
      <c r="I106" t="n">
        <v>0</v>
      </c>
      <c r="J106" t="n">
        <v>0</v>
      </c>
      <c r="K106" t="n">
        <v>0</v>
      </c>
      <c r="L106" t="n">
        <v>0</v>
      </c>
      <c r="M106" t="n">
        <v>0</v>
      </c>
      <c r="N106" t="n">
        <v>0</v>
      </c>
      <c r="O106" t="n">
        <v>0</v>
      </c>
      <c r="P106" t="n">
        <v>0</v>
      </c>
      <c r="Q106" t="n">
        <v>0</v>
      </c>
      <c r="R106" s="2" t="inlineStr"/>
    </row>
    <row r="107" ht="15" customHeight="1">
      <c r="A107" t="inlineStr">
        <is>
          <t>A 2563-2022</t>
        </is>
      </c>
      <c r="B107" s="1" t="n">
        <v>44580</v>
      </c>
      <c r="C107" s="1" t="n">
        <v>45753</v>
      </c>
      <c r="D107" t="inlineStr">
        <is>
          <t>VÄSTRA GÖTALANDS LÄN</t>
        </is>
      </c>
      <c r="E107" t="inlineStr">
        <is>
          <t>ALE</t>
        </is>
      </c>
      <c r="G107" t="n">
        <v>2.6</v>
      </c>
      <c r="H107" t="n">
        <v>0</v>
      </c>
      <c r="I107" t="n">
        <v>0</v>
      </c>
      <c r="J107" t="n">
        <v>0</v>
      </c>
      <c r="K107" t="n">
        <v>0</v>
      </c>
      <c r="L107" t="n">
        <v>0</v>
      </c>
      <c r="M107" t="n">
        <v>0</v>
      </c>
      <c r="N107" t="n">
        <v>0</v>
      </c>
      <c r="O107" t="n">
        <v>0</v>
      </c>
      <c r="P107" t="n">
        <v>0</v>
      </c>
      <c r="Q107" t="n">
        <v>0</v>
      </c>
      <c r="R107" s="2" t="inlineStr"/>
    </row>
    <row r="108" ht="15" customHeight="1">
      <c r="A108" t="inlineStr">
        <is>
          <t>A 3179-2022</t>
        </is>
      </c>
      <c r="B108" s="1" t="n">
        <v>44582</v>
      </c>
      <c r="C108" s="1" t="n">
        <v>45753</v>
      </c>
      <c r="D108" t="inlineStr">
        <is>
          <t>VÄSTRA GÖTALANDS LÄN</t>
        </is>
      </c>
      <c r="E108" t="inlineStr">
        <is>
          <t>ALE</t>
        </is>
      </c>
      <c r="G108" t="n">
        <v>2.9</v>
      </c>
      <c r="H108" t="n">
        <v>0</v>
      </c>
      <c r="I108" t="n">
        <v>0</v>
      </c>
      <c r="J108" t="n">
        <v>0</v>
      </c>
      <c r="K108" t="n">
        <v>0</v>
      </c>
      <c r="L108" t="n">
        <v>0</v>
      </c>
      <c r="M108" t="n">
        <v>0</v>
      </c>
      <c r="N108" t="n">
        <v>0</v>
      </c>
      <c r="O108" t="n">
        <v>0</v>
      </c>
      <c r="P108" t="n">
        <v>0</v>
      </c>
      <c r="Q108" t="n">
        <v>0</v>
      </c>
      <c r="R108" s="2" t="inlineStr"/>
    </row>
    <row r="109" ht="15" customHeight="1">
      <c r="A109" t="inlineStr">
        <is>
          <t>A 3457-2022</t>
        </is>
      </c>
      <c r="B109" s="1" t="n">
        <v>44585</v>
      </c>
      <c r="C109" s="1" t="n">
        <v>45753</v>
      </c>
      <c r="D109" t="inlineStr">
        <is>
          <t>VÄSTRA GÖTALANDS LÄN</t>
        </is>
      </c>
      <c r="E109" t="inlineStr">
        <is>
          <t>ALE</t>
        </is>
      </c>
      <c r="G109" t="n">
        <v>5.1</v>
      </c>
      <c r="H109" t="n">
        <v>0</v>
      </c>
      <c r="I109" t="n">
        <v>0</v>
      </c>
      <c r="J109" t="n">
        <v>0</v>
      </c>
      <c r="K109" t="n">
        <v>0</v>
      </c>
      <c r="L109" t="n">
        <v>0</v>
      </c>
      <c r="M109" t="n">
        <v>0</v>
      </c>
      <c r="N109" t="n">
        <v>0</v>
      </c>
      <c r="O109" t="n">
        <v>0</v>
      </c>
      <c r="P109" t="n">
        <v>0</v>
      </c>
      <c r="Q109" t="n">
        <v>0</v>
      </c>
      <c r="R109" s="2" t="inlineStr"/>
    </row>
    <row r="110" ht="15" customHeight="1">
      <c r="A110" t="inlineStr">
        <is>
          <t>A 3520-2022</t>
        </is>
      </c>
      <c r="B110" s="1" t="n">
        <v>44585</v>
      </c>
      <c r="C110" s="1" t="n">
        <v>45753</v>
      </c>
      <c r="D110" t="inlineStr">
        <is>
          <t>VÄSTRA GÖTALANDS LÄN</t>
        </is>
      </c>
      <c r="E110" t="inlineStr">
        <is>
          <t>ALE</t>
        </is>
      </c>
      <c r="G110" t="n">
        <v>2.3</v>
      </c>
      <c r="H110" t="n">
        <v>0</v>
      </c>
      <c r="I110" t="n">
        <v>0</v>
      </c>
      <c r="J110" t="n">
        <v>0</v>
      </c>
      <c r="K110" t="n">
        <v>0</v>
      </c>
      <c r="L110" t="n">
        <v>0</v>
      </c>
      <c r="M110" t="n">
        <v>0</v>
      </c>
      <c r="N110" t="n">
        <v>0</v>
      </c>
      <c r="O110" t="n">
        <v>0</v>
      </c>
      <c r="P110" t="n">
        <v>0</v>
      </c>
      <c r="Q110" t="n">
        <v>0</v>
      </c>
      <c r="R110" s="2" t="inlineStr"/>
    </row>
    <row r="111" ht="15" customHeight="1">
      <c r="A111" t="inlineStr">
        <is>
          <t>A 8609-2022</t>
        </is>
      </c>
      <c r="B111" s="1" t="n">
        <v>44613</v>
      </c>
      <c r="C111" s="1" t="n">
        <v>45753</v>
      </c>
      <c r="D111" t="inlineStr">
        <is>
          <t>VÄSTRA GÖTALANDS LÄN</t>
        </is>
      </c>
      <c r="E111" t="inlineStr">
        <is>
          <t>ALE</t>
        </is>
      </c>
      <c r="G111" t="n">
        <v>1.6</v>
      </c>
      <c r="H111" t="n">
        <v>0</v>
      </c>
      <c r="I111" t="n">
        <v>0</v>
      </c>
      <c r="J111" t="n">
        <v>0</v>
      </c>
      <c r="K111" t="n">
        <v>0</v>
      </c>
      <c r="L111" t="n">
        <v>0</v>
      </c>
      <c r="M111" t="n">
        <v>0</v>
      </c>
      <c r="N111" t="n">
        <v>0</v>
      </c>
      <c r="O111" t="n">
        <v>0</v>
      </c>
      <c r="P111" t="n">
        <v>0</v>
      </c>
      <c r="Q111" t="n">
        <v>0</v>
      </c>
      <c r="R111" s="2" t="inlineStr"/>
    </row>
    <row r="112" ht="15" customHeight="1">
      <c r="A112" t="inlineStr">
        <is>
          <t>A 12055-2022</t>
        </is>
      </c>
      <c r="B112" s="1" t="n">
        <v>44636</v>
      </c>
      <c r="C112" s="1" t="n">
        <v>45753</v>
      </c>
      <c r="D112" t="inlineStr">
        <is>
          <t>VÄSTRA GÖTALANDS LÄN</t>
        </is>
      </c>
      <c r="E112" t="inlineStr">
        <is>
          <t>ALE</t>
        </is>
      </c>
      <c r="G112" t="n">
        <v>0.2</v>
      </c>
      <c r="H112" t="n">
        <v>0</v>
      </c>
      <c r="I112" t="n">
        <v>0</v>
      </c>
      <c r="J112" t="n">
        <v>0</v>
      </c>
      <c r="K112" t="n">
        <v>0</v>
      </c>
      <c r="L112" t="n">
        <v>0</v>
      </c>
      <c r="M112" t="n">
        <v>0</v>
      </c>
      <c r="N112" t="n">
        <v>0</v>
      </c>
      <c r="O112" t="n">
        <v>0</v>
      </c>
      <c r="P112" t="n">
        <v>0</v>
      </c>
      <c r="Q112" t="n">
        <v>0</v>
      </c>
      <c r="R112" s="2" t="inlineStr"/>
    </row>
    <row r="113" ht="15" customHeight="1">
      <c r="A113" t="inlineStr">
        <is>
          <t>A 12445-2022</t>
        </is>
      </c>
      <c r="B113" s="1" t="n">
        <v>44638</v>
      </c>
      <c r="C113" s="1" t="n">
        <v>45753</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14736-2022</t>
        </is>
      </c>
      <c r="B114" s="1" t="n">
        <v>44656</v>
      </c>
      <c r="C114" s="1" t="n">
        <v>45753</v>
      </c>
      <c r="D114" t="inlineStr">
        <is>
          <t>VÄSTRA GÖTALANDS LÄN</t>
        </is>
      </c>
      <c r="E114" t="inlineStr">
        <is>
          <t>ALE</t>
        </is>
      </c>
      <c r="G114" t="n">
        <v>0.7</v>
      </c>
      <c r="H114" t="n">
        <v>0</v>
      </c>
      <c r="I114" t="n">
        <v>0</v>
      </c>
      <c r="J114" t="n">
        <v>0</v>
      </c>
      <c r="K114" t="n">
        <v>0</v>
      </c>
      <c r="L114" t="n">
        <v>0</v>
      </c>
      <c r="M114" t="n">
        <v>0</v>
      </c>
      <c r="N114" t="n">
        <v>0</v>
      </c>
      <c r="O114" t="n">
        <v>0</v>
      </c>
      <c r="P114" t="n">
        <v>0</v>
      </c>
      <c r="Q114" t="n">
        <v>0</v>
      </c>
      <c r="R114" s="2" t="inlineStr"/>
    </row>
    <row r="115" ht="15" customHeight="1">
      <c r="A115" t="inlineStr">
        <is>
          <t>A 14751-2022</t>
        </is>
      </c>
      <c r="B115" s="1" t="n">
        <v>44656</v>
      </c>
      <c r="C115" s="1" t="n">
        <v>45753</v>
      </c>
      <c r="D115" t="inlineStr">
        <is>
          <t>VÄSTRA GÖTALANDS LÄN</t>
        </is>
      </c>
      <c r="E115" t="inlineStr">
        <is>
          <t>ALE</t>
        </is>
      </c>
      <c r="G115" t="n">
        <v>1.6</v>
      </c>
      <c r="H115" t="n">
        <v>0</v>
      </c>
      <c r="I115" t="n">
        <v>0</v>
      </c>
      <c r="J115" t="n">
        <v>0</v>
      </c>
      <c r="K115" t="n">
        <v>0</v>
      </c>
      <c r="L115" t="n">
        <v>0</v>
      </c>
      <c r="M115" t="n">
        <v>0</v>
      </c>
      <c r="N115" t="n">
        <v>0</v>
      </c>
      <c r="O115" t="n">
        <v>0</v>
      </c>
      <c r="P115" t="n">
        <v>0</v>
      </c>
      <c r="Q115" t="n">
        <v>0</v>
      </c>
      <c r="R115" s="2" t="inlineStr"/>
    </row>
    <row r="116" ht="15" customHeight="1">
      <c r="A116" t="inlineStr">
        <is>
          <t>A 14731-2022</t>
        </is>
      </c>
      <c r="B116" s="1" t="n">
        <v>44656</v>
      </c>
      <c r="C116" s="1" t="n">
        <v>45753</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15499-2022</t>
        </is>
      </c>
      <c r="B117" s="1" t="n">
        <v>44662</v>
      </c>
      <c r="C117" s="1" t="n">
        <v>45753</v>
      </c>
      <c r="D117" t="inlineStr">
        <is>
          <t>VÄSTRA GÖTALANDS LÄN</t>
        </is>
      </c>
      <c r="E117" t="inlineStr">
        <is>
          <t>ALE</t>
        </is>
      </c>
      <c r="G117" t="n">
        <v>4.7</v>
      </c>
      <c r="H117" t="n">
        <v>0</v>
      </c>
      <c r="I117" t="n">
        <v>0</v>
      </c>
      <c r="J117" t="n">
        <v>0</v>
      </c>
      <c r="K117" t="n">
        <v>0</v>
      </c>
      <c r="L117" t="n">
        <v>0</v>
      </c>
      <c r="M117" t="n">
        <v>0</v>
      </c>
      <c r="N117" t="n">
        <v>0</v>
      </c>
      <c r="O117" t="n">
        <v>0</v>
      </c>
      <c r="P117" t="n">
        <v>0</v>
      </c>
      <c r="Q117" t="n">
        <v>0</v>
      </c>
      <c r="R117" s="2" t="inlineStr"/>
    </row>
    <row r="118" ht="15" customHeight="1">
      <c r="A118" t="inlineStr">
        <is>
          <t>A 15508-2022</t>
        </is>
      </c>
      <c r="B118" s="1" t="n">
        <v>44662</v>
      </c>
      <c r="C118" s="1" t="n">
        <v>45753</v>
      </c>
      <c r="D118" t="inlineStr">
        <is>
          <t>VÄSTRA GÖTALANDS LÄN</t>
        </is>
      </c>
      <c r="E118" t="inlineStr">
        <is>
          <t>ALE</t>
        </is>
      </c>
      <c r="G118" t="n">
        <v>0.4</v>
      </c>
      <c r="H118" t="n">
        <v>0</v>
      </c>
      <c r="I118" t="n">
        <v>0</v>
      </c>
      <c r="J118" t="n">
        <v>0</v>
      </c>
      <c r="K118" t="n">
        <v>0</v>
      </c>
      <c r="L118" t="n">
        <v>0</v>
      </c>
      <c r="M118" t="n">
        <v>0</v>
      </c>
      <c r="N118" t="n">
        <v>0</v>
      </c>
      <c r="O118" t="n">
        <v>0</v>
      </c>
      <c r="P118" t="n">
        <v>0</v>
      </c>
      <c r="Q118" t="n">
        <v>0</v>
      </c>
      <c r="R118" s="2" t="inlineStr"/>
    </row>
    <row r="119" ht="15" customHeight="1">
      <c r="A119" t="inlineStr">
        <is>
          <t>A 20285-2022</t>
        </is>
      </c>
      <c r="B119" s="1" t="n">
        <v>44698</v>
      </c>
      <c r="C119" s="1" t="n">
        <v>45753</v>
      </c>
      <c r="D119" t="inlineStr">
        <is>
          <t>VÄSTRA GÖTALANDS LÄN</t>
        </is>
      </c>
      <c r="E119" t="inlineStr">
        <is>
          <t>ALE</t>
        </is>
      </c>
      <c r="G119" t="n">
        <v>1.8</v>
      </c>
      <c r="H119" t="n">
        <v>0</v>
      </c>
      <c r="I119" t="n">
        <v>0</v>
      </c>
      <c r="J119" t="n">
        <v>0</v>
      </c>
      <c r="K119" t="n">
        <v>0</v>
      </c>
      <c r="L119" t="n">
        <v>0</v>
      </c>
      <c r="M119" t="n">
        <v>0</v>
      </c>
      <c r="N119" t="n">
        <v>0</v>
      </c>
      <c r="O119" t="n">
        <v>0</v>
      </c>
      <c r="P119" t="n">
        <v>0</v>
      </c>
      <c r="Q119" t="n">
        <v>0</v>
      </c>
      <c r="R119" s="2" t="inlineStr"/>
    </row>
    <row r="120" ht="15" customHeight="1">
      <c r="A120" t="inlineStr">
        <is>
          <t>A 22358-2022</t>
        </is>
      </c>
      <c r="B120" s="1" t="n">
        <v>44712</v>
      </c>
      <c r="C120" s="1" t="n">
        <v>45753</v>
      </c>
      <c r="D120" t="inlineStr">
        <is>
          <t>VÄSTRA GÖTALANDS LÄN</t>
        </is>
      </c>
      <c r="E120" t="inlineStr">
        <is>
          <t>ALE</t>
        </is>
      </c>
      <c r="G120" t="n">
        <v>1.5</v>
      </c>
      <c r="H120" t="n">
        <v>0</v>
      </c>
      <c r="I120" t="n">
        <v>0</v>
      </c>
      <c r="J120" t="n">
        <v>0</v>
      </c>
      <c r="K120" t="n">
        <v>0</v>
      </c>
      <c r="L120" t="n">
        <v>0</v>
      </c>
      <c r="M120" t="n">
        <v>0</v>
      </c>
      <c r="N120" t="n">
        <v>0</v>
      </c>
      <c r="O120" t="n">
        <v>0</v>
      </c>
      <c r="P120" t="n">
        <v>0</v>
      </c>
      <c r="Q120" t="n">
        <v>0</v>
      </c>
      <c r="R120" s="2" t="inlineStr"/>
    </row>
    <row r="121" ht="15" customHeight="1">
      <c r="A121" t="inlineStr">
        <is>
          <t>A 24644-2022</t>
        </is>
      </c>
      <c r="B121" s="1" t="n">
        <v>44727</v>
      </c>
      <c r="C121" s="1" t="n">
        <v>45753</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24642-2022</t>
        </is>
      </c>
      <c r="B122" s="1" t="n">
        <v>44727</v>
      </c>
      <c r="C122" s="1" t="n">
        <v>45753</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24649-2022</t>
        </is>
      </c>
      <c r="B123" s="1" t="n">
        <v>44727</v>
      </c>
      <c r="C123" s="1" t="n">
        <v>45753</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26983-2022</t>
        </is>
      </c>
      <c r="B124" s="1" t="n">
        <v>44740</v>
      </c>
      <c r="C124" s="1" t="n">
        <v>45753</v>
      </c>
      <c r="D124" t="inlineStr">
        <is>
          <t>VÄSTRA GÖTALANDS LÄN</t>
        </is>
      </c>
      <c r="E124" t="inlineStr">
        <is>
          <t>ALE</t>
        </is>
      </c>
      <c r="F124" t="inlineStr">
        <is>
          <t>Kommuner</t>
        </is>
      </c>
      <c r="G124" t="n">
        <v>0.5</v>
      </c>
      <c r="H124" t="n">
        <v>0</v>
      </c>
      <c r="I124" t="n">
        <v>0</v>
      </c>
      <c r="J124" t="n">
        <v>0</v>
      </c>
      <c r="K124" t="n">
        <v>0</v>
      </c>
      <c r="L124" t="n">
        <v>0</v>
      </c>
      <c r="M124" t="n">
        <v>0</v>
      </c>
      <c r="N124" t="n">
        <v>0</v>
      </c>
      <c r="O124" t="n">
        <v>0</v>
      </c>
      <c r="P124" t="n">
        <v>0</v>
      </c>
      <c r="Q124" t="n">
        <v>0</v>
      </c>
      <c r="R124" s="2" t="inlineStr"/>
    </row>
    <row r="125" ht="15" customHeight="1">
      <c r="A125" t="inlineStr">
        <is>
          <t>A 26987-2022</t>
        </is>
      </c>
      <c r="B125" s="1" t="n">
        <v>44740</v>
      </c>
      <c r="C125" s="1" t="n">
        <v>45753</v>
      </c>
      <c r="D125" t="inlineStr">
        <is>
          <t>VÄSTRA GÖTALANDS LÄN</t>
        </is>
      </c>
      <c r="E125" t="inlineStr">
        <is>
          <t>ALE</t>
        </is>
      </c>
      <c r="F125" t="inlineStr">
        <is>
          <t>Kommuner</t>
        </is>
      </c>
      <c r="G125" t="n">
        <v>5.8</v>
      </c>
      <c r="H125" t="n">
        <v>0</v>
      </c>
      <c r="I125" t="n">
        <v>0</v>
      </c>
      <c r="J125" t="n">
        <v>0</v>
      </c>
      <c r="K125" t="n">
        <v>0</v>
      </c>
      <c r="L125" t="n">
        <v>0</v>
      </c>
      <c r="M125" t="n">
        <v>0</v>
      </c>
      <c r="N125" t="n">
        <v>0</v>
      </c>
      <c r="O125" t="n">
        <v>0</v>
      </c>
      <c r="P125" t="n">
        <v>0</v>
      </c>
      <c r="Q125" t="n">
        <v>0</v>
      </c>
      <c r="R125" s="2" t="inlineStr"/>
    </row>
    <row r="126" ht="15" customHeight="1">
      <c r="A126" t="inlineStr">
        <is>
          <t>A 35959-2022</t>
        </is>
      </c>
      <c r="B126" s="1" t="n">
        <v>44802</v>
      </c>
      <c r="C126" s="1" t="n">
        <v>45753</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36763-2022</t>
        </is>
      </c>
      <c r="B127" s="1" t="n">
        <v>44805</v>
      </c>
      <c r="C127" s="1" t="n">
        <v>45753</v>
      </c>
      <c r="D127" t="inlineStr">
        <is>
          <t>VÄSTRA GÖTALANDS LÄN</t>
        </is>
      </c>
      <c r="E127" t="inlineStr">
        <is>
          <t>ALE</t>
        </is>
      </c>
      <c r="G127" t="n">
        <v>6.1</v>
      </c>
      <c r="H127" t="n">
        <v>0</v>
      </c>
      <c r="I127" t="n">
        <v>0</v>
      </c>
      <c r="J127" t="n">
        <v>0</v>
      </c>
      <c r="K127" t="n">
        <v>0</v>
      </c>
      <c r="L127" t="n">
        <v>0</v>
      </c>
      <c r="M127" t="n">
        <v>0</v>
      </c>
      <c r="N127" t="n">
        <v>0</v>
      </c>
      <c r="O127" t="n">
        <v>0</v>
      </c>
      <c r="P127" t="n">
        <v>0</v>
      </c>
      <c r="Q127" t="n">
        <v>0</v>
      </c>
      <c r="R127" s="2" t="inlineStr"/>
    </row>
    <row r="128" ht="15" customHeight="1">
      <c r="A128" t="inlineStr">
        <is>
          <t>A 41607-2022</t>
        </is>
      </c>
      <c r="B128" s="1" t="n">
        <v>44827</v>
      </c>
      <c r="C128" s="1" t="n">
        <v>45753</v>
      </c>
      <c r="D128" t="inlineStr">
        <is>
          <t>VÄSTRA GÖTALANDS LÄN</t>
        </is>
      </c>
      <c r="E128" t="inlineStr">
        <is>
          <t>ALE</t>
        </is>
      </c>
      <c r="G128" t="n">
        <v>3.6</v>
      </c>
      <c r="H128" t="n">
        <v>0</v>
      </c>
      <c r="I128" t="n">
        <v>0</v>
      </c>
      <c r="J128" t="n">
        <v>0</v>
      </c>
      <c r="K128" t="n">
        <v>0</v>
      </c>
      <c r="L128" t="n">
        <v>0</v>
      </c>
      <c r="M128" t="n">
        <v>0</v>
      </c>
      <c r="N128" t="n">
        <v>0</v>
      </c>
      <c r="O128" t="n">
        <v>0</v>
      </c>
      <c r="P128" t="n">
        <v>0</v>
      </c>
      <c r="Q128" t="n">
        <v>0</v>
      </c>
      <c r="R128" s="2" t="inlineStr"/>
    </row>
    <row r="129" ht="15" customHeight="1">
      <c r="A129" t="inlineStr">
        <is>
          <t>A 41613-2022</t>
        </is>
      </c>
      <c r="B129" s="1" t="n">
        <v>44827</v>
      </c>
      <c r="C129" s="1" t="n">
        <v>45753</v>
      </c>
      <c r="D129" t="inlineStr">
        <is>
          <t>VÄSTRA GÖTALANDS LÄN</t>
        </is>
      </c>
      <c r="E129" t="inlineStr">
        <is>
          <t>ALE</t>
        </is>
      </c>
      <c r="G129" t="n">
        <v>2.7</v>
      </c>
      <c r="H129" t="n">
        <v>0</v>
      </c>
      <c r="I129" t="n">
        <v>0</v>
      </c>
      <c r="J129" t="n">
        <v>0</v>
      </c>
      <c r="K129" t="n">
        <v>0</v>
      </c>
      <c r="L129" t="n">
        <v>0</v>
      </c>
      <c r="M129" t="n">
        <v>0</v>
      </c>
      <c r="N129" t="n">
        <v>0</v>
      </c>
      <c r="O129" t="n">
        <v>0</v>
      </c>
      <c r="P129" t="n">
        <v>0</v>
      </c>
      <c r="Q129" t="n">
        <v>0</v>
      </c>
      <c r="R129" s="2" t="inlineStr"/>
    </row>
    <row r="130" ht="15" customHeight="1">
      <c r="A130" t="inlineStr">
        <is>
          <t>A 41598-2022</t>
        </is>
      </c>
      <c r="B130" s="1" t="n">
        <v>44827</v>
      </c>
      <c r="C130" s="1" t="n">
        <v>45753</v>
      </c>
      <c r="D130" t="inlineStr">
        <is>
          <t>VÄSTRA GÖTALANDS LÄN</t>
        </is>
      </c>
      <c r="E130" t="inlineStr">
        <is>
          <t>ALE</t>
        </is>
      </c>
      <c r="G130" t="n">
        <v>2</v>
      </c>
      <c r="H130" t="n">
        <v>0</v>
      </c>
      <c r="I130" t="n">
        <v>0</v>
      </c>
      <c r="J130" t="n">
        <v>0</v>
      </c>
      <c r="K130" t="n">
        <v>0</v>
      </c>
      <c r="L130" t="n">
        <v>0</v>
      </c>
      <c r="M130" t="n">
        <v>0</v>
      </c>
      <c r="N130" t="n">
        <v>0</v>
      </c>
      <c r="O130" t="n">
        <v>0</v>
      </c>
      <c r="P130" t="n">
        <v>0</v>
      </c>
      <c r="Q130" t="n">
        <v>0</v>
      </c>
      <c r="R130" s="2" t="inlineStr"/>
    </row>
    <row r="131" ht="15" customHeight="1">
      <c r="A131" t="inlineStr">
        <is>
          <t>A 48257-2022</t>
        </is>
      </c>
      <c r="B131" s="1" t="n">
        <v>44858</v>
      </c>
      <c r="C131" s="1" t="n">
        <v>45753</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55488-2022</t>
        </is>
      </c>
      <c r="B132" s="1" t="n">
        <v>44887</v>
      </c>
      <c r="C132" s="1" t="n">
        <v>45753</v>
      </c>
      <c r="D132" t="inlineStr">
        <is>
          <t>VÄSTRA GÖTALANDS LÄN</t>
        </is>
      </c>
      <c r="E132" t="inlineStr">
        <is>
          <t>ALE</t>
        </is>
      </c>
      <c r="G132" t="n">
        <v>2.5</v>
      </c>
      <c r="H132" t="n">
        <v>0</v>
      </c>
      <c r="I132" t="n">
        <v>0</v>
      </c>
      <c r="J132" t="n">
        <v>0</v>
      </c>
      <c r="K132" t="n">
        <v>0</v>
      </c>
      <c r="L132" t="n">
        <v>0</v>
      </c>
      <c r="M132" t="n">
        <v>0</v>
      </c>
      <c r="N132" t="n">
        <v>0</v>
      </c>
      <c r="O132" t="n">
        <v>0</v>
      </c>
      <c r="P132" t="n">
        <v>0</v>
      </c>
      <c r="Q132" t="n">
        <v>0</v>
      </c>
      <c r="R132" s="2" t="inlineStr"/>
    </row>
    <row r="133" ht="15" customHeight="1">
      <c r="A133" t="inlineStr">
        <is>
          <t>A 57476-2022</t>
        </is>
      </c>
      <c r="B133" s="1" t="n">
        <v>44896</v>
      </c>
      <c r="C133" s="1" t="n">
        <v>45753</v>
      </c>
      <c r="D133" t="inlineStr">
        <is>
          <t>VÄSTRA GÖTALANDS LÄN</t>
        </is>
      </c>
      <c r="E133" t="inlineStr">
        <is>
          <t>ALE</t>
        </is>
      </c>
      <c r="G133" t="n">
        <v>1.3</v>
      </c>
      <c r="H133" t="n">
        <v>0</v>
      </c>
      <c r="I133" t="n">
        <v>0</v>
      </c>
      <c r="J133" t="n">
        <v>0</v>
      </c>
      <c r="K133" t="n">
        <v>0</v>
      </c>
      <c r="L133" t="n">
        <v>0</v>
      </c>
      <c r="M133" t="n">
        <v>0</v>
      </c>
      <c r="N133" t="n">
        <v>0</v>
      </c>
      <c r="O133" t="n">
        <v>0</v>
      </c>
      <c r="P133" t="n">
        <v>0</v>
      </c>
      <c r="Q133" t="n">
        <v>0</v>
      </c>
      <c r="R133" s="2" t="inlineStr"/>
    </row>
    <row r="134" ht="15" customHeight="1">
      <c r="A134" t="inlineStr">
        <is>
          <t>A 57473-2022</t>
        </is>
      </c>
      <c r="B134" s="1" t="n">
        <v>44896</v>
      </c>
      <c r="C134" s="1" t="n">
        <v>45753</v>
      </c>
      <c r="D134" t="inlineStr">
        <is>
          <t>VÄSTRA GÖTALANDS LÄN</t>
        </is>
      </c>
      <c r="E134" t="inlineStr">
        <is>
          <t>ALE</t>
        </is>
      </c>
      <c r="G134" t="n">
        <v>0.7</v>
      </c>
      <c r="H134" t="n">
        <v>0</v>
      </c>
      <c r="I134" t="n">
        <v>0</v>
      </c>
      <c r="J134" t="n">
        <v>0</v>
      </c>
      <c r="K134" t="n">
        <v>0</v>
      </c>
      <c r="L134" t="n">
        <v>0</v>
      </c>
      <c r="M134" t="n">
        <v>0</v>
      </c>
      <c r="N134" t="n">
        <v>0</v>
      </c>
      <c r="O134" t="n">
        <v>0</v>
      </c>
      <c r="P134" t="n">
        <v>0</v>
      </c>
      <c r="Q134" t="n">
        <v>0</v>
      </c>
      <c r="R134" s="2" t="inlineStr"/>
    </row>
    <row r="135" ht="15" customHeight="1">
      <c r="A135" t="inlineStr">
        <is>
          <t>A 3413-2023</t>
        </is>
      </c>
      <c r="B135" s="1" t="n">
        <v>44949</v>
      </c>
      <c r="C135" s="1" t="n">
        <v>45753</v>
      </c>
      <c r="D135" t="inlineStr">
        <is>
          <t>VÄSTRA GÖTALANDS LÄN</t>
        </is>
      </c>
      <c r="E135" t="inlineStr">
        <is>
          <t>ALE</t>
        </is>
      </c>
      <c r="G135" t="n">
        <v>2.3</v>
      </c>
      <c r="H135" t="n">
        <v>0</v>
      </c>
      <c r="I135" t="n">
        <v>0</v>
      </c>
      <c r="J135" t="n">
        <v>0</v>
      </c>
      <c r="K135" t="n">
        <v>0</v>
      </c>
      <c r="L135" t="n">
        <v>0</v>
      </c>
      <c r="M135" t="n">
        <v>0</v>
      </c>
      <c r="N135" t="n">
        <v>0</v>
      </c>
      <c r="O135" t="n">
        <v>0</v>
      </c>
      <c r="P135" t="n">
        <v>0</v>
      </c>
      <c r="Q135" t="n">
        <v>0</v>
      </c>
      <c r="R135" s="2" t="inlineStr"/>
    </row>
    <row r="136" ht="15" customHeight="1">
      <c r="A136" t="inlineStr">
        <is>
          <t>A 3407-2023</t>
        </is>
      </c>
      <c r="B136" s="1" t="n">
        <v>44949</v>
      </c>
      <c r="C136" s="1" t="n">
        <v>45753</v>
      </c>
      <c r="D136" t="inlineStr">
        <is>
          <t>VÄSTRA GÖTALANDS LÄN</t>
        </is>
      </c>
      <c r="E136" t="inlineStr">
        <is>
          <t>ALE</t>
        </is>
      </c>
      <c r="G136" t="n">
        <v>1.2</v>
      </c>
      <c r="H136" t="n">
        <v>0</v>
      </c>
      <c r="I136" t="n">
        <v>0</v>
      </c>
      <c r="J136" t="n">
        <v>0</v>
      </c>
      <c r="K136" t="n">
        <v>0</v>
      </c>
      <c r="L136" t="n">
        <v>0</v>
      </c>
      <c r="M136" t="n">
        <v>0</v>
      </c>
      <c r="N136" t="n">
        <v>0</v>
      </c>
      <c r="O136" t="n">
        <v>0</v>
      </c>
      <c r="P136" t="n">
        <v>0</v>
      </c>
      <c r="Q136" t="n">
        <v>0</v>
      </c>
      <c r="R136" s="2" t="inlineStr"/>
    </row>
    <row r="137" ht="15" customHeight="1">
      <c r="A137" t="inlineStr">
        <is>
          <t>A 3418-2023</t>
        </is>
      </c>
      <c r="B137" s="1" t="n">
        <v>44949</v>
      </c>
      <c r="C137" s="1" t="n">
        <v>45753</v>
      </c>
      <c r="D137" t="inlineStr">
        <is>
          <t>VÄSTRA GÖTALANDS LÄN</t>
        </is>
      </c>
      <c r="E137" t="inlineStr">
        <is>
          <t>ALE</t>
        </is>
      </c>
      <c r="G137" t="n">
        <v>1.1</v>
      </c>
      <c r="H137" t="n">
        <v>0</v>
      </c>
      <c r="I137" t="n">
        <v>0</v>
      </c>
      <c r="J137" t="n">
        <v>0</v>
      </c>
      <c r="K137" t="n">
        <v>0</v>
      </c>
      <c r="L137" t="n">
        <v>0</v>
      </c>
      <c r="M137" t="n">
        <v>0</v>
      </c>
      <c r="N137" t="n">
        <v>0</v>
      </c>
      <c r="O137" t="n">
        <v>0</v>
      </c>
      <c r="P137" t="n">
        <v>0</v>
      </c>
      <c r="Q137" t="n">
        <v>0</v>
      </c>
      <c r="R137" s="2" t="inlineStr"/>
    </row>
    <row r="138" ht="15" customHeight="1">
      <c r="A138" t="inlineStr">
        <is>
          <t>A 4665-2023</t>
        </is>
      </c>
      <c r="B138" s="1" t="n">
        <v>44957</v>
      </c>
      <c r="C138" s="1" t="n">
        <v>45753</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5867-2023</t>
        </is>
      </c>
      <c r="B139" s="1" t="n">
        <v>44963</v>
      </c>
      <c r="C139" s="1" t="n">
        <v>45753</v>
      </c>
      <c r="D139" t="inlineStr">
        <is>
          <t>VÄSTRA GÖTALANDS LÄN</t>
        </is>
      </c>
      <c r="E139" t="inlineStr">
        <is>
          <t>ALE</t>
        </is>
      </c>
      <c r="G139" t="n">
        <v>3.8</v>
      </c>
      <c r="H139" t="n">
        <v>0</v>
      </c>
      <c r="I139" t="n">
        <v>0</v>
      </c>
      <c r="J139" t="n">
        <v>0</v>
      </c>
      <c r="K139" t="n">
        <v>0</v>
      </c>
      <c r="L139" t="n">
        <v>0</v>
      </c>
      <c r="M139" t="n">
        <v>0</v>
      </c>
      <c r="N139" t="n">
        <v>0</v>
      </c>
      <c r="O139" t="n">
        <v>0</v>
      </c>
      <c r="P139" t="n">
        <v>0</v>
      </c>
      <c r="Q139" t="n">
        <v>0</v>
      </c>
      <c r="R139" s="2" t="inlineStr"/>
    </row>
    <row r="140" ht="15" customHeight="1">
      <c r="A140" t="inlineStr">
        <is>
          <t>A 5875-2023</t>
        </is>
      </c>
      <c r="B140" s="1" t="n">
        <v>44963</v>
      </c>
      <c r="C140" s="1" t="n">
        <v>45753</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5916-2023</t>
        </is>
      </c>
      <c r="B141" s="1" t="n">
        <v>44963</v>
      </c>
      <c r="C141" s="1" t="n">
        <v>45753</v>
      </c>
      <c r="D141" t="inlineStr">
        <is>
          <t>VÄSTRA GÖTALANDS LÄN</t>
        </is>
      </c>
      <c r="E141" t="inlineStr">
        <is>
          <t>ALE</t>
        </is>
      </c>
      <c r="G141" t="n">
        <v>4.2</v>
      </c>
      <c r="H141" t="n">
        <v>0</v>
      </c>
      <c r="I141" t="n">
        <v>0</v>
      </c>
      <c r="J141" t="n">
        <v>0</v>
      </c>
      <c r="K141" t="n">
        <v>0</v>
      </c>
      <c r="L141" t="n">
        <v>0</v>
      </c>
      <c r="M141" t="n">
        <v>0</v>
      </c>
      <c r="N141" t="n">
        <v>0</v>
      </c>
      <c r="O141" t="n">
        <v>0</v>
      </c>
      <c r="P141" t="n">
        <v>0</v>
      </c>
      <c r="Q141" t="n">
        <v>0</v>
      </c>
      <c r="R141" s="2" t="inlineStr"/>
    </row>
    <row r="142" ht="15" customHeight="1">
      <c r="A142" t="inlineStr">
        <is>
          <t>A 6916-2023</t>
        </is>
      </c>
      <c r="B142" s="1" t="n">
        <v>44967</v>
      </c>
      <c r="C142" s="1" t="n">
        <v>45753</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7807-2023</t>
        </is>
      </c>
      <c r="B143" s="1" t="n">
        <v>44973</v>
      </c>
      <c r="C143" s="1" t="n">
        <v>45753</v>
      </c>
      <c r="D143" t="inlineStr">
        <is>
          <t>VÄSTRA GÖTALANDS LÄN</t>
        </is>
      </c>
      <c r="E143" t="inlineStr">
        <is>
          <t>ALE</t>
        </is>
      </c>
      <c r="G143" t="n">
        <v>10.5</v>
      </c>
      <c r="H143" t="n">
        <v>0</v>
      </c>
      <c r="I143" t="n">
        <v>0</v>
      </c>
      <c r="J143" t="n">
        <v>0</v>
      </c>
      <c r="K143" t="n">
        <v>0</v>
      </c>
      <c r="L143" t="n">
        <v>0</v>
      </c>
      <c r="M143" t="n">
        <v>0</v>
      </c>
      <c r="N143" t="n">
        <v>0</v>
      </c>
      <c r="O143" t="n">
        <v>0</v>
      </c>
      <c r="P143" t="n">
        <v>0</v>
      </c>
      <c r="Q143" t="n">
        <v>0</v>
      </c>
      <c r="R143" s="2" t="inlineStr"/>
    </row>
    <row r="144" ht="15" customHeight="1">
      <c r="A144" t="inlineStr">
        <is>
          <t>A 9630-2023</t>
        </is>
      </c>
      <c r="B144" s="1" t="n">
        <v>44984</v>
      </c>
      <c r="C144" s="1" t="n">
        <v>45753</v>
      </c>
      <c r="D144" t="inlineStr">
        <is>
          <t>VÄSTRA GÖTALANDS LÄN</t>
        </is>
      </c>
      <c r="E144" t="inlineStr">
        <is>
          <t>ALE</t>
        </is>
      </c>
      <c r="G144" t="n">
        <v>5.4</v>
      </c>
      <c r="H144" t="n">
        <v>0</v>
      </c>
      <c r="I144" t="n">
        <v>0</v>
      </c>
      <c r="J144" t="n">
        <v>0</v>
      </c>
      <c r="K144" t="n">
        <v>0</v>
      </c>
      <c r="L144" t="n">
        <v>0</v>
      </c>
      <c r="M144" t="n">
        <v>0</v>
      </c>
      <c r="N144" t="n">
        <v>0</v>
      </c>
      <c r="O144" t="n">
        <v>0</v>
      </c>
      <c r="P144" t="n">
        <v>0</v>
      </c>
      <c r="Q144" t="n">
        <v>0</v>
      </c>
      <c r="R144" s="2" t="inlineStr"/>
    </row>
    <row r="145" ht="15" customHeight="1">
      <c r="A145" t="inlineStr">
        <is>
          <t>A 9891-2023</t>
        </is>
      </c>
      <c r="B145" s="1" t="n">
        <v>44985</v>
      </c>
      <c r="C145" s="1" t="n">
        <v>45753</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9886-2023</t>
        </is>
      </c>
      <c r="B146" s="1" t="n">
        <v>44985</v>
      </c>
      <c r="C146" s="1" t="n">
        <v>45753</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9896-2023</t>
        </is>
      </c>
      <c r="B147" s="1" t="n">
        <v>44985</v>
      </c>
      <c r="C147" s="1" t="n">
        <v>45753</v>
      </c>
      <c r="D147" t="inlineStr">
        <is>
          <t>VÄSTRA GÖTALANDS LÄN</t>
        </is>
      </c>
      <c r="E147" t="inlineStr">
        <is>
          <t>ALE</t>
        </is>
      </c>
      <c r="G147" t="n">
        <v>2.5</v>
      </c>
      <c r="H147" t="n">
        <v>0</v>
      </c>
      <c r="I147" t="n">
        <v>0</v>
      </c>
      <c r="J147" t="n">
        <v>0</v>
      </c>
      <c r="K147" t="n">
        <v>0</v>
      </c>
      <c r="L147" t="n">
        <v>0</v>
      </c>
      <c r="M147" t="n">
        <v>0</v>
      </c>
      <c r="N147" t="n">
        <v>0</v>
      </c>
      <c r="O147" t="n">
        <v>0</v>
      </c>
      <c r="P147" t="n">
        <v>0</v>
      </c>
      <c r="Q147" t="n">
        <v>0</v>
      </c>
      <c r="R147" s="2" t="inlineStr"/>
    </row>
    <row r="148" ht="15" customHeight="1">
      <c r="A148" t="inlineStr">
        <is>
          <t>A 16344-2023</t>
        </is>
      </c>
      <c r="B148" s="1" t="n">
        <v>45028</v>
      </c>
      <c r="C148" s="1" t="n">
        <v>45753</v>
      </c>
      <c r="D148" t="inlineStr">
        <is>
          <t>VÄSTRA GÖTALANDS LÄN</t>
        </is>
      </c>
      <c r="E148" t="inlineStr">
        <is>
          <t>ALE</t>
        </is>
      </c>
      <c r="G148" t="n">
        <v>6.6</v>
      </c>
      <c r="H148" t="n">
        <v>0</v>
      </c>
      <c r="I148" t="n">
        <v>0</v>
      </c>
      <c r="J148" t="n">
        <v>0</v>
      </c>
      <c r="K148" t="n">
        <v>0</v>
      </c>
      <c r="L148" t="n">
        <v>0</v>
      </c>
      <c r="M148" t="n">
        <v>0</v>
      </c>
      <c r="N148" t="n">
        <v>0</v>
      </c>
      <c r="O148" t="n">
        <v>0</v>
      </c>
      <c r="P148" t="n">
        <v>0</v>
      </c>
      <c r="Q148" t="n">
        <v>0</v>
      </c>
      <c r="R148" s="2" t="inlineStr"/>
    </row>
    <row r="149" ht="15" customHeight="1">
      <c r="A149" t="inlineStr">
        <is>
          <t>A 16389-2023</t>
        </is>
      </c>
      <c r="B149" s="1" t="n">
        <v>45029</v>
      </c>
      <c r="C149" s="1" t="n">
        <v>45753</v>
      </c>
      <c r="D149" t="inlineStr">
        <is>
          <t>VÄSTRA GÖTALANDS LÄN</t>
        </is>
      </c>
      <c r="E149" t="inlineStr">
        <is>
          <t>ALE</t>
        </is>
      </c>
      <c r="G149" t="n">
        <v>2.8</v>
      </c>
      <c r="H149" t="n">
        <v>0</v>
      </c>
      <c r="I149" t="n">
        <v>0</v>
      </c>
      <c r="J149" t="n">
        <v>0</v>
      </c>
      <c r="K149" t="n">
        <v>0</v>
      </c>
      <c r="L149" t="n">
        <v>0</v>
      </c>
      <c r="M149" t="n">
        <v>0</v>
      </c>
      <c r="N149" t="n">
        <v>0</v>
      </c>
      <c r="O149" t="n">
        <v>0</v>
      </c>
      <c r="P149" t="n">
        <v>0</v>
      </c>
      <c r="Q149" t="n">
        <v>0</v>
      </c>
      <c r="R149" s="2" t="inlineStr"/>
    </row>
    <row r="150" ht="15" customHeight="1">
      <c r="A150" t="inlineStr">
        <is>
          <t>A 16876-2023</t>
        </is>
      </c>
      <c r="B150" s="1" t="n">
        <v>45033</v>
      </c>
      <c r="C150" s="1" t="n">
        <v>45753</v>
      </c>
      <c r="D150" t="inlineStr">
        <is>
          <t>VÄSTRA GÖTALANDS LÄN</t>
        </is>
      </c>
      <c r="E150" t="inlineStr">
        <is>
          <t>ALE</t>
        </is>
      </c>
      <c r="G150" t="n">
        <v>0.9</v>
      </c>
      <c r="H150" t="n">
        <v>0</v>
      </c>
      <c r="I150" t="n">
        <v>0</v>
      </c>
      <c r="J150" t="n">
        <v>0</v>
      </c>
      <c r="K150" t="n">
        <v>0</v>
      </c>
      <c r="L150" t="n">
        <v>0</v>
      </c>
      <c r="M150" t="n">
        <v>0</v>
      </c>
      <c r="N150" t="n">
        <v>0</v>
      </c>
      <c r="O150" t="n">
        <v>0</v>
      </c>
      <c r="P150" t="n">
        <v>0</v>
      </c>
      <c r="Q150" t="n">
        <v>0</v>
      </c>
      <c r="R150" s="2" t="inlineStr"/>
    </row>
    <row r="151" ht="15" customHeight="1">
      <c r="A151" t="inlineStr">
        <is>
          <t>A 17534-2023</t>
        </is>
      </c>
      <c r="B151" s="1" t="n">
        <v>45036</v>
      </c>
      <c r="C151" s="1" t="n">
        <v>45753</v>
      </c>
      <c r="D151" t="inlineStr">
        <is>
          <t>VÄSTRA GÖTALANDS LÄN</t>
        </is>
      </c>
      <c r="E151" t="inlineStr">
        <is>
          <t>ALE</t>
        </is>
      </c>
      <c r="G151" t="n">
        <v>3.1</v>
      </c>
      <c r="H151" t="n">
        <v>0</v>
      </c>
      <c r="I151" t="n">
        <v>0</v>
      </c>
      <c r="J151" t="n">
        <v>0</v>
      </c>
      <c r="K151" t="n">
        <v>0</v>
      </c>
      <c r="L151" t="n">
        <v>0</v>
      </c>
      <c r="M151" t="n">
        <v>0</v>
      </c>
      <c r="N151" t="n">
        <v>0</v>
      </c>
      <c r="O151" t="n">
        <v>0</v>
      </c>
      <c r="P151" t="n">
        <v>0</v>
      </c>
      <c r="Q151" t="n">
        <v>0</v>
      </c>
      <c r="R151" s="2" t="inlineStr"/>
    </row>
    <row r="152" ht="15" customHeight="1">
      <c r="A152" t="inlineStr">
        <is>
          <t>A 18120-2023</t>
        </is>
      </c>
      <c r="B152" s="1" t="n">
        <v>45040</v>
      </c>
      <c r="C152" s="1" t="n">
        <v>45753</v>
      </c>
      <c r="D152" t="inlineStr">
        <is>
          <t>VÄSTRA GÖTALANDS LÄN</t>
        </is>
      </c>
      <c r="E152" t="inlineStr">
        <is>
          <t>ALE</t>
        </is>
      </c>
      <c r="G152" t="n">
        <v>3</v>
      </c>
      <c r="H152" t="n">
        <v>0</v>
      </c>
      <c r="I152" t="n">
        <v>0</v>
      </c>
      <c r="J152" t="n">
        <v>0</v>
      </c>
      <c r="K152" t="n">
        <v>0</v>
      </c>
      <c r="L152" t="n">
        <v>0</v>
      </c>
      <c r="M152" t="n">
        <v>0</v>
      </c>
      <c r="N152" t="n">
        <v>0</v>
      </c>
      <c r="O152" t="n">
        <v>0</v>
      </c>
      <c r="P152" t="n">
        <v>0</v>
      </c>
      <c r="Q152" t="n">
        <v>0</v>
      </c>
      <c r="R152" s="2" t="inlineStr"/>
    </row>
    <row r="153" ht="15" customHeight="1">
      <c r="A153" t="inlineStr">
        <is>
          <t>A 18637-2023</t>
        </is>
      </c>
      <c r="B153" s="1" t="n">
        <v>45043</v>
      </c>
      <c r="C153" s="1" t="n">
        <v>45753</v>
      </c>
      <c r="D153" t="inlineStr">
        <is>
          <t>VÄSTRA GÖTALANDS LÄN</t>
        </is>
      </c>
      <c r="E153" t="inlineStr">
        <is>
          <t>ALE</t>
        </is>
      </c>
      <c r="G153" t="n">
        <v>3.6</v>
      </c>
      <c r="H153" t="n">
        <v>0</v>
      </c>
      <c r="I153" t="n">
        <v>0</v>
      </c>
      <c r="J153" t="n">
        <v>0</v>
      </c>
      <c r="K153" t="n">
        <v>0</v>
      </c>
      <c r="L153" t="n">
        <v>0</v>
      </c>
      <c r="M153" t="n">
        <v>0</v>
      </c>
      <c r="N153" t="n">
        <v>0</v>
      </c>
      <c r="O153" t="n">
        <v>0</v>
      </c>
      <c r="P153" t="n">
        <v>0</v>
      </c>
      <c r="Q153" t="n">
        <v>0</v>
      </c>
      <c r="R153" s="2" t="inlineStr"/>
    </row>
    <row r="154" ht="15" customHeight="1">
      <c r="A154" t="inlineStr">
        <is>
          <t>A 20066-2023</t>
        </is>
      </c>
      <c r="B154" s="1" t="n">
        <v>45054</v>
      </c>
      <c r="C154" s="1" t="n">
        <v>45753</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20067-2023</t>
        </is>
      </c>
      <c r="B155" s="1" t="n">
        <v>45054</v>
      </c>
      <c r="C155" s="1" t="n">
        <v>45753</v>
      </c>
      <c r="D155" t="inlineStr">
        <is>
          <t>VÄSTRA GÖTALANDS LÄN</t>
        </is>
      </c>
      <c r="E155" t="inlineStr">
        <is>
          <t>ALE</t>
        </is>
      </c>
      <c r="G155" t="n">
        <v>0.4</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45753</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45753</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45753</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45753</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45753</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45753</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45753</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45753</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45753</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45753</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45753</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45753</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45753</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45753</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45753</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45753</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45753</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45753</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45753</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45753</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45753</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59933-2023</t>
        </is>
      </c>
      <c r="B177" s="1" t="n">
        <v>45257</v>
      </c>
      <c r="C177" s="1" t="n">
        <v>45753</v>
      </c>
      <c r="D177" t="inlineStr">
        <is>
          <t>VÄSTRA GÖTALANDS LÄN</t>
        </is>
      </c>
      <c r="E177" t="inlineStr">
        <is>
          <t>ALE</t>
        </is>
      </c>
      <c r="G177" t="n">
        <v>2.7</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45753</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45753</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45753</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45753</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1823-2024</t>
        </is>
      </c>
      <c r="B182" s="1" t="n">
        <v>45307</v>
      </c>
      <c r="C182" s="1" t="n">
        <v>45753</v>
      </c>
      <c r="D182" t="inlineStr">
        <is>
          <t>VÄSTRA GÖTALANDS LÄN</t>
        </is>
      </c>
      <c r="E182" t="inlineStr">
        <is>
          <t>ALE</t>
        </is>
      </c>
      <c r="G182" t="n">
        <v>1.2</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45753</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45753</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3338-2024</t>
        </is>
      </c>
      <c r="B185" s="1" t="n">
        <v>45317</v>
      </c>
      <c r="C185" s="1" t="n">
        <v>45753</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3973-2024</t>
        </is>
      </c>
      <c r="B186" s="1" t="n">
        <v>45322</v>
      </c>
      <c r="C186" s="1" t="n">
        <v>45753</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4363-2024</t>
        </is>
      </c>
      <c r="B187" s="1" t="n">
        <v>45325</v>
      </c>
      <c r="C187" s="1" t="n">
        <v>45753</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4444-2024</t>
        </is>
      </c>
      <c r="B188" s="1" t="n">
        <v>45327</v>
      </c>
      <c r="C188" s="1" t="n">
        <v>45753</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4642-2024</t>
        </is>
      </c>
      <c r="B189" s="1" t="n">
        <v>45328</v>
      </c>
      <c r="C189" s="1" t="n">
        <v>45753</v>
      </c>
      <c r="D189" t="inlineStr">
        <is>
          <t>VÄSTRA GÖTALANDS LÄN</t>
        </is>
      </c>
      <c r="E189" t="inlineStr">
        <is>
          <t>ALE</t>
        </is>
      </c>
      <c r="G189" t="n">
        <v>7.1</v>
      </c>
      <c r="H189" t="n">
        <v>0</v>
      </c>
      <c r="I189" t="n">
        <v>0</v>
      </c>
      <c r="J189" t="n">
        <v>0</v>
      </c>
      <c r="K189" t="n">
        <v>0</v>
      </c>
      <c r="L189" t="n">
        <v>0</v>
      </c>
      <c r="M189" t="n">
        <v>0</v>
      </c>
      <c r="N189" t="n">
        <v>0</v>
      </c>
      <c r="O189" t="n">
        <v>0</v>
      </c>
      <c r="P189" t="n">
        <v>0</v>
      </c>
      <c r="Q189" t="n">
        <v>0</v>
      </c>
      <c r="R189" s="2" t="inlineStr"/>
    </row>
    <row r="190" ht="15" customHeight="1">
      <c r="A190" t="inlineStr">
        <is>
          <t>A 5344-2024</t>
        </is>
      </c>
      <c r="B190" s="1" t="n">
        <v>45331</v>
      </c>
      <c r="C190" s="1" t="n">
        <v>45753</v>
      </c>
      <c r="D190" t="inlineStr">
        <is>
          <t>VÄSTRA GÖTALANDS LÄN</t>
        </is>
      </c>
      <c r="E190" t="inlineStr">
        <is>
          <t>ALE</t>
        </is>
      </c>
      <c r="G190" t="n">
        <v>2.5</v>
      </c>
      <c r="H190" t="n">
        <v>0</v>
      </c>
      <c r="I190" t="n">
        <v>0</v>
      </c>
      <c r="J190" t="n">
        <v>0</v>
      </c>
      <c r="K190" t="n">
        <v>0</v>
      </c>
      <c r="L190" t="n">
        <v>0</v>
      </c>
      <c r="M190" t="n">
        <v>0</v>
      </c>
      <c r="N190" t="n">
        <v>0</v>
      </c>
      <c r="O190" t="n">
        <v>0</v>
      </c>
      <c r="P190" t="n">
        <v>0</v>
      </c>
      <c r="Q190" t="n">
        <v>0</v>
      </c>
      <c r="R190" s="2" t="inlineStr"/>
    </row>
    <row r="191" ht="15" customHeight="1">
      <c r="A191" t="inlineStr">
        <is>
          <t>A 6236-2024</t>
        </is>
      </c>
      <c r="B191" s="1" t="n">
        <v>45337</v>
      </c>
      <c r="C191" s="1" t="n">
        <v>45753</v>
      </c>
      <c r="D191" t="inlineStr">
        <is>
          <t>VÄSTRA GÖTALANDS LÄN</t>
        </is>
      </c>
      <c r="E191" t="inlineStr">
        <is>
          <t>ALE</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6947-2024</t>
        </is>
      </c>
      <c r="B192" s="1" t="n">
        <v>45343</v>
      </c>
      <c r="C192" s="1" t="n">
        <v>45753</v>
      </c>
      <c r="D192" t="inlineStr">
        <is>
          <t>VÄSTRA GÖTALANDS LÄN</t>
        </is>
      </c>
      <c r="E192" t="inlineStr">
        <is>
          <t>ALE</t>
        </is>
      </c>
      <c r="G192" t="n">
        <v>3.7</v>
      </c>
      <c r="H192" t="n">
        <v>0</v>
      </c>
      <c r="I192" t="n">
        <v>0</v>
      </c>
      <c r="J192" t="n">
        <v>0</v>
      </c>
      <c r="K192" t="n">
        <v>0</v>
      </c>
      <c r="L192" t="n">
        <v>0</v>
      </c>
      <c r="M192" t="n">
        <v>0</v>
      </c>
      <c r="N192" t="n">
        <v>0</v>
      </c>
      <c r="O192" t="n">
        <v>0</v>
      </c>
      <c r="P192" t="n">
        <v>0</v>
      </c>
      <c r="Q192" t="n">
        <v>0</v>
      </c>
      <c r="R192" s="2" t="inlineStr"/>
    </row>
    <row r="193" ht="15" customHeight="1">
      <c r="A193" t="inlineStr">
        <is>
          <t>A 7892-2024</t>
        </is>
      </c>
      <c r="B193" s="1" t="n">
        <v>45350</v>
      </c>
      <c r="C193" s="1" t="n">
        <v>45753</v>
      </c>
      <c r="D193" t="inlineStr">
        <is>
          <t>VÄSTRA GÖTALANDS LÄN</t>
        </is>
      </c>
      <c r="E193" t="inlineStr">
        <is>
          <t>ALE</t>
        </is>
      </c>
      <c r="G193" t="n">
        <v>3.6</v>
      </c>
      <c r="H193" t="n">
        <v>0</v>
      </c>
      <c r="I193" t="n">
        <v>0</v>
      </c>
      <c r="J193" t="n">
        <v>0</v>
      </c>
      <c r="K193" t="n">
        <v>0</v>
      </c>
      <c r="L193" t="n">
        <v>0</v>
      </c>
      <c r="M193" t="n">
        <v>0</v>
      </c>
      <c r="N193" t="n">
        <v>0</v>
      </c>
      <c r="O193" t="n">
        <v>0</v>
      </c>
      <c r="P193" t="n">
        <v>0</v>
      </c>
      <c r="Q193" t="n">
        <v>0</v>
      </c>
      <c r="R193" s="2" t="inlineStr"/>
    </row>
    <row r="194" ht="15" customHeight="1">
      <c r="A194" t="inlineStr">
        <is>
          <t>A 11430-2024</t>
        </is>
      </c>
      <c r="B194" s="1" t="n">
        <v>45372</v>
      </c>
      <c r="C194" s="1" t="n">
        <v>45753</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11659-2024</t>
        </is>
      </c>
      <c r="B195" s="1" t="n">
        <v>45373</v>
      </c>
      <c r="C195" s="1" t="n">
        <v>45753</v>
      </c>
      <c r="D195" t="inlineStr">
        <is>
          <t>VÄSTRA GÖTALANDS LÄN</t>
        </is>
      </c>
      <c r="E195" t="inlineStr">
        <is>
          <t>ALE</t>
        </is>
      </c>
      <c r="G195" t="n">
        <v>4.6</v>
      </c>
      <c r="H195" t="n">
        <v>0</v>
      </c>
      <c r="I195" t="n">
        <v>0</v>
      </c>
      <c r="J195" t="n">
        <v>0</v>
      </c>
      <c r="K195" t="n">
        <v>0</v>
      </c>
      <c r="L195" t="n">
        <v>0</v>
      </c>
      <c r="M195" t="n">
        <v>0</v>
      </c>
      <c r="N195" t="n">
        <v>0</v>
      </c>
      <c r="O195" t="n">
        <v>0</v>
      </c>
      <c r="P195" t="n">
        <v>0</v>
      </c>
      <c r="Q195" t="n">
        <v>0</v>
      </c>
      <c r="R195" s="2" t="inlineStr"/>
    </row>
    <row r="196" ht="15" customHeight="1">
      <c r="A196" t="inlineStr">
        <is>
          <t>A 12982-2024</t>
        </is>
      </c>
      <c r="B196" s="1" t="n">
        <v>45385</v>
      </c>
      <c r="C196" s="1" t="n">
        <v>45753</v>
      </c>
      <c r="D196" t="inlineStr">
        <is>
          <t>VÄSTRA GÖTALANDS LÄN</t>
        </is>
      </c>
      <c r="E196" t="inlineStr">
        <is>
          <t>ALE</t>
        </is>
      </c>
      <c r="G196" t="n">
        <v>3.3</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45753</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45753</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45753</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45753</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45753</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45753</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45753</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45753</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45753</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45753</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45753</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45753</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45753</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45753</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45753</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45753</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45753</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45753</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45753</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45753</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45753</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45753</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45753</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45753</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45753</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45753</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45753</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45753</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45753</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45753</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45753</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45753</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45753</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45753</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45753</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45753</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45753</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45753</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45753</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45753</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c r="A237" t="inlineStr">
        <is>
          <t>A 15582-2025</t>
        </is>
      </c>
      <c r="B237" s="1" t="n">
        <v>45747</v>
      </c>
      <c r="C237" s="1" t="n">
        <v>45753</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2025-04-06T16:44:03Z</dcterms:created>
  <dcterms:modified xmlns:dcterms="http://purl.org/dc/terms/" xmlns:xsi="http://www.w3.org/2001/XMLSchema-instance" xsi:type="dcterms:W3CDTF">2025-04-06T16:44:03Z</dcterms:modified>
</cp:coreProperties>
</file>