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46079</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46079</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46079</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46079</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46079</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46079</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46079</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46079</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46079</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46079</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46079</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46079</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46079</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46079</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60293-2025</t>
        </is>
      </c>
      <c r="B17" s="1" t="n">
        <v>45994.65568287037</v>
      </c>
      <c r="C17" s="1" t="n">
        <v>46079</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7903-2024</t>
        </is>
      </c>
      <c r="B18" s="1" t="n">
        <v>45350</v>
      </c>
      <c r="C18" s="1" t="n">
        <v>46079</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63575-2023</t>
        </is>
      </c>
      <c r="B19" s="1" t="n">
        <v>45275.39715277778</v>
      </c>
      <c r="C19" s="1" t="n">
        <v>46079</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58954-2022</t>
        </is>
      </c>
      <c r="B20" s="1" t="n">
        <v>44903</v>
      </c>
      <c r="C20" s="1" t="n">
        <v>46079</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42660-2024</t>
        </is>
      </c>
      <c r="B21" s="1" t="n">
        <v>45566.33841435185</v>
      </c>
      <c r="C21" s="1" t="n">
        <v>46079</v>
      </c>
      <c r="D21" t="inlineStr">
        <is>
          <t>VÄSTRA GÖTALANDS LÄN</t>
        </is>
      </c>
      <c r="E21" t="inlineStr">
        <is>
          <t>ALE</t>
        </is>
      </c>
      <c r="G21" t="n">
        <v>2.5</v>
      </c>
      <c r="H21" t="n">
        <v>2</v>
      </c>
      <c r="I21" t="n">
        <v>0</v>
      </c>
      <c r="J21" t="n">
        <v>0</v>
      </c>
      <c r="K21" t="n">
        <v>0</v>
      </c>
      <c r="L21" t="n">
        <v>0</v>
      </c>
      <c r="M21" t="n">
        <v>0</v>
      </c>
      <c r="N21" t="n">
        <v>0</v>
      </c>
      <c r="O21" t="n">
        <v>0</v>
      </c>
      <c r="P21" t="n">
        <v>0</v>
      </c>
      <c r="Q21" t="n">
        <v>2</v>
      </c>
      <c r="R21" s="2" t="inlineStr">
        <is>
          <t>Mattlummer
Revlummer</t>
        </is>
      </c>
      <c r="S21">
        <f>HYPERLINK("https://klasma.github.io/Logging_1440/artfynd/A 42660-2024 artfynd.xlsx", "A 42660-2024")</f>
        <v/>
      </c>
      <c r="T21">
        <f>HYPERLINK("https://klasma.github.io/Logging_1440/kartor/A 42660-2024 karta.png", "A 42660-2024")</f>
        <v/>
      </c>
      <c r="V21">
        <f>HYPERLINK("https://klasma.github.io/Logging_1440/klagomål/A 42660-2024 FSC-klagomål.docx", "A 42660-2024")</f>
        <v/>
      </c>
      <c r="W21">
        <f>HYPERLINK("https://klasma.github.io/Logging_1440/klagomålsmail/A 42660-2024 FSC-klagomål mail.docx", "A 42660-2024")</f>
        <v/>
      </c>
      <c r="X21">
        <f>HYPERLINK("https://klasma.github.io/Logging_1440/tillsyn/A 42660-2024 tillsynsbegäran.docx", "A 42660-2024")</f>
        <v/>
      </c>
      <c r="Y21">
        <f>HYPERLINK("https://klasma.github.io/Logging_1440/tillsynsmail/A 42660-2024 tillsynsbegäran mail.docx", "A 42660-2024")</f>
        <v/>
      </c>
    </row>
    <row r="22" ht="15" customHeight="1">
      <c r="A22" t="inlineStr">
        <is>
          <t>A 63569-2023</t>
        </is>
      </c>
      <c r="B22" s="1" t="n">
        <v>45275</v>
      </c>
      <c r="C22" s="1" t="n">
        <v>46079</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40931-2025</t>
        </is>
      </c>
      <c r="B23" s="1" t="n">
        <v>45897.64783564815</v>
      </c>
      <c r="C23" s="1" t="n">
        <v>46079</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2270-2025</t>
        </is>
      </c>
      <c r="B24" s="1" t="n">
        <v>45673.54403935185</v>
      </c>
      <c r="C24" s="1" t="n">
        <v>46079</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46079</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46079</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45751.65315972222</v>
      </c>
      <c r="C27" s="1" t="n">
        <v>46079</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46079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46079</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46079</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26493-2024</t>
        </is>
      </c>
      <c r="B31" s="1" t="n">
        <v>45469</v>
      </c>
      <c r="C31" s="1" t="n">
        <v>46079</v>
      </c>
      <c r="D31" t="inlineStr">
        <is>
          <t>VÄSTRA GÖTALANDS LÄN</t>
        </is>
      </c>
      <c r="E31" t="inlineStr">
        <is>
          <t>ALE</t>
        </is>
      </c>
      <c r="G31" t="n">
        <v>1.6</v>
      </c>
      <c r="H31" t="n">
        <v>1</v>
      </c>
      <c r="I31" t="n">
        <v>0</v>
      </c>
      <c r="J31" t="n">
        <v>0</v>
      </c>
      <c r="K31" t="n">
        <v>0</v>
      </c>
      <c r="L31" t="n">
        <v>0</v>
      </c>
      <c r="M31" t="n">
        <v>0</v>
      </c>
      <c r="N31" t="n">
        <v>0</v>
      </c>
      <c r="O31" t="n">
        <v>0</v>
      </c>
      <c r="P31" t="n">
        <v>0</v>
      </c>
      <c r="Q31" t="n">
        <v>1</v>
      </c>
      <c r="R31" s="2" t="inlineStr">
        <is>
          <t>Grönvit nattviol</t>
        </is>
      </c>
      <c r="S31">
        <f>HYPERLINK("https://klasma.github.io/Logging_1440/artfynd/A 26493-2024 artfynd.xlsx", "A 26493-2024")</f>
        <v/>
      </c>
      <c r="T31">
        <f>HYPERLINK("https://klasma.github.io/Logging_1440/kartor/A 26493-2024 karta.png", "A 26493-2024")</f>
        <v/>
      </c>
      <c r="V31">
        <f>HYPERLINK("https://klasma.github.io/Logging_1440/klagomål/A 26493-2024 FSC-klagomål.docx", "A 26493-2024")</f>
        <v/>
      </c>
      <c r="W31">
        <f>HYPERLINK("https://klasma.github.io/Logging_1440/klagomålsmail/A 26493-2024 FSC-klagomål mail.docx", "A 26493-2024")</f>
        <v/>
      </c>
      <c r="X31">
        <f>HYPERLINK("https://klasma.github.io/Logging_1440/tillsyn/A 26493-2024 tillsynsbegäran.docx", "A 26493-2024")</f>
        <v/>
      </c>
      <c r="Y31">
        <f>HYPERLINK("https://klasma.github.io/Logging_1440/tillsynsmail/A 26493-2024 tillsynsbegäran mail.docx", "A 26493-2024")</f>
        <v/>
      </c>
    </row>
    <row r="32" ht="15" customHeight="1">
      <c r="A32" t="inlineStr">
        <is>
          <t>A 12084-2025</t>
        </is>
      </c>
      <c r="B32" s="1" t="n">
        <v>45728.95387731482</v>
      </c>
      <c r="C32" s="1" t="n">
        <v>46079</v>
      </c>
      <c r="D32" t="inlineStr">
        <is>
          <t>VÄSTRA GÖTALANDS LÄN</t>
        </is>
      </c>
      <c r="E32" t="inlineStr">
        <is>
          <t>ALE</t>
        </is>
      </c>
      <c r="G32" t="n">
        <v>2.4</v>
      </c>
      <c r="H32" t="n">
        <v>1</v>
      </c>
      <c r="I32" t="n">
        <v>0</v>
      </c>
      <c r="J32" t="n">
        <v>1</v>
      </c>
      <c r="K32" t="n">
        <v>0</v>
      </c>
      <c r="L32" t="n">
        <v>0</v>
      </c>
      <c r="M32" t="n">
        <v>0</v>
      </c>
      <c r="N32" t="n">
        <v>0</v>
      </c>
      <c r="O32" t="n">
        <v>1</v>
      </c>
      <c r="P32" t="n">
        <v>0</v>
      </c>
      <c r="Q32" t="n">
        <v>1</v>
      </c>
      <c r="R32" s="2" t="inlineStr">
        <is>
          <t>Spillkråka</t>
        </is>
      </c>
      <c r="S32">
        <f>HYPERLINK("https://klasma.github.io/Logging_1440/artfynd/A 12084-2025 artfynd.xlsx", "A 12084-2025")</f>
        <v/>
      </c>
      <c r="T32">
        <f>HYPERLINK("https://klasma.github.io/Logging_1440/kartor/A 12084-2025 karta.png", "A 12084-2025")</f>
        <v/>
      </c>
      <c r="V32">
        <f>HYPERLINK("https://klasma.github.io/Logging_1440/klagomål/A 12084-2025 FSC-klagomål.docx", "A 12084-2025")</f>
        <v/>
      </c>
      <c r="W32">
        <f>HYPERLINK("https://klasma.github.io/Logging_1440/klagomålsmail/A 12084-2025 FSC-klagomål mail.docx", "A 12084-2025")</f>
        <v/>
      </c>
      <c r="X32">
        <f>HYPERLINK("https://klasma.github.io/Logging_1440/tillsyn/A 12084-2025 tillsynsbegäran.docx", "A 12084-2025")</f>
        <v/>
      </c>
      <c r="Y32">
        <f>HYPERLINK("https://klasma.github.io/Logging_1440/tillsynsmail/A 12084-2025 tillsynsbegäran mail.docx", "A 12084-2025")</f>
        <v/>
      </c>
      <c r="Z32">
        <f>HYPERLINK("https://klasma.github.io/Logging_1440/fåglar/A 12084-2025 prioriterade fågelarter.docx", "A 12084-2025")</f>
        <v/>
      </c>
    </row>
    <row r="33" ht="15" customHeight="1">
      <c r="A33" t="inlineStr">
        <is>
          <t>A 26677-2025</t>
        </is>
      </c>
      <c r="B33" s="1" t="n">
        <v>45810.42446759259</v>
      </c>
      <c r="C33" s="1" t="n">
        <v>46079</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47330-2025</t>
        </is>
      </c>
      <c r="B34" s="1" t="n">
        <v>45930.56170138889</v>
      </c>
      <c r="C34" s="1" t="n">
        <v>46079</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13902-2025</t>
        </is>
      </c>
      <c r="B35" s="1" t="n">
        <v>45737.63446759259</v>
      </c>
      <c r="C35" s="1" t="n">
        <v>46079</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58412-2025</t>
        </is>
      </c>
      <c r="B36" s="1" t="n">
        <v>45985.57564814815</v>
      </c>
      <c r="C36" s="1" t="n">
        <v>46079</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12982-2024</t>
        </is>
      </c>
      <c r="B37" s="1" t="n">
        <v>45385.53569444444</v>
      </c>
      <c r="C37" s="1" t="n">
        <v>46079</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62524-2025</t>
        </is>
      </c>
      <c r="B38" s="1" t="n">
        <v>46007.6247337963</v>
      </c>
      <c r="C38" s="1" t="n">
        <v>46079</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21281-2021</t>
        </is>
      </c>
      <c r="B39" s="1" t="n">
        <v>44320.61850694445</v>
      </c>
      <c r="C39" s="1" t="n">
        <v>46079</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46079</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46079</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46079</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46079</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46079</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46079</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46079</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65222-2021</t>
        </is>
      </c>
      <c r="B47" s="1" t="n">
        <v>44515</v>
      </c>
      <c r="C47" s="1" t="n">
        <v>46079</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46079</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46079</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46079</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46079</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46079</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46079</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46079</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46079</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46079</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46079</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46079</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46079</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3457-2022</t>
        </is>
      </c>
      <c r="B60" s="1" t="n">
        <v>44585</v>
      </c>
      <c r="C60" s="1" t="n">
        <v>46079</v>
      </c>
      <c r="D60" t="inlineStr">
        <is>
          <t>VÄSTRA GÖTALANDS LÄN</t>
        </is>
      </c>
      <c r="E60" t="inlineStr">
        <is>
          <t>ALE</t>
        </is>
      </c>
      <c r="G60" t="n">
        <v>5.1</v>
      </c>
      <c r="H60" t="n">
        <v>0</v>
      </c>
      <c r="I60" t="n">
        <v>0</v>
      </c>
      <c r="J60" t="n">
        <v>0</v>
      </c>
      <c r="K60" t="n">
        <v>0</v>
      </c>
      <c r="L60" t="n">
        <v>0</v>
      </c>
      <c r="M60" t="n">
        <v>0</v>
      </c>
      <c r="N60" t="n">
        <v>0</v>
      </c>
      <c r="O60" t="n">
        <v>0</v>
      </c>
      <c r="P60" t="n">
        <v>0</v>
      </c>
      <c r="Q60" t="n">
        <v>0</v>
      </c>
      <c r="R60" s="2" t="inlineStr"/>
    </row>
    <row r="61" ht="15" customHeight="1">
      <c r="A61" t="inlineStr">
        <is>
          <t>A 41598-2022</t>
        </is>
      </c>
      <c r="B61" s="1" t="n">
        <v>44827.4609837963</v>
      </c>
      <c r="C61" s="1" t="n">
        <v>46079</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46079</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5916-2023</t>
        </is>
      </c>
      <c r="B63" s="1" t="n">
        <v>44963</v>
      </c>
      <c r="C63" s="1" t="n">
        <v>46079</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46079</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26083-2023</t>
        </is>
      </c>
      <c r="B65" s="1" t="n">
        <v>45091</v>
      </c>
      <c r="C65" s="1" t="n">
        <v>46079</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14458-2024</t>
        </is>
      </c>
      <c r="B66" s="1" t="n">
        <v>45394</v>
      </c>
      <c r="C66" s="1" t="n">
        <v>46079</v>
      </c>
      <c r="D66" t="inlineStr">
        <is>
          <t>VÄSTRA GÖTALANDS LÄN</t>
        </is>
      </c>
      <c r="E66" t="inlineStr">
        <is>
          <t>ALE</t>
        </is>
      </c>
      <c r="G66" t="n">
        <v>0.5</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46079</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46079</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56493-2021</t>
        </is>
      </c>
      <c r="B69" s="1" t="n">
        <v>44480.57173611111</v>
      </c>
      <c r="C69" s="1" t="n">
        <v>46079</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46079</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5875-2023</t>
        </is>
      </c>
      <c r="B71" s="1" t="n">
        <v>44963</v>
      </c>
      <c r="C71" s="1" t="n">
        <v>46079</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3407-2023</t>
        </is>
      </c>
      <c r="B72" s="1" t="n">
        <v>44949.54909722223</v>
      </c>
      <c r="C72" s="1" t="n">
        <v>46079</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4363-2024</t>
        </is>
      </c>
      <c r="B73" s="1" t="n">
        <v>45325</v>
      </c>
      <c r="C73" s="1" t="n">
        <v>46079</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51564-2023</t>
        </is>
      </c>
      <c r="B74" s="1" t="n">
        <v>45222</v>
      </c>
      <c r="C74" s="1" t="n">
        <v>46079</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16601-2025</t>
        </is>
      </c>
      <c r="B75" s="1" t="n">
        <v>45753.53189814815</v>
      </c>
      <c r="C75" s="1" t="n">
        <v>46079</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35959-2022</t>
        </is>
      </c>
      <c r="B76" s="1" t="n">
        <v>44802.57002314815</v>
      </c>
      <c r="C76" s="1" t="n">
        <v>46079</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20067-2023</t>
        </is>
      </c>
      <c r="B77" s="1" t="n">
        <v>45054</v>
      </c>
      <c r="C77" s="1" t="n">
        <v>46079</v>
      </c>
      <c r="D77" t="inlineStr">
        <is>
          <t>VÄSTRA GÖTALANDS LÄN</t>
        </is>
      </c>
      <c r="E77" t="inlineStr">
        <is>
          <t>ALE</t>
        </is>
      </c>
      <c r="G77" t="n">
        <v>0.4</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46079</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17044-2025</t>
        </is>
      </c>
      <c r="B79" s="1" t="n">
        <v>45755.58891203703</v>
      </c>
      <c r="C79" s="1" t="n">
        <v>46079</v>
      </c>
      <c r="D79" t="inlineStr">
        <is>
          <t>VÄSTRA GÖTALANDS LÄN</t>
        </is>
      </c>
      <c r="E79" t="inlineStr">
        <is>
          <t>ALE</t>
        </is>
      </c>
      <c r="G79" t="n">
        <v>1.5</v>
      </c>
      <c r="H79" t="n">
        <v>0</v>
      </c>
      <c r="I79" t="n">
        <v>0</v>
      </c>
      <c r="J79" t="n">
        <v>0</v>
      </c>
      <c r="K79" t="n">
        <v>0</v>
      </c>
      <c r="L79" t="n">
        <v>0</v>
      </c>
      <c r="M79" t="n">
        <v>0</v>
      </c>
      <c r="N79" t="n">
        <v>0</v>
      </c>
      <c r="O79" t="n">
        <v>0</v>
      </c>
      <c r="P79" t="n">
        <v>0</v>
      </c>
      <c r="Q79" t="n">
        <v>0</v>
      </c>
      <c r="R79" s="2" t="inlineStr"/>
    </row>
    <row r="80" ht="15" customHeight="1">
      <c r="A80" t="inlineStr">
        <is>
          <t>A 1500-2024</t>
        </is>
      </c>
      <c r="B80" s="1" t="n">
        <v>45306</v>
      </c>
      <c r="C80" s="1" t="n">
        <v>46079</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36403-2024</t>
        </is>
      </c>
      <c r="B81" s="1" t="n">
        <v>45535.69445601852</v>
      </c>
      <c r="C81" s="1" t="n">
        <v>46079</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55405-2021</t>
        </is>
      </c>
      <c r="B82" s="1" t="n">
        <v>44475.53733796296</v>
      </c>
      <c r="C82" s="1" t="n">
        <v>46079</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6916-2023</t>
        </is>
      </c>
      <c r="B83" s="1" t="n">
        <v>44967.53349537037</v>
      </c>
      <c r="C83" s="1" t="n">
        <v>46079</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64199-2021</t>
        </is>
      </c>
      <c r="B84" s="1" t="n">
        <v>44510</v>
      </c>
      <c r="C84" s="1" t="n">
        <v>46079</v>
      </c>
      <c r="D84" t="inlineStr">
        <is>
          <t>VÄSTRA GÖTALANDS LÄN</t>
        </is>
      </c>
      <c r="E84" t="inlineStr">
        <is>
          <t>ALE</t>
        </is>
      </c>
      <c r="G84" t="n">
        <v>5.7</v>
      </c>
      <c r="H84" t="n">
        <v>0</v>
      </c>
      <c r="I84" t="n">
        <v>0</v>
      </c>
      <c r="J84" t="n">
        <v>0</v>
      </c>
      <c r="K84" t="n">
        <v>0</v>
      </c>
      <c r="L84" t="n">
        <v>0</v>
      </c>
      <c r="M84" t="n">
        <v>0</v>
      </c>
      <c r="N84" t="n">
        <v>0</v>
      </c>
      <c r="O84" t="n">
        <v>0</v>
      </c>
      <c r="P84" t="n">
        <v>0</v>
      </c>
      <c r="Q84" t="n">
        <v>0</v>
      </c>
      <c r="R84" s="2" t="inlineStr"/>
    </row>
    <row r="85" ht="15" customHeight="1">
      <c r="A85" t="inlineStr">
        <is>
          <t>A 34104-2024</t>
        </is>
      </c>
      <c r="B85" s="1" t="n">
        <v>45523.79202546296</v>
      </c>
      <c r="C85" s="1" t="n">
        <v>46079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47087-2023</t>
        </is>
      </c>
      <c r="B86" s="1" t="n">
        <v>45196</v>
      </c>
      <c r="C86" s="1" t="n">
        <v>46079</v>
      </c>
      <c r="D86" t="inlineStr">
        <is>
          <t>VÄSTRA GÖTALANDS LÄN</t>
        </is>
      </c>
      <c r="E86" t="inlineStr">
        <is>
          <t>ALE</t>
        </is>
      </c>
      <c r="G86" t="n">
        <v>1.6</v>
      </c>
      <c r="H86" t="n">
        <v>0</v>
      </c>
      <c r="I86" t="n">
        <v>0</v>
      </c>
      <c r="J86" t="n">
        <v>0</v>
      </c>
      <c r="K86" t="n">
        <v>0</v>
      </c>
      <c r="L86" t="n">
        <v>0</v>
      </c>
      <c r="M86" t="n">
        <v>0</v>
      </c>
      <c r="N86" t="n">
        <v>0</v>
      </c>
      <c r="O86" t="n">
        <v>0</v>
      </c>
      <c r="P86" t="n">
        <v>0</v>
      </c>
      <c r="Q86" t="n">
        <v>0</v>
      </c>
      <c r="R86" s="2" t="inlineStr"/>
    </row>
    <row r="87" ht="15" customHeight="1">
      <c r="A87" t="inlineStr">
        <is>
          <t>A 4642-2024</t>
        </is>
      </c>
      <c r="B87" s="1" t="n">
        <v>45328.43502314815</v>
      </c>
      <c r="C87" s="1" t="n">
        <v>46079</v>
      </c>
      <c r="D87" t="inlineStr">
        <is>
          <t>VÄSTRA GÖTALANDS LÄN</t>
        </is>
      </c>
      <c r="E87" t="inlineStr">
        <is>
          <t>ALE</t>
        </is>
      </c>
      <c r="G87" t="n">
        <v>7.1</v>
      </c>
      <c r="H87" t="n">
        <v>0</v>
      </c>
      <c r="I87" t="n">
        <v>0</v>
      </c>
      <c r="J87" t="n">
        <v>0</v>
      </c>
      <c r="K87" t="n">
        <v>0</v>
      </c>
      <c r="L87" t="n">
        <v>0</v>
      </c>
      <c r="M87" t="n">
        <v>0</v>
      </c>
      <c r="N87" t="n">
        <v>0</v>
      </c>
      <c r="O87" t="n">
        <v>0</v>
      </c>
      <c r="P87" t="n">
        <v>0</v>
      </c>
      <c r="Q87" t="n">
        <v>0</v>
      </c>
      <c r="R87" s="2" t="inlineStr"/>
    </row>
    <row r="88" ht="15" customHeight="1">
      <c r="A88" t="inlineStr">
        <is>
          <t>A 48257-2022</t>
        </is>
      </c>
      <c r="B88" s="1" t="n">
        <v>44858.47591435185</v>
      </c>
      <c r="C88" s="1" t="n">
        <v>46079</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18999-2021</t>
        </is>
      </c>
      <c r="B89" s="1" t="n">
        <v>44308</v>
      </c>
      <c r="C89" s="1" t="n">
        <v>46079</v>
      </c>
      <c r="D89" t="inlineStr">
        <is>
          <t>VÄSTRA GÖTALANDS LÄN</t>
        </is>
      </c>
      <c r="E89" t="inlineStr">
        <is>
          <t>ALE</t>
        </is>
      </c>
      <c r="G89" t="n">
        <v>3.7</v>
      </c>
      <c r="H89" t="n">
        <v>0</v>
      </c>
      <c r="I89" t="n">
        <v>0</v>
      </c>
      <c r="J89" t="n">
        <v>0</v>
      </c>
      <c r="K89" t="n">
        <v>0</v>
      </c>
      <c r="L89" t="n">
        <v>0</v>
      </c>
      <c r="M89" t="n">
        <v>0</v>
      </c>
      <c r="N89" t="n">
        <v>0</v>
      </c>
      <c r="O89" t="n">
        <v>0</v>
      </c>
      <c r="P89" t="n">
        <v>0</v>
      </c>
      <c r="Q89" t="n">
        <v>0</v>
      </c>
      <c r="R89" s="2" t="inlineStr"/>
    </row>
    <row r="90" ht="15" customHeight="1">
      <c r="A90" t="inlineStr">
        <is>
          <t>A 24642-2022</t>
        </is>
      </c>
      <c r="B90" s="1" t="n">
        <v>44727.59578703704</v>
      </c>
      <c r="C90" s="1" t="n">
        <v>46079</v>
      </c>
      <c r="D90" t="inlineStr">
        <is>
          <t>VÄSTRA GÖTALANDS LÄN</t>
        </is>
      </c>
      <c r="E90" t="inlineStr">
        <is>
          <t>ALE</t>
        </is>
      </c>
      <c r="G90" t="n">
        <v>10</v>
      </c>
      <c r="H90" t="n">
        <v>0</v>
      </c>
      <c r="I90" t="n">
        <v>0</v>
      </c>
      <c r="J90" t="n">
        <v>0</v>
      </c>
      <c r="K90" t="n">
        <v>0</v>
      </c>
      <c r="L90" t="n">
        <v>0</v>
      </c>
      <c r="M90" t="n">
        <v>0</v>
      </c>
      <c r="N90" t="n">
        <v>0</v>
      </c>
      <c r="O90" t="n">
        <v>0</v>
      </c>
      <c r="P90" t="n">
        <v>0</v>
      </c>
      <c r="Q90" t="n">
        <v>0</v>
      </c>
      <c r="R90" s="2" t="inlineStr"/>
    </row>
    <row r="91" ht="15" customHeight="1">
      <c r="A91" t="inlineStr">
        <is>
          <t>A 15582-2025</t>
        </is>
      </c>
      <c r="B91" s="1" t="n">
        <v>45747.81394675926</v>
      </c>
      <c r="C91" s="1" t="n">
        <v>46079</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1687-2024</t>
        </is>
      </c>
      <c r="B92" s="1" t="n">
        <v>45306</v>
      </c>
      <c r="C92" s="1" t="n">
        <v>46079</v>
      </c>
      <c r="D92" t="inlineStr">
        <is>
          <t>VÄSTRA GÖTALANDS LÄN</t>
        </is>
      </c>
      <c r="E92" t="inlineStr">
        <is>
          <t>ALE</t>
        </is>
      </c>
      <c r="G92" t="n">
        <v>3.4</v>
      </c>
      <c r="H92" t="n">
        <v>0</v>
      </c>
      <c r="I92" t="n">
        <v>0</v>
      </c>
      <c r="J92" t="n">
        <v>0</v>
      </c>
      <c r="K92" t="n">
        <v>0</v>
      </c>
      <c r="L92" t="n">
        <v>0</v>
      </c>
      <c r="M92" t="n">
        <v>0</v>
      </c>
      <c r="N92" t="n">
        <v>0</v>
      </c>
      <c r="O92" t="n">
        <v>0</v>
      </c>
      <c r="P92" t="n">
        <v>0</v>
      </c>
      <c r="Q92" t="n">
        <v>0</v>
      </c>
      <c r="R92" s="2" t="inlineStr"/>
    </row>
    <row r="93" ht="15" customHeight="1">
      <c r="A93" t="inlineStr">
        <is>
          <t>A 14731-2022</t>
        </is>
      </c>
      <c r="B93" s="1" t="n">
        <v>44656</v>
      </c>
      <c r="C93" s="1" t="n">
        <v>46079</v>
      </c>
      <c r="D93" t="inlineStr">
        <is>
          <t>VÄSTRA GÖTALANDS LÄN</t>
        </is>
      </c>
      <c r="E93" t="inlineStr">
        <is>
          <t>ALE</t>
        </is>
      </c>
      <c r="G93" t="n">
        <v>1.8</v>
      </c>
      <c r="H93" t="n">
        <v>0</v>
      </c>
      <c r="I93" t="n">
        <v>0</v>
      </c>
      <c r="J93" t="n">
        <v>0</v>
      </c>
      <c r="K93" t="n">
        <v>0</v>
      </c>
      <c r="L93" t="n">
        <v>0</v>
      </c>
      <c r="M93" t="n">
        <v>0</v>
      </c>
      <c r="N93" t="n">
        <v>0</v>
      </c>
      <c r="O93" t="n">
        <v>0</v>
      </c>
      <c r="P93" t="n">
        <v>0</v>
      </c>
      <c r="Q93" t="n">
        <v>0</v>
      </c>
      <c r="R93" s="2" t="inlineStr"/>
    </row>
    <row r="94" ht="15" customHeight="1">
      <c r="A94" t="inlineStr">
        <is>
          <t>A 50451-2024</t>
        </is>
      </c>
      <c r="B94" s="1" t="n">
        <v>45601.44248842593</v>
      </c>
      <c r="C94" s="1" t="n">
        <v>46079</v>
      </c>
      <c r="D94" t="inlineStr">
        <is>
          <t>VÄSTRA GÖTALANDS LÄN</t>
        </is>
      </c>
      <c r="E94" t="inlineStr">
        <is>
          <t>ALE</t>
        </is>
      </c>
      <c r="G94" t="n">
        <v>2.9</v>
      </c>
      <c r="H94" t="n">
        <v>0</v>
      </c>
      <c r="I94" t="n">
        <v>0</v>
      </c>
      <c r="J94" t="n">
        <v>0</v>
      </c>
      <c r="K94" t="n">
        <v>0</v>
      </c>
      <c r="L94" t="n">
        <v>0</v>
      </c>
      <c r="M94" t="n">
        <v>0</v>
      </c>
      <c r="N94" t="n">
        <v>0</v>
      </c>
      <c r="O94" t="n">
        <v>0</v>
      </c>
      <c r="P94" t="n">
        <v>0</v>
      </c>
      <c r="Q94" t="n">
        <v>0</v>
      </c>
      <c r="R94" s="2" t="inlineStr"/>
    </row>
    <row r="95" ht="15" customHeight="1">
      <c r="A95" t="inlineStr">
        <is>
          <t>A 49680-2024</t>
        </is>
      </c>
      <c r="B95" s="1" t="n">
        <v>45596.66880787037</v>
      </c>
      <c r="C95" s="1" t="n">
        <v>46079</v>
      </c>
      <c r="D95" t="inlineStr">
        <is>
          <t>VÄSTRA GÖTALANDS LÄN</t>
        </is>
      </c>
      <c r="E95" t="inlineStr">
        <is>
          <t>ALE</t>
        </is>
      </c>
      <c r="G95" t="n">
        <v>3.7</v>
      </c>
      <c r="H95" t="n">
        <v>0</v>
      </c>
      <c r="I95" t="n">
        <v>0</v>
      </c>
      <c r="J95" t="n">
        <v>0</v>
      </c>
      <c r="K95" t="n">
        <v>0</v>
      </c>
      <c r="L95" t="n">
        <v>0</v>
      </c>
      <c r="M95" t="n">
        <v>0</v>
      </c>
      <c r="N95" t="n">
        <v>0</v>
      </c>
      <c r="O95" t="n">
        <v>0</v>
      </c>
      <c r="P95" t="n">
        <v>0</v>
      </c>
      <c r="Q95" t="n">
        <v>0</v>
      </c>
      <c r="R95" s="2" t="inlineStr"/>
    </row>
    <row r="96" ht="15" customHeight="1">
      <c r="A96" t="inlineStr">
        <is>
          <t>A 3520-2022</t>
        </is>
      </c>
      <c r="B96" s="1" t="n">
        <v>44585.72818287037</v>
      </c>
      <c r="C96" s="1" t="n">
        <v>46079</v>
      </c>
      <c r="D96" t="inlineStr">
        <is>
          <t>VÄSTRA GÖTALANDS LÄN</t>
        </is>
      </c>
      <c r="E96" t="inlineStr">
        <is>
          <t>ALE</t>
        </is>
      </c>
      <c r="G96" t="n">
        <v>2.3</v>
      </c>
      <c r="H96" t="n">
        <v>0</v>
      </c>
      <c r="I96" t="n">
        <v>0</v>
      </c>
      <c r="J96" t="n">
        <v>0</v>
      </c>
      <c r="K96" t="n">
        <v>0</v>
      </c>
      <c r="L96" t="n">
        <v>0</v>
      </c>
      <c r="M96" t="n">
        <v>0</v>
      </c>
      <c r="N96" t="n">
        <v>0</v>
      </c>
      <c r="O96" t="n">
        <v>0</v>
      </c>
      <c r="P96" t="n">
        <v>0</v>
      </c>
      <c r="Q96" t="n">
        <v>0</v>
      </c>
      <c r="R96" s="2" t="inlineStr"/>
    </row>
    <row r="97" ht="15" customHeight="1">
      <c r="A97" t="inlineStr">
        <is>
          <t>A 33237-2024</t>
        </is>
      </c>
      <c r="B97" s="1" t="n">
        <v>45518.59173611111</v>
      </c>
      <c r="C97" s="1" t="n">
        <v>46079</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44429-2023</t>
        </is>
      </c>
      <c r="B98" s="1" t="n">
        <v>45189.35101851852</v>
      </c>
      <c r="C98" s="1" t="n">
        <v>46079</v>
      </c>
      <c r="D98" t="inlineStr">
        <is>
          <t>VÄSTRA GÖTALANDS LÄN</t>
        </is>
      </c>
      <c r="E98" t="inlineStr">
        <is>
          <t>ALE</t>
        </is>
      </c>
      <c r="G98" t="n">
        <v>0.1</v>
      </c>
      <c r="H98" t="n">
        <v>0</v>
      </c>
      <c r="I98" t="n">
        <v>0</v>
      </c>
      <c r="J98" t="n">
        <v>0</v>
      </c>
      <c r="K98" t="n">
        <v>0</v>
      </c>
      <c r="L98" t="n">
        <v>0</v>
      </c>
      <c r="M98" t="n">
        <v>0</v>
      </c>
      <c r="N98" t="n">
        <v>0</v>
      </c>
      <c r="O98" t="n">
        <v>0</v>
      </c>
      <c r="P98" t="n">
        <v>0</v>
      </c>
      <c r="Q98" t="n">
        <v>0</v>
      </c>
      <c r="R98" s="2" t="inlineStr"/>
    </row>
    <row r="99" ht="15" customHeight="1">
      <c r="A99" t="inlineStr">
        <is>
          <t>A 7892-2024</t>
        </is>
      </c>
      <c r="B99" s="1" t="n">
        <v>45350.40921296296</v>
      </c>
      <c r="C99" s="1" t="n">
        <v>46079</v>
      </c>
      <c r="D99" t="inlineStr">
        <is>
          <t>VÄSTRA GÖTALANDS LÄN</t>
        </is>
      </c>
      <c r="E99" t="inlineStr">
        <is>
          <t>ALE</t>
        </is>
      </c>
      <c r="G99" t="n">
        <v>3.6</v>
      </c>
      <c r="H99" t="n">
        <v>0</v>
      </c>
      <c r="I99" t="n">
        <v>0</v>
      </c>
      <c r="J99" t="n">
        <v>0</v>
      </c>
      <c r="K99" t="n">
        <v>0</v>
      </c>
      <c r="L99" t="n">
        <v>0</v>
      </c>
      <c r="M99" t="n">
        <v>0</v>
      </c>
      <c r="N99" t="n">
        <v>0</v>
      </c>
      <c r="O99" t="n">
        <v>0</v>
      </c>
      <c r="P99" t="n">
        <v>0</v>
      </c>
      <c r="Q99" t="n">
        <v>0</v>
      </c>
      <c r="R99" s="2" t="inlineStr"/>
    </row>
    <row r="100" ht="15" customHeight="1">
      <c r="A100" t="inlineStr">
        <is>
          <t>A 51164-2024</t>
        </is>
      </c>
      <c r="B100" s="1" t="n">
        <v>45603.5830787037</v>
      </c>
      <c r="C100" s="1" t="n">
        <v>46079</v>
      </c>
      <c r="D100" t="inlineStr">
        <is>
          <t>VÄSTRA GÖTALANDS LÄN</t>
        </is>
      </c>
      <c r="E100" t="inlineStr">
        <is>
          <t>ALE</t>
        </is>
      </c>
      <c r="G100" t="n">
        <v>1.1</v>
      </c>
      <c r="H100" t="n">
        <v>0</v>
      </c>
      <c r="I100" t="n">
        <v>0</v>
      </c>
      <c r="J100" t="n">
        <v>0</v>
      </c>
      <c r="K100" t="n">
        <v>0</v>
      </c>
      <c r="L100" t="n">
        <v>0</v>
      </c>
      <c r="M100" t="n">
        <v>0</v>
      </c>
      <c r="N100" t="n">
        <v>0</v>
      </c>
      <c r="O100" t="n">
        <v>0</v>
      </c>
      <c r="P100" t="n">
        <v>0</v>
      </c>
      <c r="Q100" t="n">
        <v>0</v>
      </c>
      <c r="R100" s="2" t="inlineStr"/>
    </row>
    <row r="101" ht="15" customHeight="1">
      <c r="A101" t="inlineStr">
        <is>
          <t>A 4444-2024</t>
        </is>
      </c>
      <c r="B101" s="1" t="n">
        <v>45327</v>
      </c>
      <c r="C101" s="1" t="n">
        <v>46079</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40074-2025</t>
        </is>
      </c>
      <c r="B102" s="1" t="n">
        <v>45894.44685185186</v>
      </c>
      <c r="C102" s="1" t="n">
        <v>46079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72801-2021</t>
        </is>
      </c>
      <c r="B103" s="1" t="n">
        <v>44546</v>
      </c>
      <c r="C103" s="1" t="n">
        <v>46079</v>
      </c>
      <c r="D103" t="inlineStr">
        <is>
          <t>VÄSTRA GÖTALANDS LÄN</t>
        </is>
      </c>
      <c r="E103" t="inlineStr">
        <is>
          <t>ALE</t>
        </is>
      </c>
      <c r="F103" t="inlineStr">
        <is>
          <t>Naturvårdsverket</t>
        </is>
      </c>
      <c r="G103" t="n">
        <v>1.4</v>
      </c>
      <c r="H103" t="n">
        <v>0</v>
      </c>
      <c r="I103" t="n">
        <v>0</v>
      </c>
      <c r="J103" t="n">
        <v>0</v>
      </c>
      <c r="K103" t="n">
        <v>0</v>
      </c>
      <c r="L103" t="n">
        <v>0</v>
      </c>
      <c r="M103" t="n">
        <v>0</v>
      </c>
      <c r="N103" t="n">
        <v>0</v>
      </c>
      <c r="O103" t="n">
        <v>0</v>
      </c>
      <c r="P103" t="n">
        <v>0</v>
      </c>
      <c r="Q103" t="n">
        <v>0</v>
      </c>
      <c r="R103" s="2" t="inlineStr"/>
    </row>
    <row r="104" ht="15" customHeight="1">
      <c r="A104" t="inlineStr">
        <is>
          <t>A 22946-2025</t>
        </is>
      </c>
      <c r="B104" s="1" t="n">
        <v>45790.48229166667</v>
      </c>
      <c r="C104" s="1" t="n">
        <v>46079</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7807-2023</t>
        </is>
      </c>
      <c r="B105" s="1" t="n">
        <v>44973</v>
      </c>
      <c r="C105" s="1" t="n">
        <v>46079</v>
      </c>
      <c r="D105" t="inlineStr">
        <is>
          <t>VÄSTRA GÖTALANDS LÄN</t>
        </is>
      </c>
      <c r="E105" t="inlineStr">
        <is>
          <t>ALE</t>
        </is>
      </c>
      <c r="G105" t="n">
        <v>10.5</v>
      </c>
      <c r="H105" t="n">
        <v>0</v>
      </c>
      <c r="I105" t="n">
        <v>0</v>
      </c>
      <c r="J105" t="n">
        <v>0</v>
      </c>
      <c r="K105" t="n">
        <v>0</v>
      </c>
      <c r="L105" t="n">
        <v>0</v>
      </c>
      <c r="M105" t="n">
        <v>0</v>
      </c>
      <c r="N105" t="n">
        <v>0</v>
      </c>
      <c r="O105" t="n">
        <v>0</v>
      </c>
      <c r="P105" t="n">
        <v>0</v>
      </c>
      <c r="Q105" t="n">
        <v>0</v>
      </c>
      <c r="R105" s="2" t="inlineStr"/>
    </row>
    <row r="106" ht="15" customHeight="1">
      <c r="A106" t="inlineStr">
        <is>
          <t>A 4971-2024</t>
        </is>
      </c>
      <c r="B106" s="1" t="n">
        <v>45329</v>
      </c>
      <c r="C106" s="1" t="n">
        <v>46079</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55488-2022</t>
        </is>
      </c>
      <c r="B107" s="1" t="n">
        <v>44887</v>
      </c>
      <c r="C107" s="1" t="n">
        <v>46079</v>
      </c>
      <c r="D107" t="inlineStr">
        <is>
          <t>VÄSTRA GÖTALANDS LÄN</t>
        </is>
      </c>
      <c r="E107" t="inlineStr">
        <is>
          <t>ALE</t>
        </is>
      </c>
      <c r="G107" t="n">
        <v>2.5</v>
      </c>
      <c r="H107" t="n">
        <v>0</v>
      </c>
      <c r="I107" t="n">
        <v>0</v>
      </c>
      <c r="J107" t="n">
        <v>0</v>
      </c>
      <c r="K107" t="n">
        <v>0</v>
      </c>
      <c r="L107" t="n">
        <v>0</v>
      </c>
      <c r="M107" t="n">
        <v>0</v>
      </c>
      <c r="N107" t="n">
        <v>0</v>
      </c>
      <c r="O107" t="n">
        <v>0</v>
      </c>
      <c r="P107" t="n">
        <v>0</v>
      </c>
      <c r="Q107" t="n">
        <v>0</v>
      </c>
      <c r="R107" s="2" t="inlineStr"/>
    </row>
    <row r="108" ht="15" customHeight="1">
      <c r="A108" t="inlineStr">
        <is>
          <t>A 37461-2024</t>
        </is>
      </c>
      <c r="B108" s="1" t="n">
        <v>45540.72516203704</v>
      </c>
      <c r="C108" s="1" t="n">
        <v>46079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42446-2023</t>
        </is>
      </c>
      <c r="B109" s="1" t="n">
        <v>45180</v>
      </c>
      <c r="C109" s="1" t="n">
        <v>46079</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46079</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67160-2021</t>
        </is>
      </c>
      <c r="B111" s="1" t="n">
        <v>44523</v>
      </c>
      <c r="C111" s="1" t="n">
        <v>46079</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46079</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45123.46649305556</v>
      </c>
      <c r="C113" s="1" t="n">
        <v>46079</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25849-2025</t>
        </is>
      </c>
      <c r="B114" s="1" t="n">
        <v>45804</v>
      </c>
      <c r="C114" s="1" t="n">
        <v>46079</v>
      </c>
      <c r="D114" t="inlineStr">
        <is>
          <t>VÄSTRA GÖTALANDS LÄN</t>
        </is>
      </c>
      <c r="E114" t="inlineStr">
        <is>
          <t>ALE</t>
        </is>
      </c>
      <c r="G114" t="n">
        <v>0.8</v>
      </c>
      <c r="H114" t="n">
        <v>0</v>
      </c>
      <c r="I114" t="n">
        <v>0</v>
      </c>
      <c r="J114" t="n">
        <v>0</v>
      </c>
      <c r="K114" t="n">
        <v>0</v>
      </c>
      <c r="L114" t="n">
        <v>0</v>
      </c>
      <c r="M114" t="n">
        <v>0</v>
      </c>
      <c r="N114" t="n">
        <v>0</v>
      </c>
      <c r="O114" t="n">
        <v>0</v>
      </c>
      <c r="P114" t="n">
        <v>0</v>
      </c>
      <c r="Q114" t="n">
        <v>0</v>
      </c>
      <c r="R114" s="2" t="inlineStr"/>
    </row>
    <row r="115" ht="15" customHeight="1">
      <c r="A115" t="inlineStr">
        <is>
          <t>A 25848-2025</t>
        </is>
      </c>
      <c r="B115" s="1" t="n">
        <v>45804</v>
      </c>
      <c r="C115" s="1" t="n">
        <v>46079</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25840-2025</t>
        </is>
      </c>
      <c r="B116" s="1" t="n">
        <v>45804</v>
      </c>
      <c r="C116" s="1" t="n">
        <v>46079</v>
      </c>
      <c r="D116" t="inlineStr">
        <is>
          <t>VÄSTRA GÖTALANDS LÄN</t>
        </is>
      </c>
      <c r="E116" t="inlineStr">
        <is>
          <t>ALE</t>
        </is>
      </c>
      <c r="G116" t="n">
        <v>3.8</v>
      </c>
      <c r="H116" t="n">
        <v>0</v>
      </c>
      <c r="I116" t="n">
        <v>0</v>
      </c>
      <c r="J116" t="n">
        <v>0</v>
      </c>
      <c r="K116" t="n">
        <v>0</v>
      </c>
      <c r="L116" t="n">
        <v>0</v>
      </c>
      <c r="M116" t="n">
        <v>0</v>
      </c>
      <c r="N116" t="n">
        <v>0</v>
      </c>
      <c r="O116" t="n">
        <v>0</v>
      </c>
      <c r="P116" t="n">
        <v>0</v>
      </c>
      <c r="Q116" t="n">
        <v>0</v>
      </c>
      <c r="R116" s="2" t="inlineStr"/>
    </row>
    <row r="117" ht="15" customHeight="1">
      <c r="A117" t="inlineStr">
        <is>
          <t>A 46226-2025</t>
        </is>
      </c>
      <c r="B117" s="1" t="n">
        <v>45924</v>
      </c>
      <c r="C117" s="1" t="n">
        <v>46079</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46227-2025</t>
        </is>
      </c>
      <c r="B118" s="1" t="n">
        <v>45924.90386574074</v>
      </c>
      <c r="C118" s="1" t="n">
        <v>46079</v>
      </c>
      <c r="D118" t="inlineStr">
        <is>
          <t>VÄSTRA GÖTALANDS LÄN</t>
        </is>
      </c>
      <c r="E118" t="inlineStr">
        <is>
          <t>ALE</t>
        </is>
      </c>
      <c r="G118" t="n">
        <v>0.3</v>
      </c>
      <c r="H118" t="n">
        <v>0</v>
      </c>
      <c r="I118" t="n">
        <v>0</v>
      </c>
      <c r="J118" t="n">
        <v>0</v>
      </c>
      <c r="K118" t="n">
        <v>0</v>
      </c>
      <c r="L118" t="n">
        <v>0</v>
      </c>
      <c r="M118" t="n">
        <v>0</v>
      </c>
      <c r="N118" t="n">
        <v>0</v>
      </c>
      <c r="O118" t="n">
        <v>0</v>
      </c>
      <c r="P118" t="n">
        <v>0</v>
      </c>
      <c r="Q118" t="n">
        <v>0</v>
      </c>
      <c r="R118" s="2" t="inlineStr"/>
    </row>
    <row r="119" ht="15" customHeight="1">
      <c r="A119" t="inlineStr">
        <is>
          <t>A 47592-2025</t>
        </is>
      </c>
      <c r="B119" s="1" t="n">
        <v>45931.44649305556</v>
      </c>
      <c r="C119" s="1" t="n">
        <v>46079</v>
      </c>
      <c r="D119" t="inlineStr">
        <is>
          <t>VÄSTRA GÖTALANDS LÄN</t>
        </is>
      </c>
      <c r="E119" t="inlineStr">
        <is>
          <t>ALE</t>
        </is>
      </c>
      <c r="G119" t="n">
        <v>0.6</v>
      </c>
      <c r="H119" t="n">
        <v>0</v>
      </c>
      <c r="I119" t="n">
        <v>0</v>
      </c>
      <c r="J119" t="n">
        <v>0</v>
      </c>
      <c r="K119" t="n">
        <v>0</v>
      </c>
      <c r="L119" t="n">
        <v>0</v>
      </c>
      <c r="M119" t="n">
        <v>0</v>
      </c>
      <c r="N119" t="n">
        <v>0</v>
      </c>
      <c r="O119" t="n">
        <v>0</v>
      </c>
      <c r="P119" t="n">
        <v>0</v>
      </c>
      <c r="Q119" t="n">
        <v>0</v>
      </c>
      <c r="R119" s="2" t="inlineStr"/>
    </row>
    <row r="120" ht="15" customHeight="1">
      <c r="A120" t="inlineStr">
        <is>
          <t>A 5344-2024</t>
        </is>
      </c>
      <c r="B120" s="1" t="n">
        <v>45331</v>
      </c>
      <c r="C120" s="1" t="n">
        <v>46079</v>
      </c>
      <c r="D120" t="inlineStr">
        <is>
          <t>VÄSTRA GÖTALANDS LÄN</t>
        </is>
      </c>
      <c r="E120" t="inlineStr">
        <is>
          <t>ALE</t>
        </is>
      </c>
      <c r="G120" t="n">
        <v>2.5</v>
      </c>
      <c r="H120" t="n">
        <v>0</v>
      </c>
      <c r="I120" t="n">
        <v>0</v>
      </c>
      <c r="J120" t="n">
        <v>0</v>
      </c>
      <c r="K120" t="n">
        <v>0</v>
      </c>
      <c r="L120" t="n">
        <v>0</v>
      </c>
      <c r="M120" t="n">
        <v>0</v>
      </c>
      <c r="N120" t="n">
        <v>0</v>
      </c>
      <c r="O120" t="n">
        <v>0</v>
      </c>
      <c r="P120" t="n">
        <v>0</v>
      </c>
      <c r="Q120" t="n">
        <v>0</v>
      </c>
      <c r="R120" s="2" t="inlineStr"/>
    </row>
    <row r="121" ht="15" customHeight="1">
      <c r="A121" t="inlineStr">
        <is>
          <t>A 47593-2025</t>
        </is>
      </c>
      <c r="B121" s="1" t="n">
        <v>45931.4480787037</v>
      </c>
      <c r="C121" s="1" t="n">
        <v>46079</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47728-2025</t>
        </is>
      </c>
      <c r="B122" s="1" t="n">
        <v>45931.63186342592</v>
      </c>
      <c r="C122" s="1" t="n">
        <v>46079</v>
      </c>
      <c r="D122" t="inlineStr">
        <is>
          <t>VÄSTRA GÖTALANDS LÄN</t>
        </is>
      </c>
      <c r="E122" t="inlineStr">
        <is>
          <t>ALE</t>
        </is>
      </c>
      <c r="G122" t="n">
        <v>1.1</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46079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1566-2022</t>
        </is>
      </c>
      <c r="B124" s="1" t="n">
        <v>44573</v>
      </c>
      <c r="C124" s="1" t="n">
        <v>46079</v>
      </c>
      <c r="D124" t="inlineStr">
        <is>
          <t>VÄSTRA GÖTALANDS LÄN</t>
        </is>
      </c>
      <c r="E124" t="inlineStr">
        <is>
          <t>ALE</t>
        </is>
      </c>
      <c r="G124" t="n">
        <v>3</v>
      </c>
      <c r="H124" t="n">
        <v>0</v>
      </c>
      <c r="I124" t="n">
        <v>0</v>
      </c>
      <c r="J124" t="n">
        <v>0</v>
      </c>
      <c r="K124" t="n">
        <v>0</v>
      </c>
      <c r="L124" t="n">
        <v>0</v>
      </c>
      <c r="M124" t="n">
        <v>0</v>
      </c>
      <c r="N124" t="n">
        <v>0</v>
      </c>
      <c r="O124" t="n">
        <v>0</v>
      </c>
      <c r="P124" t="n">
        <v>0</v>
      </c>
      <c r="Q124" t="n">
        <v>0</v>
      </c>
      <c r="R124" s="2" t="inlineStr"/>
    </row>
    <row r="125" ht="15" customHeight="1">
      <c r="A125" t="inlineStr">
        <is>
          <t>A 18637-2023</t>
        </is>
      </c>
      <c r="B125" s="1" t="n">
        <v>45043</v>
      </c>
      <c r="C125" s="1" t="n">
        <v>46079</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59933-2023</t>
        </is>
      </c>
      <c r="B126" s="1" t="n">
        <v>45257</v>
      </c>
      <c r="C126" s="1" t="n">
        <v>46079</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12445-2022</t>
        </is>
      </c>
      <c r="B127" s="1" t="n">
        <v>44638</v>
      </c>
      <c r="C127" s="1" t="n">
        <v>46079</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48213-2025</t>
        </is>
      </c>
      <c r="B128" s="1" t="n">
        <v>45933</v>
      </c>
      <c r="C128" s="1" t="n">
        <v>46079</v>
      </c>
      <c r="D128" t="inlineStr">
        <is>
          <t>VÄSTRA GÖTALANDS LÄN</t>
        </is>
      </c>
      <c r="E128" t="inlineStr">
        <is>
          <t>ALE</t>
        </is>
      </c>
      <c r="G128" t="n">
        <v>3.3</v>
      </c>
      <c r="H128" t="n">
        <v>0</v>
      </c>
      <c r="I128" t="n">
        <v>0</v>
      </c>
      <c r="J128" t="n">
        <v>0</v>
      </c>
      <c r="K128" t="n">
        <v>0</v>
      </c>
      <c r="L128" t="n">
        <v>0</v>
      </c>
      <c r="M128" t="n">
        <v>0</v>
      </c>
      <c r="N128" t="n">
        <v>0</v>
      </c>
      <c r="O128" t="n">
        <v>0</v>
      </c>
      <c r="P128" t="n">
        <v>0</v>
      </c>
      <c r="Q128" t="n">
        <v>0</v>
      </c>
      <c r="R128" s="2" t="inlineStr"/>
    </row>
    <row r="129" ht="15" customHeight="1">
      <c r="A129" t="inlineStr">
        <is>
          <t>A 48218-2025</t>
        </is>
      </c>
      <c r="B129" s="1" t="n">
        <v>45933</v>
      </c>
      <c r="C129" s="1" t="n">
        <v>46079</v>
      </c>
      <c r="D129" t="inlineStr">
        <is>
          <t>VÄSTRA GÖTALANDS LÄN</t>
        </is>
      </c>
      <c r="E129" t="inlineStr">
        <is>
          <t>ALE</t>
        </is>
      </c>
      <c r="G129" t="n">
        <v>1.4</v>
      </c>
      <c r="H129" t="n">
        <v>0</v>
      </c>
      <c r="I129" t="n">
        <v>0</v>
      </c>
      <c r="J129" t="n">
        <v>0</v>
      </c>
      <c r="K129" t="n">
        <v>0</v>
      </c>
      <c r="L129" t="n">
        <v>0</v>
      </c>
      <c r="M129" t="n">
        <v>0</v>
      </c>
      <c r="N129" t="n">
        <v>0</v>
      </c>
      <c r="O129" t="n">
        <v>0</v>
      </c>
      <c r="P129" t="n">
        <v>0</v>
      </c>
      <c r="Q129" t="n">
        <v>0</v>
      </c>
      <c r="R129" s="2" t="inlineStr"/>
    </row>
    <row r="130" ht="15" customHeight="1">
      <c r="A130" t="inlineStr">
        <is>
          <t>A 29373-2025</t>
        </is>
      </c>
      <c r="B130" s="1" t="n">
        <v>45824.579375</v>
      </c>
      <c r="C130" s="1" t="n">
        <v>46079</v>
      </c>
      <c r="D130" t="inlineStr">
        <is>
          <t>VÄSTRA GÖTALANDS LÄN</t>
        </is>
      </c>
      <c r="E130" t="inlineStr">
        <is>
          <t>ALE</t>
        </is>
      </c>
      <c r="G130" t="n">
        <v>4.6</v>
      </c>
      <c r="H130" t="n">
        <v>0</v>
      </c>
      <c r="I130" t="n">
        <v>0</v>
      </c>
      <c r="J130" t="n">
        <v>0</v>
      </c>
      <c r="K130" t="n">
        <v>0</v>
      </c>
      <c r="L130" t="n">
        <v>0</v>
      </c>
      <c r="M130" t="n">
        <v>0</v>
      </c>
      <c r="N130" t="n">
        <v>0</v>
      </c>
      <c r="O130" t="n">
        <v>0</v>
      </c>
      <c r="P130" t="n">
        <v>0</v>
      </c>
      <c r="Q130" t="n">
        <v>0</v>
      </c>
      <c r="R130" s="2" t="inlineStr"/>
    </row>
    <row r="131" ht="15" customHeight="1">
      <c r="A131" t="inlineStr">
        <is>
          <t>A 50189-2025</t>
        </is>
      </c>
      <c r="B131" s="1" t="n">
        <v>45943.63476851852</v>
      </c>
      <c r="C131" s="1" t="n">
        <v>46079</v>
      </c>
      <c r="D131" t="inlineStr">
        <is>
          <t>VÄSTRA GÖTALANDS LÄN</t>
        </is>
      </c>
      <c r="E131" t="inlineStr">
        <is>
          <t>ALE</t>
        </is>
      </c>
      <c r="G131" t="n">
        <v>3</v>
      </c>
      <c r="H131" t="n">
        <v>0</v>
      </c>
      <c r="I131" t="n">
        <v>0</v>
      </c>
      <c r="J131" t="n">
        <v>0</v>
      </c>
      <c r="K131" t="n">
        <v>0</v>
      </c>
      <c r="L131" t="n">
        <v>0</v>
      </c>
      <c r="M131" t="n">
        <v>0</v>
      </c>
      <c r="N131" t="n">
        <v>0</v>
      </c>
      <c r="O131" t="n">
        <v>0</v>
      </c>
      <c r="P131" t="n">
        <v>0</v>
      </c>
      <c r="Q131" t="n">
        <v>0</v>
      </c>
      <c r="R131" s="2" t="inlineStr"/>
    </row>
    <row r="132" ht="15" customHeight="1">
      <c r="A132" t="inlineStr">
        <is>
          <t>A 13382-2025</t>
        </is>
      </c>
      <c r="B132" s="1" t="n">
        <v>45735.67928240741</v>
      </c>
      <c r="C132" s="1" t="n">
        <v>46079</v>
      </c>
      <c r="D132" t="inlineStr">
        <is>
          <t>VÄSTRA GÖTALANDS LÄN</t>
        </is>
      </c>
      <c r="E132" t="inlineStr">
        <is>
          <t>ALE</t>
        </is>
      </c>
      <c r="G132" t="n">
        <v>0.9</v>
      </c>
      <c r="H132" t="n">
        <v>0</v>
      </c>
      <c r="I132" t="n">
        <v>0</v>
      </c>
      <c r="J132" t="n">
        <v>0</v>
      </c>
      <c r="K132" t="n">
        <v>0</v>
      </c>
      <c r="L132" t="n">
        <v>0</v>
      </c>
      <c r="M132" t="n">
        <v>0</v>
      </c>
      <c r="N132" t="n">
        <v>0</v>
      </c>
      <c r="O132" t="n">
        <v>0</v>
      </c>
      <c r="P132" t="n">
        <v>0</v>
      </c>
      <c r="Q132" t="n">
        <v>0</v>
      </c>
      <c r="R132" s="2" t="inlineStr"/>
    </row>
    <row r="133" ht="15" customHeight="1">
      <c r="A133" t="inlineStr">
        <is>
          <t>A 1822-2024</t>
        </is>
      </c>
      <c r="B133" s="1" t="n">
        <v>45307.6205787037</v>
      </c>
      <c r="C133" s="1" t="n">
        <v>46079</v>
      </c>
      <c r="D133" t="inlineStr">
        <is>
          <t>VÄSTRA GÖTALANDS LÄN</t>
        </is>
      </c>
      <c r="E133" t="inlineStr">
        <is>
          <t>ALE</t>
        </is>
      </c>
      <c r="G133" t="n">
        <v>2</v>
      </c>
      <c r="H133" t="n">
        <v>0</v>
      </c>
      <c r="I133" t="n">
        <v>0</v>
      </c>
      <c r="J133" t="n">
        <v>0</v>
      </c>
      <c r="K133" t="n">
        <v>0</v>
      </c>
      <c r="L133" t="n">
        <v>0</v>
      </c>
      <c r="M133" t="n">
        <v>0</v>
      </c>
      <c r="N133" t="n">
        <v>0</v>
      </c>
      <c r="O133" t="n">
        <v>0</v>
      </c>
      <c r="P133" t="n">
        <v>0</v>
      </c>
      <c r="Q133" t="n">
        <v>0</v>
      </c>
      <c r="R133" s="2" t="inlineStr"/>
    </row>
    <row r="134" ht="15" customHeight="1">
      <c r="A134" t="inlineStr">
        <is>
          <t>A 13903-2025</t>
        </is>
      </c>
      <c r="B134" s="1" t="n">
        <v>45737.63481481482</v>
      </c>
      <c r="C134" s="1" t="n">
        <v>46079</v>
      </c>
      <c r="D134" t="inlineStr">
        <is>
          <t>VÄSTRA GÖTALANDS LÄN</t>
        </is>
      </c>
      <c r="E134" t="inlineStr">
        <is>
          <t>ALE</t>
        </is>
      </c>
      <c r="G134" t="n">
        <v>0.5</v>
      </c>
      <c r="H134" t="n">
        <v>0</v>
      </c>
      <c r="I134" t="n">
        <v>0</v>
      </c>
      <c r="J134" t="n">
        <v>0</v>
      </c>
      <c r="K134" t="n">
        <v>0</v>
      </c>
      <c r="L134" t="n">
        <v>0</v>
      </c>
      <c r="M134" t="n">
        <v>0</v>
      </c>
      <c r="N134" t="n">
        <v>0</v>
      </c>
      <c r="O134" t="n">
        <v>0</v>
      </c>
      <c r="P134" t="n">
        <v>0</v>
      </c>
      <c r="Q134" t="n">
        <v>0</v>
      </c>
      <c r="R134" s="2" t="inlineStr"/>
    </row>
    <row r="135" ht="15" customHeight="1">
      <c r="A135" t="inlineStr">
        <is>
          <t>A 15241-2025</t>
        </is>
      </c>
      <c r="B135" s="1" t="n">
        <v>45744.61255787037</v>
      </c>
      <c r="C135" s="1" t="n">
        <v>46079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50973-2025</t>
        </is>
      </c>
      <c r="B136" s="1" t="n">
        <v>45947.31263888889</v>
      </c>
      <c r="C136" s="1" t="n">
        <v>46079</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31409-2025</t>
        </is>
      </c>
      <c r="B137" s="1" t="n">
        <v>45833</v>
      </c>
      <c r="C137" s="1" t="n">
        <v>46079</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31533-2025</t>
        </is>
      </c>
      <c r="B138" s="1" t="n">
        <v>45833</v>
      </c>
      <c r="C138" s="1" t="n">
        <v>46079</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31488-2025</t>
        </is>
      </c>
      <c r="B139" s="1" t="n">
        <v>45833</v>
      </c>
      <c r="C139" s="1" t="n">
        <v>46079</v>
      </c>
      <c r="D139" t="inlineStr">
        <is>
          <t>VÄSTRA GÖTALANDS LÄN</t>
        </is>
      </c>
      <c r="E139" t="inlineStr">
        <is>
          <t>ALE</t>
        </is>
      </c>
      <c r="G139" t="n">
        <v>1.8</v>
      </c>
      <c r="H139" t="n">
        <v>0</v>
      </c>
      <c r="I139" t="n">
        <v>0</v>
      </c>
      <c r="J139" t="n">
        <v>0</v>
      </c>
      <c r="K139" t="n">
        <v>0</v>
      </c>
      <c r="L139" t="n">
        <v>0</v>
      </c>
      <c r="M139" t="n">
        <v>0</v>
      </c>
      <c r="N139" t="n">
        <v>0</v>
      </c>
      <c r="O139" t="n">
        <v>0</v>
      </c>
      <c r="P139" t="n">
        <v>0</v>
      </c>
      <c r="Q139" t="n">
        <v>0</v>
      </c>
      <c r="R139" s="2" t="inlineStr"/>
    </row>
    <row r="140" ht="15" customHeight="1">
      <c r="A140" t="inlineStr">
        <is>
          <t>A 51976-2025</t>
        </is>
      </c>
      <c r="B140" s="1" t="n">
        <v>45952.56412037037</v>
      </c>
      <c r="C140" s="1" t="n">
        <v>46079</v>
      </c>
      <c r="D140" t="inlineStr">
        <is>
          <t>VÄSTRA GÖTALANDS LÄN</t>
        </is>
      </c>
      <c r="E140" t="inlineStr">
        <is>
          <t>ALE</t>
        </is>
      </c>
      <c r="G140" t="n">
        <v>5.2</v>
      </c>
      <c r="H140" t="n">
        <v>0</v>
      </c>
      <c r="I140" t="n">
        <v>0</v>
      </c>
      <c r="J140" t="n">
        <v>0</v>
      </c>
      <c r="K140" t="n">
        <v>0</v>
      </c>
      <c r="L140" t="n">
        <v>0</v>
      </c>
      <c r="M140" t="n">
        <v>0</v>
      </c>
      <c r="N140" t="n">
        <v>0</v>
      </c>
      <c r="O140" t="n">
        <v>0</v>
      </c>
      <c r="P140" t="n">
        <v>0</v>
      </c>
      <c r="Q140" t="n">
        <v>0</v>
      </c>
      <c r="R140" s="2" t="inlineStr"/>
    </row>
    <row r="141" ht="15" customHeight="1">
      <c r="A141" t="inlineStr">
        <is>
          <t>A 6947-2024</t>
        </is>
      </c>
      <c r="B141" s="1" t="n">
        <v>45343</v>
      </c>
      <c r="C141" s="1" t="n">
        <v>46079</v>
      </c>
      <c r="D141" t="inlineStr">
        <is>
          <t>VÄSTRA GÖTALANDS LÄN</t>
        </is>
      </c>
      <c r="E141" t="inlineStr">
        <is>
          <t>ALE</t>
        </is>
      </c>
      <c r="G141" t="n">
        <v>3.7</v>
      </c>
      <c r="H141" t="n">
        <v>0</v>
      </c>
      <c r="I141" t="n">
        <v>0</v>
      </c>
      <c r="J141" t="n">
        <v>0</v>
      </c>
      <c r="K141" t="n">
        <v>0</v>
      </c>
      <c r="L141" t="n">
        <v>0</v>
      </c>
      <c r="M141" t="n">
        <v>0</v>
      </c>
      <c r="N141" t="n">
        <v>0</v>
      </c>
      <c r="O141" t="n">
        <v>0</v>
      </c>
      <c r="P141" t="n">
        <v>0</v>
      </c>
      <c r="Q141" t="n">
        <v>0</v>
      </c>
      <c r="R141" s="2" t="inlineStr"/>
    </row>
    <row r="142" ht="15" customHeight="1">
      <c r="A142" t="inlineStr">
        <is>
          <t>A 52391-2025</t>
        </is>
      </c>
      <c r="B142" s="1" t="n">
        <v>45954.34305555555</v>
      </c>
      <c r="C142" s="1" t="n">
        <v>46079</v>
      </c>
      <c r="D142" t="inlineStr">
        <is>
          <t>VÄSTRA GÖTALANDS LÄN</t>
        </is>
      </c>
      <c r="E142" t="inlineStr">
        <is>
          <t>ALE</t>
        </is>
      </c>
      <c r="G142" t="n">
        <v>10.6</v>
      </c>
      <c r="H142" t="n">
        <v>0</v>
      </c>
      <c r="I142" t="n">
        <v>0</v>
      </c>
      <c r="J142" t="n">
        <v>0</v>
      </c>
      <c r="K142" t="n">
        <v>0</v>
      </c>
      <c r="L142" t="n">
        <v>0</v>
      </c>
      <c r="M142" t="n">
        <v>0</v>
      </c>
      <c r="N142" t="n">
        <v>0</v>
      </c>
      <c r="O142" t="n">
        <v>0</v>
      </c>
      <c r="P142" t="n">
        <v>0</v>
      </c>
      <c r="Q142" t="n">
        <v>0</v>
      </c>
      <c r="R142" s="2" t="inlineStr"/>
    </row>
    <row r="143" ht="15" customHeight="1">
      <c r="A143" t="inlineStr">
        <is>
          <t>A 52423-2025</t>
        </is>
      </c>
      <c r="B143" s="1" t="n">
        <v>45954.37650462963</v>
      </c>
      <c r="C143" s="1" t="n">
        <v>46079</v>
      </c>
      <c r="D143" t="inlineStr">
        <is>
          <t>VÄSTRA GÖTALANDS LÄN</t>
        </is>
      </c>
      <c r="E143" t="inlineStr">
        <is>
          <t>ALE</t>
        </is>
      </c>
      <c r="G143" t="n">
        <v>4.1</v>
      </c>
      <c r="H143" t="n">
        <v>0</v>
      </c>
      <c r="I143" t="n">
        <v>0</v>
      </c>
      <c r="J143" t="n">
        <v>0</v>
      </c>
      <c r="K143" t="n">
        <v>0</v>
      </c>
      <c r="L143" t="n">
        <v>0</v>
      </c>
      <c r="M143" t="n">
        <v>0</v>
      </c>
      <c r="N143" t="n">
        <v>0</v>
      </c>
      <c r="O143" t="n">
        <v>0</v>
      </c>
      <c r="P143" t="n">
        <v>0</v>
      </c>
      <c r="Q143" t="n">
        <v>0</v>
      </c>
      <c r="R143" s="2" t="inlineStr"/>
    </row>
    <row r="144" ht="15" customHeight="1">
      <c r="A144" t="inlineStr">
        <is>
          <t>A 56905-2025</t>
        </is>
      </c>
      <c r="B144" s="1" t="n">
        <v>45978.57502314815</v>
      </c>
      <c r="C144" s="1" t="n">
        <v>46079</v>
      </c>
      <c r="D144" t="inlineStr">
        <is>
          <t>VÄSTRA GÖTALANDS LÄN</t>
        </is>
      </c>
      <c r="E144" t="inlineStr">
        <is>
          <t>ALE</t>
        </is>
      </c>
      <c r="G144" t="n">
        <v>5.2</v>
      </c>
      <c r="H144" t="n">
        <v>0</v>
      </c>
      <c r="I144" t="n">
        <v>0</v>
      </c>
      <c r="J144" t="n">
        <v>0</v>
      </c>
      <c r="K144" t="n">
        <v>0</v>
      </c>
      <c r="L144" t="n">
        <v>0</v>
      </c>
      <c r="M144" t="n">
        <v>0</v>
      </c>
      <c r="N144" t="n">
        <v>0</v>
      </c>
      <c r="O144" t="n">
        <v>0</v>
      </c>
      <c r="P144" t="n">
        <v>0</v>
      </c>
      <c r="Q144" t="n">
        <v>0</v>
      </c>
      <c r="R144" s="2" t="inlineStr"/>
    </row>
    <row r="145" ht="15" customHeight="1">
      <c r="A145" t="inlineStr">
        <is>
          <t>A 34153-2024</t>
        </is>
      </c>
      <c r="B145" s="1" t="n">
        <v>45524.38400462963</v>
      </c>
      <c r="C145" s="1" t="n">
        <v>46079</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58414-2025</t>
        </is>
      </c>
      <c r="B146" s="1" t="n">
        <v>45985.57778935185</v>
      </c>
      <c r="C146" s="1" t="n">
        <v>46079</v>
      </c>
      <c r="D146" t="inlineStr">
        <is>
          <t>VÄSTRA GÖTALANDS LÄN</t>
        </is>
      </c>
      <c r="E146" t="inlineStr">
        <is>
          <t>ALE</t>
        </is>
      </c>
      <c r="G146" t="n">
        <v>4.3</v>
      </c>
      <c r="H146" t="n">
        <v>0</v>
      </c>
      <c r="I146" t="n">
        <v>0</v>
      </c>
      <c r="J146" t="n">
        <v>0</v>
      </c>
      <c r="K146" t="n">
        <v>0</v>
      </c>
      <c r="L146" t="n">
        <v>0</v>
      </c>
      <c r="M146" t="n">
        <v>0</v>
      </c>
      <c r="N146" t="n">
        <v>0</v>
      </c>
      <c r="O146" t="n">
        <v>0</v>
      </c>
      <c r="P146" t="n">
        <v>0</v>
      </c>
      <c r="Q146" t="n">
        <v>0</v>
      </c>
      <c r="R146" s="2" t="inlineStr"/>
    </row>
    <row r="147" ht="15" customHeight="1">
      <c r="A147" t="inlineStr">
        <is>
          <t>A 41309-2024</t>
        </is>
      </c>
      <c r="B147" s="1" t="n">
        <v>45559</v>
      </c>
      <c r="C147" s="1" t="n">
        <v>46079</v>
      </c>
      <c r="D147" t="inlineStr">
        <is>
          <t>VÄSTRA GÖTALANDS LÄN</t>
        </is>
      </c>
      <c r="E147" t="inlineStr">
        <is>
          <t>ALE</t>
        </is>
      </c>
      <c r="G147" t="n">
        <v>8.4</v>
      </c>
      <c r="H147" t="n">
        <v>0</v>
      </c>
      <c r="I147" t="n">
        <v>0</v>
      </c>
      <c r="J147" t="n">
        <v>0</v>
      </c>
      <c r="K147" t="n">
        <v>0</v>
      </c>
      <c r="L147" t="n">
        <v>0</v>
      </c>
      <c r="M147" t="n">
        <v>0</v>
      </c>
      <c r="N147" t="n">
        <v>0</v>
      </c>
      <c r="O147" t="n">
        <v>0</v>
      </c>
      <c r="P147" t="n">
        <v>0</v>
      </c>
      <c r="Q147" t="n">
        <v>0</v>
      </c>
      <c r="R147" s="2" t="inlineStr"/>
    </row>
    <row r="148" ht="15" customHeight="1">
      <c r="A148" t="inlineStr">
        <is>
          <t>A 15499-2022</t>
        </is>
      </c>
      <c r="B148" s="1" t="n">
        <v>44662</v>
      </c>
      <c r="C148" s="1" t="n">
        <v>46079</v>
      </c>
      <c r="D148" t="inlineStr">
        <is>
          <t>VÄSTRA GÖTALANDS LÄN</t>
        </is>
      </c>
      <c r="E148" t="inlineStr">
        <is>
          <t>ALE</t>
        </is>
      </c>
      <c r="G148" t="n">
        <v>4.7</v>
      </c>
      <c r="H148" t="n">
        <v>0</v>
      </c>
      <c r="I148" t="n">
        <v>0</v>
      </c>
      <c r="J148" t="n">
        <v>0</v>
      </c>
      <c r="K148" t="n">
        <v>0</v>
      </c>
      <c r="L148" t="n">
        <v>0</v>
      </c>
      <c r="M148" t="n">
        <v>0</v>
      </c>
      <c r="N148" t="n">
        <v>0</v>
      </c>
      <c r="O148" t="n">
        <v>0</v>
      </c>
      <c r="P148" t="n">
        <v>0</v>
      </c>
      <c r="Q148" t="n">
        <v>0</v>
      </c>
      <c r="R148" s="2" t="inlineStr"/>
    </row>
    <row r="149" ht="15" customHeight="1">
      <c r="A149" t="inlineStr">
        <is>
          <t>A 31407-2025</t>
        </is>
      </c>
      <c r="B149" s="1" t="n">
        <v>45833</v>
      </c>
      <c r="C149" s="1" t="n">
        <v>46079</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59409-2025</t>
        </is>
      </c>
      <c r="B150" s="1" t="n">
        <v>45989.49545138889</v>
      </c>
      <c r="C150" s="1" t="n">
        <v>46079</v>
      </c>
      <c r="D150" t="inlineStr">
        <is>
          <t>VÄSTRA GÖTALANDS LÄN</t>
        </is>
      </c>
      <c r="E150" t="inlineStr">
        <is>
          <t>ALE</t>
        </is>
      </c>
      <c r="G150" t="n">
        <v>0.3</v>
      </c>
      <c r="H150" t="n">
        <v>0</v>
      </c>
      <c r="I150" t="n">
        <v>0</v>
      </c>
      <c r="J150" t="n">
        <v>0</v>
      </c>
      <c r="K150" t="n">
        <v>0</v>
      </c>
      <c r="L150" t="n">
        <v>0</v>
      </c>
      <c r="M150" t="n">
        <v>0</v>
      </c>
      <c r="N150" t="n">
        <v>0</v>
      </c>
      <c r="O150" t="n">
        <v>0</v>
      </c>
      <c r="P150" t="n">
        <v>0</v>
      </c>
      <c r="Q150" t="n">
        <v>0</v>
      </c>
      <c r="R150" s="2" t="inlineStr"/>
    </row>
    <row r="151" ht="15" customHeight="1">
      <c r="A151" t="inlineStr">
        <is>
          <t>A 60287-2025</t>
        </is>
      </c>
      <c r="B151" s="1" t="n">
        <v>45994.64711805555</v>
      </c>
      <c r="C151" s="1" t="n">
        <v>46079</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49955-2021</t>
        </is>
      </c>
      <c r="B152" s="1" t="n">
        <v>44456</v>
      </c>
      <c r="C152" s="1" t="n">
        <v>46079</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46079</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27314-2021</t>
        </is>
      </c>
      <c r="B154" s="1" t="n">
        <v>44351.36537037037</v>
      </c>
      <c r="C154" s="1" t="n">
        <v>46079</v>
      </c>
      <c r="D154" t="inlineStr">
        <is>
          <t>VÄSTRA GÖTALANDS LÄN</t>
        </is>
      </c>
      <c r="E154" t="inlineStr">
        <is>
          <t>ALE</t>
        </is>
      </c>
      <c r="G154" t="n">
        <v>11.3</v>
      </c>
      <c r="H154" t="n">
        <v>0</v>
      </c>
      <c r="I154" t="n">
        <v>0</v>
      </c>
      <c r="J154" t="n">
        <v>0</v>
      </c>
      <c r="K154" t="n">
        <v>0</v>
      </c>
      <c r="L154" t="n">
        <v>0</v>
      </c>
      <c r="M154" t="n">
        <v>0</v>
      </c>
      <c r="N154" t="n">
        <v>0</v>
      </c>
      <c r="O154" t="n">
        <v>0</v>
      </c>
      <c r="P154" t="n">
        <v>0</v>
      </c>
      <c r="Q154" t="n">
        <v>0</v>
      </c>
      <c r="R154" s="2" t="inlineStr"/>
    </row>
    <row r="155" ht="15" customHeight="1">
      <c r="A155" t="inlineStr">
        <is>
          <t>A 3261-2026</t>
        </is>
      </c>
      <c r="B155" s="1" t="n">
        <v>46041.5952662037</v>
      </c>
      <c r="C155" s="1" t="n">
        <v>46079</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46079</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46079</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61744-2025</t>
        </is>
      </c>
      <c r="B158" s="1" t="n">
        <v>46002.60298611111</v>
      </c>
      <c r="C158" s="1" t="n">
        <v>46079</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65226-2021</t>
        </is>
      </c>
      <c r="B159" s="1" t="n">
        <v>44515</v>
      </c>
      <c r="C159" s="1" t="n">
        <v>46079</v>
      </c>
      <c r="D159" t="inlineStr">
        <is>
          <t>VÄSTRA GÖTALANDS LÄN</t>
        </is>
      </c>
      <c r="E159" t="inlineStr">
        <is>
          <t>ALE</t>
        </is>
      </c>
      <c r="G159" t="n">
        <v>0.7</v>
      </c>
      <c r="H159" t="n">
        <v>0</v>
      </c>
      <c r="I159" t="n">
        <v>0</v>
      </c>
      <c r="J159" t="n">
        <v>0</v>
      </c>
      <c r="K159" t="n">
        <v>0</v>
      </c>
      <c r="L159" t="n">
        <v>0</v>
      </c>
      <c r="M159" t="n">
        <v>0</v>
      </c>
      <c r="N159" t="n">
        <v>0</v>
      </c>
      <c r="O159" t="n">
        <v>0</v>
      </c>
      <c r="P159" t="n">
        <v>0</v>
      </c>
      <c r="Q159" t="n">
        <v>0</v>
      </c>
      <c r="R159" s="2" t="inlineStr"/>
    </row>
    <row r="160" ht="15" customHeight="1">
      <c r="A160" t="inlineStr">
        <is>
          <t>A 12055-2022</t>
        </is>
      </c>
      <c r="B160" s="1" t="n">
        <v>44636</v>
      </c>
      <c r="C160" s="1" t="n">
        <v>46079</v>
      </c>
      <c r="D160" t="inlineStr">
        <is>
          <t>VÄSTRA GÖTALANDS LÄN</t>
        </is>
      </c>
      <c r="E160" t="inlineStr">
        <is>
          <t>ALE</t>
        </is>
      </c>
      <c r="G160" t="n">
        <v>0.2</v>
      </c>
      <c r="H160" t="n">
        <v>0</v>
      </c>
      <c r="I160" t="n">
        <v>0</v>
      </c>
      <c r="J160" t="n">
        <v>0</v>
      </c>
      <c r="K160" t="n">
        <v>0</v>
      </c>
      <c r="L160" t="n">
        <v>0</v>
      </c>
      <c r="M160" t="n">
        <v>0</v>
      </c>
      <c r="N160" t="n">
        <v>0</v>
      </c>
      <c r="O160" t="n">
        <v>0</v>
      </c>
      <c r="P160" t="n">
        <v>0</v>
      </c>
      <c r="Q160" t="n">
        <v>0</v>
      </c>
      <c r="R160" s="2" t="inlineStr"/>
    </row>
    <row r="161" ht="15" customHeight="1">
      <c r="A161" t="inlineStr">
        <is>
          <t>A 61771-2025</t>
        </is>
      </c>
      <c r="B161" s="1" t="n">
        <v>46002.6478587963</v>
      </c>
      <c r="C161" s="1" t="n">
        <v>46079</v>
      </c>
      <c r="D161" t="inlineStr">
        <is>
          <t>VÄSTRA GÖTALANDS LÄN</t>
        </is>
      </c>
      <c r="E161" t="inlineStr">
        <is>
          <t>ALE</t>
        </is>
      </c>
      <c r="G161" t="n">
        <v>3.9</v>
      </c>
      <c r="H161" t="n">
        <v>0</v>
      </c>
      <c r="I161" t="n">
        <v>0</v>
      </c>
      <c r="J161" t="n">
        <v>0</v>
      </c>
      <c r="K161" t="n">
        <v>0</v>
      </c>
      <c r="L161" t="n">
        <v>0</v>
      </c>
      <c r="M161" t="n">
        <v>0</v>
      </c>
      <c r="N161" t="n">
        <v>0</v>
      </c>
      <c r="O161" t="n">
        <v>0</v>
      </c>
      <c r="P161" t="n">
        <v>0</v>
      </c>
      <c r="Q161" t="n">
        <v>0</v>
      </c>
      <c r="R161" s="2" t="inlineStr"/>
    </row>
    <row r="162" ht="15" customHeight="1">
      <c r="A162" t="inlineStr">
        <is>
          <t>A 61819-2025</t>
        </is>
      </c>
      <c r="B162" s="1" t="n">
        <v>46003.3241087963</v>
      </c>
      <c r="C162" s="1" t="n">
        <v>46079</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62828-2025</t>
        </is>
      </c>
      <c r="B163" s="1" t="n">
        <v>46008.66553240741</v>
      </c>
      <c r="C163" s="1" t="n">
        <v>46079</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8956-2025</t>
        </is>
      </c>
      <c r="B164" s="1" t="n">
        <v>45713.46825231481</v>
      </c>
      <c r="C164" s="1" t="n">
        <v>46079</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6621-2026</t>
        </is>
      </c>
      <c r="B165" s="1" t="n">
        <v>46056.4970949074</v>
      </c>
      <c r="C165" s="1" t="n">
        <v>46079</v>
      </c>
      <c r="D165" t="inlineStr">
        <is>
          <t>VÄSTRA GÖTALANDS LÄN</t>
        </is>
      </c>
      <c r="E165" t="inlineStr">
        <is>
          <t>ALE</t>
        </is>
      </c>
      <c r="G165" t="n">
        <v>0.9</v>
      </c>
      <c r="H165" t="n">
        <v>0</v>
      </c>
      <c r="I165" t="n">
        <v>0</v>
      </c>
      <c r="J165" t="n">
        <v>0</v>
      </c>
      <c r="K165" t="n">
        <v>0</v>
      </c>
      <c r="L165" t="n">
        <v>0</v>
      </c>
      <c r="M165" t="n">
        <v>0</v>
      </c>
      <c r="N165" t="n">
        <v>0</v>
      </c>
      <c r="O165" t="n">
        <v>0</v>
      </c>
      <c r="P165" t="n">
        <v>0</v>
      </c>
      <c r="Q165" t="n">
        <v>0</v>
      </c>
      <c r="R165" s="2" t="inlineStr"/>
    </row>
    <row r="166" ht="15" customHeight="1">
      <c r="A166" t="inlineStr">
        <is>
          <t>A 8659-2025</t>
        </is>
      </c>
      <c r="B166" s="1" t="n">
        <v>45712</v>
      </c>
      <c r="C166" s="1" t="n">
        <v>46079</v>
      </c>
      <c r="D166" t="inlineStr">
        <is>
          <t>VÄSTRA GÖTALANDS LÄN</t>
        </is>
      </c>
      <c r="E166" t="inlineStr">
        <is>
          <t>ALE</t>
        </is>
      </c>
      <c r="G166" t="n">
        <v>5.7</v>
      </c>
      <c r="H166" t="n">
        <v>0</v>
      </c>
      <c r="I166" t="n">
        <v>0</v>
      </c>
      <c r="J166" t="n">
        <v>0</v>
      </c>
      <c r="K166" t="n">
        <v>0</v>
      </c>
      <c r="L166" t="n">
        <v>0</v>
      </c>
      <c r="M166" t="n">
        <v>0</v>
      </c>
      <c r="N166" t="n">
        <v>0</v>
      </c>
      <c r="O166" t="n">
        <v>0</v>
      </c>
      <c r="P166" t="n">
        <v>0</v>
      </c>
      <c r="Q166" t="n">
        <v>0</v>
      </c>
      <c r="R166" s="2" t="inlineStr"/>
    </row>
    <row r="167" ht="15" customHeight="1">
      <c r="A167" t="inlineStr">
        <is>
          <t>A 7296-2026</t>
        </is>
      </c>
      <c r="B167" s="1" t="n">
        <v>46058.64341435185</v>
      </c>
      <c r="C167" s="1" t="n">
        <v>46079</v>
      </c>
      <c r="D167" t="inlineStr">
        <is>
          <t>VÄSTRA GÖTALANDS LÄN</t>
        </is>
      </c>
      <c r="E167" t="inlineStr">
        <is>
          <t>ALE</t>
        </is>
      </c>
      <c r="G167" t="n">
        <v>7.2</v>
      </c>
      <c r="H167" t="n">
        <v>0</v>
      </c>
      <c r="I167" t="n">
        <v>0</v>
      </c>
      <c r="J167" t="n">
        <v>0</v>
      </c>
      <c r="K167" t="n">
        <v>0</v>
      </c>
      <c r="L167" t="n">
        <v>0</v>
      </c>
      <c r="M167" t="n">
        <v>0</v>
      </c>
      <c r="N167" t="n">
        <v>0</v>
      </c>
      <c r="O167" t="n">
        <v>0</v>
      </c>
      <c r="P167" t="n">
        <v>0</v>
      </c>
      <c r="Q167" t="n">
        <v>0</v>
      </c>
      <c r="R167" s="2" t="inlineStr"/>
    </row>
    <row r="168" ht="15" customHeight="1">
      <c r="A168" t="inlineStr">
        <is>
          <t>A 8111-2026</t>
        </is>
      </c>
      <c r="B168" s="1" t="n">
        <v>46062</v>
      </c>
      <c r="C168" s="1" t="n">
        <v>46079</v>
      </c>
      <c r="D168" t="inlineStr">
        <is>
          <t>VÄSTRA GÖTALANDS LÄN</t>
        </is>
      </c>
      <c r="E168" t="inlineStr">
        <is>
          <t>ALE</t>
        </is>
      </c>
      <c r="G168" t="n">
        <v>0.3</v>
      </c>
      <c r="H168" t="n">
        <v>0</v>
      </c>
      <c r="I168" t="n">
        <v>0</v>
      </c>
      <c r="J168" t="n">
        <v>0</v>
      </c>
      <c r="K168" t="n">
        <v>0</v>
      </c>
      <c r="L168" t="n">
        <v>0</v>
      </c>
      <c r="M168" t="n">
        <v>0</v>
      </c>
      <c r="N168" t="n">
        <v>0</v>
      </c>
      <c r="O168" t="n">
        <v>0</v>
      </c>
      <c r="P168" t="n">
        <v>0</v>
      </c>
      <c r="Q168" t="n">
        <v>0</v>
      </c>
      <c r="R168" s="2" t="inlineStr"/>
    </row>
    <row r="169" ht="15" customHeight="1">
      <c r="A169" t="inlineStr">
        <is>
          <t>A 8110-2026</t>
        </is>
      </c>
      <c r="B169" s="1" t="n">
        <v>46062</v>
      </c>
      <c r="C169" s="1" t="n">
        <v>46079</v>
      </c>
      <c r="D169" t="inlineStr">
        <is>
          <t>VÄSTRA GÖTALANDS LÄN</t>
        </is>
      </c>
      <c r="E169" t="inlineStr">
        <is>
          <t>ALE</t>
        </is>
      </c>
      <c r="G169" t="n">
        <v>0.7</v>
      </c>
      <c r="H169" t="n">
        <v>0</v>
      </c>
      <c r="I169" t="n">
        <v>0</v>
      </c>
      <c r="J169" t="n">
        <v>0</v>
      </c>
      <c r="K169" t="n">
        <v>0</v>
      </c>
      <c r="L169" t="n">
        <v>0</v>
      </c>
      <c r="M169" t="n">
        <v>0</v>
      </c>
      <c r="N169" t="n">
        <v>0</v>
      </c>
      <c r="O169" t="n">
        <v>0</v>
      </c>
      <c r="P169" t="n">
        <v>0</v>
      </c>
      <c r="Q169" t="n">
        <v>0</v>
      </c>
      <c r="R169" s="2" t="inlineStr"/>
    </row>
    <row r="170" ht="15" customHeight="1">
      <c r="A170" t="inlineStr">
        <is>
          <t>A 8112-2026</t>
        </is>
      </c>
      <c r="B170" s="1" t="n">
        <v>46062</v>
      </c>
      <c r="C170" s="1" t="n">
        <v>46079</v>
      </c>
      <c r="D170" t="inlineStr">
        <is>
          <t>VÄSTRA GÖTALANDS LÄN</t>
        </is>
      </c>
      <c r="E170" t="inlineStr">
        <is>
          <t>ALE</t>
        </is>
      </c>
      <c r="G170" t="n">
        <v>0.4</v>
      </c>
      <c r="H170" t="n">
        <v>0</v>
      </c>
      <c r="I170" t="n">
        <v>0</v>
      </c>
      <c r="J170" t="n">
        <v>0</v>
      </c>
      <c r="K170" t="n">
        <v>0</v>
      </c>
      <c r="L170" t="n">
        <v>0</v>
      </c>
      <c r="M170" t="n">
        <v>0</v>
      </c>
      <c r="N170" t="n">
        <v>0</v>
      </c>
      <c r="O170" t="n">
        <v>0</v>
      </c>
      <c r="P170" t="n">
        <v>0</v>
      </c>
      <c r="Q170" t="n">
        <v>0</v>
      </c>
      <c r="R170" s="2" t="inlineStr"/>
    </row>
    <row r="171" ht="15" customHeight="1">
      <c r="A171" t="inlineStr">
        <is>
          <t>A 9783-2026</t>
        </is>
      </c>
      <c r="B171" s="1" t="n">
        <v>46072.58835648148</v>
      </c>
      <c r="C171" s="1" t="n">
        <v>46079</v>
      </c>
      <c r="D171" t="inlineStr">
        <is>
          <t>VÄSTRA GÖTALANDS LÄN</t>
        </is>
      </c>
      <c r="E171" t="inlineStr">
        <is>
          <t>ALE</t>
        </is>
      </c>
      <c r="G171" t="n">
        <v>4.9</v>
      </c>
      <c r="H171" t="n">
        <v>0</v>
      </c>
      <c r="I171" t="n">
        <v>0</v>
      </c>
      <c r="J171" t="n">
        <v>0</v>
      </c>
      <c r="K171" t="n">
        <v>0</v>
      </c>
      <c r="L171" t="n">
        <v>0</v>
      </c>
      <c r="M171" t="n">
        <v>0</v>
      </c>
      <c r="N171" t="n">
        <v>0</v>
      </c>
      <c r="O171" t="n">
        <v>0</v>
      </c>
      <c r="P171" t="n">
        <v>0</v>
      </c>
      <c r="Q171" t="n">
        <v>0</v>
      </c>
      <c r="R171" s="2" t="inlineStr"/>
    </row>
    <row r="172" ht="15" customHeight="1">
      <c r="A172" t="inlineStr">
        <is>
          <t>A 1291-2026</t>
        </is>
      </c>
      <c r="B172" s="1" t="n">
        <v>46031.50569444444</v>
      </c>
      <c r="C172" s="1" t="n">
        <v>46079</v>
      </c>
      <c r="D172" t="inlineStr">
        <is>
          <t>VÄSTRA GÖTALANDS LÄN</t>
        </is>
      </c>
      <c r="E172" t="inlineStr">
        <is>
          <t>ALE</t>
        </is>
      </c>
      <c r="G172" t="n">
        <v>0.9</v>
      </c>
      <c r="H172" t="n">
        <v>0</v>
      </c>
      <c r="I172" t="n">
        <v>0</v>
      </c>
      <c r="J172" t="n">
        <v>0</v>
      </c>
      <c r="K172" t="n">
        <v>0</v>
      </c>
      <c r="L172" t="n">
        <v>0</v>
      </c>
      <c r="M172" t="n">
        <v>0</v>
      </c>
      <c r="N172" t="n">
        <v>0</v>
      </c>
      <c r="O172" t="n">
        <v>0</v>
      </c>
      <c r="P172" t="n">
        <v>0</v>
      </c>
      <c r="Q172" t="n">
        <v>0</v>
      </c>
      <c r="R172" s="2" t="inlineStr"/>
    </row>
    <row r="173" ht="15" customHeight="1">
      <c r="A173" t="inlineStr">
        <is>
          <t>A 10459-2026</t>
        </is>
      </c>
      <c r="B173" s="1" t="n">
        <v>46077.45564814815</v>
      </c>
      <c r="C173" s="1" t="n">
        <v>46079</v>
      </c>
      <c r="D173" t="inlineStr">
        <is>
          <t>VÄSTRA GÖTALANDS LÄN</t>
        </is>
      </c>
      <c r="E173" t="inlineStr">
        <is>
          <t>ALE</t>
        </is>
      </c>
      <c r="G173" t="n">
        <v>3.8</v>
      </c>
      <c r="H173" t="n">
        <v>0</v>
      </c>
      <c r="I173" t="n">
        <v>0</v>
      </c>
      <c r="J173" t="n">
        <v>0</v>
      </c>
      <c r="K173" t="n">
        <v>0</v>
      </c>
      <c r="L173" t="n">
        <v>0</v>
      </c>
      <c r="M173" t="n">
        <v>0</v>
      </c>
      <c r="N173" t="n">
        <v>0</v>
      </c>
      <c r="O173" t="n">
        <v>0</v>
      </c>
      <c r="P173" t="n">
        <v>0</v>
      </c>
      <c r="Q173" t="n">
        <v>0</v>
      </c>
      <c r="R173" s="2" t="inlineStr"/>
    </row>
    <row r="174">
      <c r="A174" t="inlineStr">
        <is>
          <t>A 2414-2026</t>
        </is>
      </c>
      <c r="B174" s="1" t="n">
        <v>46036.74319444445</v>
      </c>
      <c r="C174" s="1" t="n">
        <v>46079</v>
      </c>
      <c r="D174" t="inlineStr">
        <is>
          <t>VÄSTRA GÖTALANDS LÄN</t>
        </is>
      </c>
      <c r="E174" t="inlineStr">
        <is>
          <t>ALE</t>
        </is>
      </c>
      <c r="G174" t="n">
        <v>3.3</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2026-02-26T11:18:11Z</dcterms:created>
  <dcterms:modified xmlns:dcterms="http://purl.org/dc/terms/" xmlns:xsi="http://www.w3.org/2001/XMLSchema-instance" xsi:type="dcterms:W3CDTF">2026-02-26T11:18:11Z</dcterms:modified>
</cp:coreProperties>
</file>