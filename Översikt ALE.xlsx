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45888</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45888</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45888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45888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45888</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45888</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45888</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45888</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45888</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45888</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45888</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45888</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45888</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20586-2023</t>
        </is>
      </c>
      <c r="B18" s="1" t="n">
        <v>45057</v>
      </c>
      <c r="C18" s="1" t="n">
        <v>45888</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20586-2023 artfynd.xlsx", "A 20586-2023")</f>
        <v/>
      </c>
      <c r="T18">
        <f>HYPERLINK("https://klasma.github.io/Logging_1440/kartor/A 20586-2023 karta.png", "A 20586-2023")</f>
        <v/>
      </c>
      <c r="V18">
        <f>HYPERLINK("https://klasma.github.io/Logging_1440/klagomål/A 20586-2023 FSC-klagomål.docx", "A 20586-2023")</f>
        <v/>
      </c>
      <c r="W18">
        <f>HYPERLINK("https://klasma.github.io/Logging_1440/klagomålsmail/A 20586-2023 FSC-klagomål mail.docx", "A 20586-2023")</f>
        <v/>
      </c>
      <c r="X18">
        <f>HYPERLINK("https://klasma.github.io/Logging_1440/tillsyn/A 20586-2023 tillsynsbegäran.docx", "A 20586-2023")</f>
        <v/>
      </c>
      <c r="Y18">
        <f>HYPERLINK("https://klasma.github.io/Logging_1440/tillsynsmail/A 20586-2023 tillsynsbegäran mail.docx", "A 20586-2023")</f>
        <v/>
      </c>
      <c r="Z18">
        <f>HYPERLINK("https://klasma.github.io/Logging_1440/fåglar/A 20586-2023 prioriterade fågelarter.docx", "A 20586-2023")</f>
        <v/>
      </c>
    </row>
    <row r="19" ht="15" customHeight="1">
      <c r="A19" t="inlineStr">
        <is>
          <t>A 380-2025</t>
        </is>
      </c>
      <c r="B19" s="1" t="n">
        <v>45662.43456018518</v>
      </c>
      <c r="C19" s="1" t="n">
        <v>45888</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8955-2025</t>
        </is>
      </c>
      <c r="B20" s="1" t="n">
        <v>45713.46528935185</v>
      </c>
      <c r="C20" s="1" t="n">
        <v>45888</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16534-2025</t>
        </is>
      </c>
      <c r="B21" s="1" t="n">
        <v>45751.65315972222</v>
      </c>
      <c r="C21" s="1" t="n">
        <v>45888</v>
      </c>
      <c r="D21" t="inlineStr">
        <is>
          <t>VÄSTRA GÖTALANDS LÄN</t>
        </is>
      </c>
      <c r="E21" t="inlineStr">
        <is>
          <t>ALE</t>
        </is>
      </c>
      <c r="G21" t="n">
        <v>1.5</v>
      </c>
      <c r="H21" t="n">
        <v>1</v>
      </c>
      <c r="I21" t="n">
        <v>1</v>
      </c>
      <c r="J21" t="n">
        <v>1</v>
      </c>
      <c r="K21" t="n">
        <v>0</v>
      </c>
      <c r="L21" t="n">
        <v>0</v>
      </c>
      <c r="M21" t="n">
        <v>0</v>
      </c>
      <c r="N21" t="n">
        <v>0</v>
      </c>
      <c r="O21" t="n">
        <v>1</v>
      </c>
      <c r="P21" t="n">
        <v>0</v>
      </c>
      <c r="Q21" t="n">
        <v>2</v>
      </c>
      <c r="R21" s="2" t="inlineStr">
        <is>
          <t>Entita
Västlig hakmossa</t>
        </is>
      </c>
      <c r="S21">
        <f>HYPERLINK("https://klasma.github.io/Logging_1440/artfynd/A 16534-2025 artfynd.xlsx", "A 16534-2025")</f>
        <v/>
      </c>
      <c r="T21">
        <f>HYPERLINK("https://klasma.github.io/Logging_1440/kartor/A 16534-2025 karta.png", "A 16534-2025")</f>
        <v/>
      </c>
      <c r="V21">
        <f>HYPERLINK("https://klasma.github.io/Logging_1440/klagomål/A 16534-2025 FSC-klagomål.docx", "A 16534-2025")</f>
        <v/>
      </c>
      <c r="W21">
        <f>HYPERLINK("https://klasma.github.io/Logging_1440/klagomålsmail/A 16534-2025 FSC-klagomål mail.docx", "A 16534-2025")</f>
        <v/>
      </c>
      <c r="X21">
        <f>HYPERLINK("https://klasma.github.io/Logging_1440/tillsyn/A 16534-2025 tillsynsbegäran.docx", "A 16534-2025")</f>
        <v/>
      </c>
      <c r="Y21">
        <f>HYPERLINK("https://klasma.github.io/Logging_1440/tillsynsmail/A 16534-2025 tillsynsbegäran mail.docx", "A 16534-2025")</f>
        <v/>
      </c>
      <c r="Z21">
        <f>HYPERLINK("https://klasma.github.io/Logging_1440/fåglar/A 16534-2025 prioriterade fågelarter.docx", "A 16534-2025")</f>
        <v/>
      </c>
    </row>
    <row r="22" ht="15" customHeight="1">
      <c r="A22" t="inlineStr">
        <is>
          <t>A 63569-2023</t>
        </is>
      </c>
      <c r="B22" s="1" t="n">
        <v>45275</v>
      </c>
      <c r="C22" s="1" t="n">
        <v>45888</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1503-2024</t>
        </is>
      </c>
      <c r="B23" s="1" t="n">
        <v>45306.35041666667</v>
      </c>
      <c r="C23" s="1" t="n">
        <v>45888</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45673.54403935185</v>
      </c>
      <c r="C24" s="1" t="n">
        <v>45888</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45735.6765162037</v>
      </c>
      <c r="C25" s="1" t="n">
        <v>45888</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58954-2022</t>
        </is>
      </c>
      <c r="B26" s="1" t="n">
        <v>44903</v>
      </c>
      <c r="C26" s="1" t="n">
        <v>45888</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12084-2025</t>
        </is>
      </c>
      <c r="B27" s="1" t="n">
        <v>45728.95387731482</v>
      </c>
      <c r="C27" s="1" t="n">
        <v>45888</v>
      </c>
      <c r="D27" t="inlineStr">
        <is>
          <t>VÄSTRA GÖTALANDS LÄN</t>
        </is>
      </c>
      <c r="E27" t="inlineStr">
        <is>
          <t>ALE</t>
        </is>
      </c>
      <c r="G27" t="n">
        <v>2.4</v>
      </c>
      <c r="H27" t="n">
        <v>1</v>
      </c>
      <c r="I27" t="n">
        <v>0</v>
      </c>
      <c r="J27" t="n">
        <v>1</v>
      </c>
      <c r="K27" t="n">
        <v>0</v>
      </c>
      <c r="L27" t="n">
        <v>0</v>
      </c>
      <c r="M27" t="n">
        <v>0</v>
      </c>
      <c r="N27" t="n">
        <v>0</v>
      </c>
      <c r="O27" t="n">
        <v>1</v>
      </c>
      <c r="P27" t="n">
        <v>0</v>
      </c>
      <c r="Q27" t="n">
        <v>1</v>
      </c>
      <c r="R27" s="2" t="inlineStr">
        <is>
          <t>Spillkråka</t>
        </is>
      </c>
      <c r="S27">
        <f>HYPERLINK("https://klasma.github.io/Logging_1440/artfynd/A 12084-2025 artfynd.xlsx", "A 12084-2025")</f>
        <v/>
      </c>
      <c r="T27">
        <f>HYPERLINK("https://klasma.github.io/Logging_1440/kartor/A 12084-2025 karta.png", "A 12084-2025")</f>
        <v/>
      </c>
      <c r="V27">
        <f>HYPERLINK("https://klasma.github.io/Logging_1440/klagomål/A 12084-2025 FSC-klagomål.docx", "A 12084-2025")</f>
        <v/>
      </c>
      <c r="W27">
        <f>HYPERLINK("https://klasma.github.io/Logging_1440/klagomålsmail/A 12084-2025 FSC-klagomål mail.docx", "A 12084-2025")</f>
        <v/>
      </c>
      <c r="X27">
        <f>HYPERLINK("https://klasma.github.io/Logging_1440/tillsyn/A 12084-2025 tillsynsbegäran.docx", "A 12084-2025")</f>
        <v/>
      </c>
      <c r="Y27">
        <f>HYPERLINK("https://klasma.github.io/Logging_1440/tillsynsmail/A 12084-2025 tillsynsbegäran mail.docx", "A 12084-2025")</f>
        <v/>
      </c>
      <c r="Z27">
        <f>HYPERLINK("https://klasma.github.io/Logging_1440/fåglar/A 12084-2025 prioriterade fågelarter.docx", "A 12084-2025")</f>
        <v/>
      </c>
    </row>
    <row r="28" ht="15" customHeight="1">
      <c r="A28" t="inlineStr">
        <is>
          <t>A 26493-2024</t>
        </is>
      </c>
      <c r="B28" s="1" t="n">
        <v>45469</v>
      </c>
      <c r="C28" s="1" t="n">
        <v>45888</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45888</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45888</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45888</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45888</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45888</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45888</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45888</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45888</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45888</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45888</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45888</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45888</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45888</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45888</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45888</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45888</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45888</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45888</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45888</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45888</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45888</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45888</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45888</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45888</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45888</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45888</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22138-2021</t>
        </is>
      </c>
      <c r="B55" s="1" t="n">
        <v>44324.67472222223</v>
      </c>
      <c r="C55" s="1" t="n">
        <v>45888</v>
      </c>
      <c r="D55" t="inlineStr">
        <is>
          <t>VÄSTRA GÖTALANDS LÄN</t>
        </is>
      </c>
      <c r="E55" t="inlineStr">
        <is>
          <t>ALE</t>
        </is>
      </c>
      <c r="G55" t="n">
        <v>0.6</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45888</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45888</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44429-2023</t>
        </is>
      </c>
      <c r="B58" s="1" t="n">
        <v>45189.35101851852</v>
      </c>
      <c r="C58" s="1" t="n">
        <v>45888</v>
      </c>
      <c r="D58" t="inlineStr">
        <is>
          <t>VÄSTRA GÖTALANDS LÄN</t>
        </is>
      </c>
      <c r="E58" t="inlineStr">
        <is>
          <t>ALE</t>
        </is>
      </c>
      <c r="G58" t="n">
        <v>0.1</v>
      </c>
      <c r="H58" t="n">
        <v>0</v>
      </c>
      <c r="I58" t="n">
        <v>0</v>
      </c>
      <c r="J58" t="n">
        <v>0</v>
      </c>
      <c r="K58" t="n">
        <v>0</v>
      </c>
      <c r="L58" t="n">
        <v>0</v>
      </c>
      <c r="M58" t="n">
        <v>0</v>
      </c>
      <c r="N58" t="n">
        <v>0</v>
      </c>
      <c r="O58" t="n">
        <v>0</v>
      </c>
      <c r="P58" t="n">
        <v>0</v>
      </c>
      <c r="Q58" t="n">
        <v>0</v>
      </c>
      <c r="R58" s="2" t="inlineStr"/>
    </row>
    <row r="59" ht="15" customHeight="1">
      <c r="A59" t="inlineStr">
        <is>
          <t>A 12445-2022</t>
        </is>
      </c>
      <c r="B59" s="1" t="n">
        <v>44638</v>
      </c>
      <c r="C59" s="1" t="n">
        <v>45888</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41598-2022</t>
        </is>
      </c>
      <c r="B60" s="1" t="n">
        <v>44827.4609837963</v>
      </c>
      <c r="C60" s="1" t="n">
        <v>45888</v>
      </c>
      <c r="D60" t="inlineStr">
        <is>
          <t>VÄSTRA GÖTALANDS LÄN</t>
        </is>
      </c>
      <c r="E60" t="inlineStr">
        <is>
          <t>ALE</t>
        </is>
      </c>
      <c r="G60" t="n">
        <v>2</v>
      </c>
      <c r="H60" t="n">
        <v>0</v>
      </c>
      <c r="I60" t="n">
        <v>0</v>
      </c>
      <c r="J60" t="n">
        <v>0</v>
      </c>
      <c r="K60" t="n">
        <v>0</v>
      </c>
      <c r="L60" t="n">
        <v>0</v>
      </c>
      <c r="M60" t="n">
        <v>0</v>
      </c>
      <c r="N60" t="n">
        <v>0</v>
      </c>
      <c r="O60" t="n">
        <v>0</v>
      </c>
      <c r="P60" t="n">
        <v>0</v>
      </c>
      <c r="Q60" t="n">
        <v>0</v>
      </c>
      <c r="R60" s="2" t="inlineStr"/>
    </row>
    <row r="61" ht="15" customHeight="1">
      <c r="A61" t="inlineStr">
        <is>
          <t>A 4642-2024</t>
        </is>
      </c>
      <c r="B61" s="1" t="n">
        <v>45328.43502314815</v>
      </c>
      <c r="C61" s="1" t="n">
        <v>45888</v>
      </c>
      <c r="D61" t="inlineStr">
        <is>
          <t>VÄSTRA GÖTALANDS LÄN</t>
        </is>
      </c>
      <c r="E61" t="inlineStr">
        <is>
          <t>ALE</t>
        </is>
      </c>
      <c r="G61" t="n">
        <v>7.1</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45888</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16601-2025</t>
        </is>
      </c>
      <c r="B63" s="1" t="n">
        <v>45753.53189814815</v>
      </c>
      <c r="C63" s="1" t="n">
        <v>45888</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60233-2024</t>
        </is>
      </c>
      <c r="B64" s="1" t="n">
        <v>45642.74851851852</v>
      </c>
      <c r="C64" s="1" t="n">
        <v>45888</v>
      </c>
      <c r="D64" t="inlineStr">
        <is>
          <t>VÄSTRA GÖTALANDS LÄN</t>
        </is>
      </c>
      <c r="E64" t="inlineStr">
        <is>
          <t>ALE</t>
        </is>
      </c>
      <c r="G64" t="n">
        <v>0.8</v>
      </c>
      <c r="H64" t="n">
        <v>0</v>
      </c>
      <c r="I64" t="n">
        <v>0</v>
      </c>
      <c r="J64" t="n">
        <v>0</v>
      </c>
      <c r="K64" t="n">
        <v>0</v>
      </c>
      <c r="L64" t="n">
        <v>0</v>
      </c>
      <c r="M64" t="n">
        <v>0</v>
      </c>
      <c r="N64" t="n">
        <v>0</v>
      </c>
      <c r="O64" t="n">
        <v>0</v>
      </c>
      <c r="P64" t="n">
        <v>0</v>
      </c>
      <c r="Q64" t="n">
        <v>0</v>
      </c>
      <c r="R64" s="2" t="inlineStr"/>
    </row>
    <row r="65" ht="15" customHeight="1">
      <c r="A65" t="inlineStr">
        <is>
          <t>A 36403-2024</t>
        </is>
      </c>
      <c r="B65" s="1" t="n">
        <v>45535.69445601852</v>
      </c>
      <c r="C65" s="1" t="n">
        <v>45888</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45888</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200-2022</t>
        </is>
      </c>
      <c r="B67" s="1" t="n">
        <v>44564</v>
      </c>
      <c r="C67" s="1" t="n">
        <v>45888</v>
      </c>
      <c r="D67" t="inlineStr">
        <is>
          <t>VÄSTRA GÖTALANDS LÄN</t>
        </is>
      </c>
      <c r="E67" t="inlineStr">
        <is>
          <t>ALE</t>
        </is>
      </c>
      <c r="G67" t="n">
        <v>6.8</v>
      </c>
      <c r="H67" t="n">
        <v>0</v>
      </c>
      <c r="I67" t="n">
        <v>0</v>
      </c>
      <c r="J67" t="n">
        <v>0</v>
      </c>
      <c r="K67" t="n">
        <v>0</v>
      </c>
      <c r="L67" t="n">
        <v>0</v>
      </c>
      <c r="M67" t="n">
        <v>0</v>
      </c>
      <c r="N67" t="n">
        <v>0</v>
      </c>
      <c r="O67" t="n">
        <v>0</v>
      </c>
      <c r="P67" t="n">
        <v>0</v>
      </c>
      <c r="Q67" t="n">
        <v>0</v>
      </c>
      <c r="R67" s="2" t="inlineStr"/>
    </row>
    <row r="68" ht="15" customHeight="1">
      <c r="A68" t="inlineStr">
        <is>
          <t>A 15582-2025</t>
        </is>
      </c>
      <c r="B68" s="1" t="n">
        <v>45747.81394675926</v>
      </c>
      <c r="C68" s="1" t="n">
        <v>45888</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7892-2024</t>
        </is>
      </c>
      <c r="B69" s="1" t="n">
        <v>45350.40921296296</v>
      </c>
      <c r="C69" s="1" t="n">
        <v>45888</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1822-2024</t>
        </is>
      </c>
      <c r="B70" s="1" t="n">
        <v>45307.6205787037</v>
      </c>
      <c r="C70" s="1" t="n">
        <v>45888</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6947-2024</t>
        </is>
      </c>
      <c r="B71" s="1" t="n">
        <v>45343</v>
      </c>
      <c r="C71" s="1" t="n">
        <v>45888</v>
      </c>
      <c r="D71" t="inlineStr">
        <is>
          <t>VÄSTRA GÖTALANDS LÄN</t>
        </is>
      </c>
      <c r="E71" t="inlineStr">
        <is>
          <t>ALE</t>
        </is>
      </c>
      <c r="G71" t="n">
        <v>3.7</v>
      </c>
      <c r="H71" t="n">
        <v>0</v>
      </c>
      <c r="I71" t="n">
        <v>0</v>
      </c>
      <c r="J71" t="n">
        <v>0</v>
      </c>
      <c r="K71" t="n">
        <v>0</v>
      </c>
      <c r="L71" t="n">
        <v>0</v>
      </c>
      <c r="M71" t="n">
        <v>0</v>
      </c>
      <c r="N71" t="n">
        <v>0</v>
      </c>
      <c r="O71" t="n">
        <v>0</v>
      </c>
      <c r="P71" t="n">
        <v>0</v>
      </c>
      <c r="Q71" t="n">
        <v>0</v>
      </c>
      <c r="R71" s="2" t="inlineStr"/>
    </row>
    <row r="72" ht="15" customHeight="1">
      <c r="A72" t="inlineStr">
        <is>
          <t>A 4444-2024</t>
        </is>
      </c>
      <c r="B72" s="1" t="n">
        <v>45327</v>
      </c>
      <c r="C72" s="1" t="n">
        <v>45888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34104-2024</t>
        </is>
      </c>
      <c r="B73" s="1" t="n">
        <v>45523.79202546296</v>
      </c>
      <c r="C73" s="1" t="n">
        <v>45888</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3418-2023</t>
        </is>
      </c>
      <c r="B74" s="1" t="n">
        <v>44949.56182870371</v>
      </c>
      <c r="C74" s="1" t="n">
        <v>45888</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5916-2023</t>
        </is>
      </c>
      <c r="B75" s="1" t="n">
        <v>44963</v>
      </c>
      <c r="C75" s="1" t="n">
        <v>45888</v>
      </c>
      <c r="D75" t="inlineStr">
        <is>
          <t>VÄSTRA GÖTALANDS LÄN</t>
        </is>
      </c>
      <c r="E75" t="inlineStr">
        <is>
          <t>ALE</t>
        </is>
      </c>
      <c r="G75" t="n">
        <v>4.2</v>
      </c>
      <c r="H75" t="n">
        <v>0</v>
      </c>
      <c r="I75" t="n">
        <v>0</v>
      </c>
      <c r="J75" t="n">
        <v>0</v>
      </c>
      <c r="K75" t="n">
        <v>0</v>
      </c>
      <c r="L75" t="n">
        <v>0</v>
      </c>
      <c r="M75" t="n">
        <v>0</v>
      </c>
      <c r="N75" t="n">
        <v>0</v>
      </c>
      <c r="O75" t="n">
        <v>0</v>
      </c>
      <c r="P75" t="n">
        <v>0</v>
      </c>
      <c r="Q75" t="n">
        <v>0</v>
      </c>
      <c r="R75" s="2" t="inlineStr"/>
    </row>
    <row r="76" ht="15" customHeight="1">
      <c r="A76" t="inlineStr">
        <is>
          <t>A 57473-2022</t>
        </is>
      </c>
      <c r="B76" s="1" t="n">
        <v>44896</v>
      </c>
      <c r="C76" s="1" t="n">
        <v>45888</v>
      </c>
      <c r="D76" t="inlineStr">
        <is>
          <t>VÄSTRA GÖTALANDS LÄN</t>
        </is>
      </c>
      <c r="E76" t="inlineStr">
        <is>
          <t>ALE</t>
        </is>
      </c>
      <c r="G76" t="n">
        <v>0.7</v>
      </c>
      <c r="H76" t="n">
        <v>0</v>
      </c>
      <c r="I76" t="n">
        <v>0</v>
      </c>
      <c r="J76" t="n">
        <v>0</v>
      </c>
      <c r="K76" t="n">
        <v>0</v>
      </c>
      <c r="L76" t="n">
        <v>0</v>
      </c>
      <c r="M76" t="n">
        <v>0</v>
      </c>
      <c r="N76" t="n">
        <v>0</v>
      </c>
      <c r="O76" t="n">
        <v>0</v>
      </c>
      <c r="P76" t="n">
        <v>0</v>
      </c>
      <c r="Q76" t="n">
        <v>0</v>
      </c>
      <c r="R76" s="2" t="inlineStr"/>
    </row>
    <row r="77" ht="15" customHeight="1">
      <c r="A77" t="inlineStr">
        <is>
          <t>A 72801-2021</t>
        </is>
      </c>
      <c r="B77" s="1" t="n">
        <v>44546</v>
      </c>
      <c r="C77" s="1" t="n">
        <v>45888</v>
      </c>
      <c r="D77" t="inlineStr">
        <is>
          <t>VÄSTRA GÖTALANDS LÄN</t>
        </is>
      </c>
      <c r="E77" t="inlineStr">
        <is>
          <t>ALE</t>
        </is>
      </c>
      <c r="F77" t="inlineStr">
        <is>
          <t>Naturvårdsverket</t>
        </is>
      </c>
      <c r="G77" t="n">
        <v>1.4</v>
      </c>
      <c r="H77" t="n">
        <v>0</v>
      </c>
      <c r="I77" t="n">
        <v>0</v>
      </c>
      <c r="J77" t="n">
        <v>0</v>
      </c>
      <c r="K77" t="n">
        <v>0</v>
      </c>
      <c r="L77" t="n">
        <v>0</v>
      </c>
      <c r="M77" t="n">
        <v>0</v>
      </c>
      <c r="N77" t="n">
        <v>0</v>
      </c>
      <c r="O77" t="n">
        <v>0</v>
      </c>
      <c r="P77" t="n">
        <v>0</v>
      </c>
      <c r="Q77" t="n">
        <v>0</v>
      </c>
      <c r="R77" s="2" t="inlineStr"/>
    </row>
    <row r="78" ht="15" customHeight="1">
      <c r="A78" t="inlineStr">
        <is>
          <t>A 3457-2022</t>
        </is>
      </c>
      <c r="B78" s="1" t="n">
        <v>44585</v>
      </c>
      <c r="C78" s="1" t="n">
        <v>45888</v>
      </c>
      <c r="D78" t="inlineStr">
        <is>
          <t>VÄSTRA GÖTALANDS LÄN</t>
        </is>
      </c>
      <c r="E78" t="inlineStr">
        <is>
          <t>ALE</t>
        </is>
      </c>
      <c r="G78" t="n">
        <v>5.1</v>
      </c>
      <c r="H78" t="n">
        <v>0</v>
      </c>
      <c r="I78" t="n">
        <v>0</v>
      </c>
      <c r="J78" t="n">
        <v>0</v>
      </c>
      <c r="K78" t="n">
        <v>0</v>
      </c>
      <c r="L78" t="n">
        <v>0</v>
      </c>
      <c r="M78" t="n">
        <v>0</v>
      </c>
      <c r="N78" t="n">
        <v>0</v>
      </c>
      <c r="O78" t="n">
        <v>0</v>
      </c>
      <c r="P78" t="n">
        <v>0</v>
      </c>
      <c r="Q78" t="n">
        <v>0</v>
      </c>
      <c r="R78" s="2" t="inlineStr"/>
    </row>
    <row r="79" ht="15" customHeight="1">
      <c r="A79" t="inlineStr">
        <is>
          <t>A 8956-2025</t>
        </is>
      </c>
      <c r="B79" s="1" t="n">
        <v>45713.46825231481</v>
      </c>
      <c r="C79" s="1" t="n">
        <v>45888</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26083-2023</t>
        </is>
      </c>
      <c r="B80" s="1" t="n">
        <v>45091</v>
      </c>
      <c r="C80" s="1" t="n">
        <v>45888</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50451-2024</t>
        </is>
      </c>
      <c r="B81" s="1" t="n">
        <v>45601.44248842593</v>
      </c>
      <c r="C81" s="1" t="n">
        <v>45888</v>
      </c>
      <c r="D81" t="inlineStr">
        <is>
          <t>VÄSTRA GÖTALANDS LÄN</t>
        </is>
      </c>
      <c r="E81" t="inlineStr">
        <is>
          <t>ALE</t>
        </is>
      </c>
      <c r="G81" t="n">
        <v>2.9</v>
      </c>
      <c r="H81" t="n">
        <v>0</v>
      </c>
      <c r="I81" t="n">
        <v>0</v>
      </c>
      <c r="J81" t="n">
        <v>0</v>
      </c>
      <c r="K81" t="n">
        <v>0</v>
      </c>
      <c r="L81" t="n">
        <v>0</v>
      </c>
      <c r="M81" t="n">
        <v>0</v>
      </c>
      <c r="N81" t="n">
        <v>0</v>
      </c>
      <c r="O81" t="n">
        <v>0</v>
      </c>
      <c r="P81" t="n">
        <v>0</v>
      </c>
      <c r="Q81" t="n">
        <v>0</v>
      </c>
      <c r="R81" s="2" t="inlineStr"/>
    </row>
    <row r="82" ht="15" customHeight="1">
      <c r="A82" t="inlineStr">
        <is>
          <t>A 66551-2020</t>
        </is>
      </c>
      <c r="B82" s="1" t="n">
        <v>44179</v>
      </c>
      <c r="C82" s="1" t="n">
        <v>45888</v>
      </c>
      <c r="D82" t="inlineStr">
        <is>
          <t>VÄSTRA GÖTALANDS LÄN</t>
        </is>
      </c>
      <c r="E82" t="inlineStr">
        <is>
          <t>ALE</t>
        </is>
      </c>
      <c r="G82" t="n">
        <v>4.5</v>
      </c>
      <c r="H82" t="n">
        <v>0</v>
      </c>
      <c r="I82" t="n">
        <v>0</v>
      </c>
      <c r="J82" t="n">
        <v>0</v>
      </c>
      <c r="K82" t="n">
        <v>0</v>
      </c>
      <c r="L82" t="n">
        <v>0</v>
      </c>
      <c r="M82" t="n">
        <v>0</v>
      </c>
      <c r="N82" t="n">
        <v>0</v>
      </c>
      <c r="O82" t="n">
        <v>0</v>
      </c>
      <c r="P82" t="n">
        <v>0</v>
      </c>
      <c r="Q82" t="n">
        <v>0</v>
      </c>
      <c r="R82" s="2" t="inlineStr"/>
    </row>
    <row r="83" ht="15" customHeight="1">
      <c r="A83" t="inlineStr">
        <is>
          <t>A 1960-2024</t>
        </is>
      </c>
      <c r="B83" s="1" t="n">
        <v>45308.50962962963</v>
      </c>
      <c r="C83" s="1" t="n">
        <v>45888</v>
      </c>
      <c r="D83" t="inlineStr">
        <is>
          <t>VÄSTRA GÖTALANDS LÄN</t>
        </is>
      </c>
      <c r="E83" t="inlineStr">
        <is>
          <t>ALE</t>
        </is>
      </c>
      <c r="G83" t="n">
        <v>1.9</v>
      </c>
      <c r="H83" t="n">
        <v>0</v>
      </c>
      <c r="I83" t="n">
        <v>0</v>
      </c>
      <c r="J83" t="n">
        <v>0</v>
      </c>
      <c r="K83" t="n">
        <v>0</v>
      </c>
      <c r="L83" t="n">
        <v>0</v>
      </c>
      <c r="M83" t="n">
        <v>0</v>
      </c>
      <c r="N83" t="n">
        <v>0</v>
      </c>
      <c r="O83" t="n">
        <v>0</v>
      </c>
      <c r="P83" t="n">
        <v>0</v>
      </c>
      <c r="Q83" t="n">
        <v>0</v>
      </c>
      <c r="R83" s="2" t="inlineStr"/>
    </row>
    <row r="84" ht="15" customHeight="1">
      <c r="A84" t="inlineStr">
        <is>
          <t>A 41607-2022</t>
        </is>
      </c>
      <c r="B84" s="1" t="n">
        <v>44827.46658564815</v>
      </c>
      <c r="C84" s="1" t="n">
        <v>45888</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15499-2022</t>
        </is>
      </c>
      <c r="B85" s="1" t="n">
        <v>44662</v>
      </c>
      <c r="C85" s="1" t="n">
        <v>45888</v>
      </c>
      <c r="D85" t="inlineStr">
        <is>
          <t>VÄSTRA GÖTALANDS LÄN</t>
        </is>
      </c>
      <c r="E85" t="inlineStr">
        <is>
          <t>ALE</t>
        </is>
      </c>
      <c r="G85" t="n">
        <v>4.7</v>
      </c>
      <c r="H85" t="n">
        <v>0</v>
      </c>
      <c r="I85" t="n">
        <v>0</v>
      </c>
      <c r="J85" t="n">
        <v>0</v>
      </c>
      <c r="K85" t="n">
        <v>0</v>
      </c>
      <c r="L85" t="n">
        <v>0</v>
      </c>
      <c r="M85" t="n">
        <v>0</v>
      </c>
      <c r="N85" t="n">
        <v>0</v>
      </c>
      <c r="O85" t="n">
        <v>0</v>
      </c>
      <c r="P85" t="n">
        <v>0</v>
      </c>
      <c r="Q85" t="n">
        <v>0</v>
      </c>
      <c r="R85" s="2" t="inlineStr"/>
    </row>
    <row r="86" ht="15" customHeight="1">
      <c r="A86" t="inlineStr">
        <is>
          <t>A 53476-2023</t>
        </is>
      </c>
      <c r="B86" s="1" t="n">
        <v>45230.33737268519</v>
      </c>
      <c r="C86" s="1" t="n">
        <v>45888</v>
      </c>
      <c r="D86" t="inlineStr">
        <is>
          <t>VÄSTRA GÖTALANDS LÄN</t>
        </is>
      </c>
      <c r="E86" t="inlineStr">
        <is>
          <t>ALE</t>
        </is>
      </c>
      <c r="G86" t="n">
        <v>1.9</v>
      </c>
      <c r="H86" t="n">
        <v>0</v>
      </c>
      <c r="I86" t="n">
        <v>0</v>
      </c>
      <c r="J86" t="n">
        <v>0</v>
      </c>
      <c r="K86" t="n">
        <v>0</v>
      </c>
      <c r="L86" t="n">
        <v>0</v>
      </c>
      <c r="M86" t="n">
        <v>0</v>
      </c>
      <c r="N86" t="n">
        <v>0</v>
      </c>
      <c r="O86" t="n">
        <v>0</v>
      </c>
      <c r="P86" t="n">
        <v>0</v>
      </c>
      <c r="Q86" t="n">
        <v>0</v>
      </c>
      <c r="R86" s="2" t="inlineStr"/>
    </row>
    <row r="87" ht="15" customHeight="1">
      <c r="A87" t="inlineStr">
        <is>
          <t>A 16344-2023</t>
        </is>
      </c>
      <c r="B87" s="1" t="n">
        <v>45028</v>
      </c>
      <c r="C87" s="1" t="n">
        <v>45888</v>
      </c>
      <c r="D87" t="inlineStr">
        <is>
          <t>VÄSTRA GÖTALANDS LÄN</t>
        </is>
      </c>
      <c r="E87" t="inlineStr">
        <is>
          <t>ALE</t>
        </is>
      </c>
      <c r="G87" t="n">
        <v>6.6</v>
      </c>
      <c r="H87" t="n">
        <v>0</v>
      </c>
      <c r="I87" t="n">
        <v>0</v>
      </c>
      <c r="J87" t="n">
        <v>0</v>
      </c>
      <c r="K87" t="n">
        <v>0</v>
      </c>
      <c r="L87" t="n">
        <v>0</v>
      </c>
      <c r="M87" t="n">
        <v>0</v>
      </c>
      <c r="N87" t="n">
        <v>0</v>
      </c>
      <c r="O87" t="n">
        <v>0</v>
      </c>
      <c r="P87" t="n">
        <v>0</v>
      </c>
      <c r="Q87" t="n">
        <v>0</v>
      </c>
      <c r="R87" s="2" t="inlineStr"/>
    </row>
    <row r="88" ht="15" customHeight="1">
      <c r="A88" t="inlineStr">
        <is>
          <t>A 55405-2021</t>
        </is>
      </c>
      <c r="B88" s="1" t="n">
        <v>44475.53733796296</v>
      </c>
      <c r="C88" s="1" t="n">
        <v>45888</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51164-2024</t>
        </is>
      </c>
      <c r="B89" s="1" t="n">
        <v>45603.5830787037</v>
      </c>
      <c r="C89" s="1" t="n">
        <v>45888</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63575-2023</t>
        </is>
      </c>
      <c r="B90" s="1" t="n">
        <v>45275.39715277778</v>
      </c>
      <c r="C90" s="1" t="n">
        <v>45888</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4363-2024</t>
        </is>
      </c>
      <c r="B91" s="1" t="n">
        <v>45325</v>
      </c>
      <c r="C91" s="1" t="n">
        <v>45888</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45888</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45888</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45888</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20067-2023</t>
        </is>
      </c>
      <c r="B95" s="1" t="n">
        <v>45054</v>
      </c>
      <c r="C95" s="1" t="n">
        <v>45888</v>
      </c>
      <c r="D95" t="inlineStr">
        <is>
          <t>VÄSTRA GÖTALANDS LÄN</t>
        </is>
      </c>
      <c r="E95" t="inlineStr">
        <is>
          <t>ALE</t>
        </is>
      </c>
      <c r="G95" t="n">
        <v>0.4</v>
      </c>
      <c r="H95" t="n">
        <v>0</v>
      </c>
      <c r="I95" t="n">
        <v>0</v>
      </c>
      <c r="J95" t="n">
        <v>0</v>
      </c>
      <c r="K95" t="n">
        <v>0</v>
      </c>
      <c r="L95" t="n">
        <v>0</v>
      </c>
      <c r="M95" t="n">
        <v>0</v>
      </c>
      <c r="N95" t="n">
        <v>0</v>
      </c>
      <c r="O95" t="n">
        <v>0</v>
      </c>
      <c r="P95" t="n">
        <v>0</v>
      </c>
      <c r="Q95" t="n">
        <v>0</v>
      </c>
      <c r="R95" s="2" t="inlineStr"/>
    </row>
    <row r="96" ht="15" customHeight="1">
      <c r="A96" t="inlineStr">
        <is>
          <t>A 32762-2023</t>
        </is>
      </c>
      <c r="B96" s="1" t="n">
        <v>45123.46649305556</v>
      </c>
      <c r="C96" s="1" t="n">
        <v>45888</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45888</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22946-2025</t>
        </is>
      </c>
      <c r="B98" s="1" t="n">
        <v>45790.48229166667</v>
      </c>
      <c r="C98" s="1" t="n">
        <v>45888</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51564-2023</t>
        </is>
      </c>
      <c r="B99" s="1" t="n">
        <v>45222</v>
      </c>
      <c r="C99" s="1" t="n">
        <v>45888</v>
      </c>
      <c r="D99" t="inlineStr">
        <is>
          <t>VÄSTRA GÖTALANDS LÄN</t>
        </is>
      </c>
      <c r="E99" t="inlineStr">
        <is>
          <t>ALE</t>
        </is>
      </c>
      <c r="G99" t="n">
        <v>1.5</v>
      </c>
      <c r="H99" t="n">
        <v>0</v>
      </c>
      <c r="I99" t="n">
        <v>0</v>
      </c>
      <c r="J99" t="n">
        <v>0</v>
      </c>
      <c r="K99" t="n">
        <v>0</v>
      </c>
      <c r="L99" t="n">
        <v>0</v>
      </c>
      <c r="M99" t="n">
        <v>0</v>
      </c>
      <c r="N99" t="n">
        <v>0</v>
      </c>
      <c r="O99" t="n">
        <v>0</v>
      </c>
      <c r="P99" t="n">
        <v>0</v>
      </c>
      <c r="Q99" t="n">
        <v>0</v>
      </c>
      <c r="R99" s="2" t="inlineStr"/>
    </row>
    <row r="100" ht="15" customHeight="1">
      <c r="A100" t="inlineStr">
        <is>
          <t>A 48257-2022</t>
        </is>
      </c>
      <c r="B100" s="1" t="n">
        <v>44858.47591435185</v>
      </c>
      <c r="C100" s="1" t="n">
        <v>45888</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41309-2024</t>
        </is>
      </c>
      <c r="B101" s="1" t="n">
        <v>45559</v>
      </c>
      <c r="C101" s="1" t="n">
        <v>45888</v>
      </c>
      <c r="D101" t="inlineStr">
        <is>
          <t>VÄSTRA GÖTALANDS LÄN</t>
        </is>
      </c>
      <c r="E101" t="inlineStr">
        <is>
          <t>ALE</t>
        </is>
      </c>
      <c r="G101" t="n">
        <v>8.4</v>
      </c>
      <c r="H101" t="n">
        <v>0</v>
      </c>
      <c r="I101" t="n">
        <v>0</v>
      </c>
      <c r="J101" t="n">
        <v>0</v>
      </c>
      <c r="K101" t="n">
        <v>0</v>
      </c>
      <c r="L101" t="n">
        <v>0</v>
      </c>
      <c r="M101" t="n">
        <v>0</v>
      </c>
      <c r="N101" t="n">
        <v>0</v>
      </c>
      <c r="O101" t="n">
        <v>0</v>
      </c>
      <c r="P101" t="n">
        <v>0</v>
      </c>
      <c r="Q101" t="n">
        <v>0</v>
      </c>
      <c r="R101" s="2" t="inlineStr"/>
    </row>
    <row r="102" ht="15" customHeight="1">
      <c r="A102" t="inlineStr">
        <is>
          <t>A 37461-2024</t>
        </is>
      </c>
      <c r="B102" s="1" t="n">
        <v>45540.72516203704</v>
      </c>
      <c r="C102" s="1" t="n">
        <v>45888</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7807-2023</t>
        </is>
      </c>
      <c r="B103" s="1" t="n">
        <v>44973</v>
      </c>
      <c r="C103" s="1" t="n">
        <v>45888</v>
      </c>
      <c r="D103" t="inlineStr">
        <is>
          <t>VÄSTRA GÖTALANDS LÄN</t>
        </is>
      </c>
      <c r="E103" t="inlineStr">
        <is>
          <t>ALE</t>
        </is>
      </c>
      <c r="G103" t="n">
        <v>10.5</v>
      </c>
      <c r="H103" t="n">
        <v>0</v>
      </c>
      <c r="I103" t="n">
        <v>0</v>
      </c>
      <c r="J103" t="n">
        <v>0</v>
      </c>
      <c r="K103" t="n">
        <v>0</v>
      </c>
      <c r="L103" t="n">
        <v>0</v>
      </c>
      <c r="M103" t="n">
        <v>0</v>
      </c>
      <c r="N103" t="n">
        <v>0</v>
      </c>
      <c r="O103" t="n">
        <v>0</v>
      </c>
      <c r="P103" t="n">
        <v>0</v>
      </c>
      <c r="Q103" t="n">
        <v>0</v>
      </c>
      <c r="R103" s="2" t="inlineStr"/>
    </row>
    <row r="104" ht="15" customHeight="1">
      <c r="A104" t="inlineStr">
        <is>
          <t>A 3413-2023</t>
        </is>
      </c>
      <c r="B104" s="1" t="n">
        <v>44949</v>
      </c>
      <c r="C104" s="1" t="n">
        <v>45888</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25849-2025</t>
        </is>
      </c>
      <c r="B105" s="1" t="n">
        <v>45804</v>
      </c>
      <c r="C105" s="1" t="n">
        <v>45888</v>
      </c>
      <c r="D105" t="inlineStr">
        <is>
          <t>VÄSTRA GÖTALANDS LÄN</t>
        </is>
      </c>
      <c r="E105" t="inlineStr">
        <is>
          <t>ALE</t>
        </is>
      </c>
      <c r="G105" t="n">
        <v>0.8</v>
      </c>
      <c r="H105" t="n">
        <v>0</v>
      </c>
      <c r="I105" t="n">
        <v>0</v>
      </c>
      <c r="J105" t="n">
        <v>0</v>
      </c>
      <c r="K105" t="n">
        <v>0</v>
      </c>
      <c r="L105" t="n">
        <v>0</v>
      </c>
      <c r="M105" t="n">
        <v>0</v>
      </c>
      <c r="N105" t="n">
        <v>0</v>
      </c>
      <c r="O105" t="n">
        <v>0</v>
      </c>
      <c r="P105" t="n">
        <v>0</v>
      </c>
      <c r="Q105" t="n">
        <v>0</v>
      </c>
      <c r="R105" s="2" t="inlineStr"/>
    </row>
    <row r="106" ht="15" customHeight="1">
      <c r="A106" t="inlineStr">
        <is>
          <t>A 25848-2025</t>
        </is>
      </c>
      <c r="B106" s="1" t="n">
        <v>45804</v>
      </c>
      <c r="C106" s="1" t="n">
        <v>45888</v>
      </c>
      <c r="D106" t="inlineStr">
        <is>
          <t>VÄSTRA GÖTALANDS LÄN</t>
        </is>
      </c>
      <c r="E106" t="inlineStr">
        <is>
          <t>ALE</t>
        </is>
      </c>
      <c r="G106" t="n">
        <v>1.1</v>
      </c>
      <c r="H106" t="n">
        <v>0</v>
      </c>
      <c r="I106" t="n">
        <v>0</v>
      </c>
      <c r="J106" t="n">
        <v>0</v>
      </c>
      <c r="K106" t="n">
        <v>0</v>
      </c>
      <c r="L106" t="n">
        <v>0</v>
      </c>
      <c r="M106" t="n">
        <v>0</v>
      </c>
      <c r="N106" t="n">
        <v>0</v>
      </c>
      <c r="O106" t="n">
        <v>0</v>
      </c>
      <c r="P106" t="n">
        <v>0</v>
      </c>
      <c r="Q106" t="n">
        <v>0</v>
      </c>
      <c r="R106" s="2" t="inlineStr"/>
    </row>
    <row r="107" ht="15" customHeight="1">
      <c r="A107" t="inlineStr">
        <is>
          <t>A 26157-2023</t>
        </is>
      </c>
      <c r="B107" s="1" t="n">
        <v>45091.50479166667</v>
      </c>
      <c r="C107" s="1" t="n">
        <v>45888</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25840-2025</t>
        </is>
      </c>
      <c r="B108" s="1" t="n">
        <v>45804</v>
      </c>
      <c r="C108" s="1" t="n">
        <v>45888</v>
      </c>
      <c r="D108" t="inlineStr">
        <is>
          <t>VÄSTRA GÖTALANDS LÄN</t>
        </is>
      </c>
      <c r="E108" t="inlineStr">
        <is>
          <t>ALE</t>
        </is>
      </c>
      <c r="G108" t="n">
        <v>3.8</v>
      </c>
      <c r="H108" t="n">
        <v>0</v>
      </c>
      <c r="I108" t="n">
        <v>0</v>
      </c>
      <c r="J108" t="n">
        <v>0</v>
      </c>
      <c r="K108" t="n">
        <v>0</v>
      </c>
      <c r="L108" t="n">
        <v>0</v>
      </c>
      <c r="M108" t="n">
        <v>0</v>
      </c>
      <c r="N108" t="n">
        <v>0</v>
      </c>
      <c r="O108" t="n">
        <v>0</v>
      </c>
      <c r="P108" t="n">
        <v>0</v>
      </c>
      <c r="Q108" t="n">
        <v>0</v>
      </c>
      <c r="R108" s="2" t="inlineStr"/>
    </row>
    <row r="109" ht="15" customHeight="1">
      <c r="A109" t="inlineStr">
        <is>
          <t>A 47087-2023</t>
        </is>
      </c>
      <c r="B109" s="1" t="n">
        <v>45196</v>
      </c>
      <c r="C109" s="1" t="n">
        <v>45888</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27314-2021</t>
        </is>
      </c>
      <c r="B110" s="1" t="n">
        <v>44351.36537037037</v>
      </c>
      <c r="C110" s="1" t="n">
        <v>45888</v>
      </c>
      <c r="D110" t="inlineStr">
        <is>
          <t>VÄSTRA GÖTALANDS LÄN</t>
        </is>
      </c>
      <c r="E110" t="inlineStr">
        <is>
          <t>ALE</t>
        </is>
      </c>
      <c r="G110" t="n">
        <v>11.3</v>
      </c>
      <c r="H110" t="n">
        <v>0</v>
      </c>
      <c r="I110" t="n">
        <v>0</v>
      </c>
      <c r="J110" t="n">
        <v>0</v>
      </c>
      <c r="K110" t="n">
        <v>0</v>
      </c>
      <c r="L110" t="n">
        <v>0</v>
      </c>
      <c r="M110" t="n">
        <v>0</v>
      </c>
      <c r="N110" t="n">
        <v>0</v>
      </c>
      <c r="O110" t="n">
        <v>0</v>
      </c>
      <c r="P110" t="n">
        <v>0</v>
      </c>
      <c r="Q110" t="n">
        <v>0</v>
      </c>
      <c r="R110" s="2" t="inlineStr"/>
    </row>
    <row r="111" ht="15" customHeight="1">
      <c r="A111" t="inlineStr">
        <is>
          <t>A 18637-2023</t>
        </is>
      </c>
      <c r="B111" s="1" t="n">
        <v>45043</v>
      </c>
      <c r="C111" s="1" t="n">
        <v>45888</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59933-2023</t>
        </is>
      </c>
      <c r="B112" s="1" t="n">
        <v>45257</v>
      </c>
      <c r="C112" s="1" t="n">
        <v>45888</v>
      </c>
      <c r="D112" t="inlineStr">
        <is>
          <t>VÄSTRA GÖTALANDS LÄN</t>
        </is>
      </c>
      <c r="E112" t="inlineStr">
        <is>
          <t>ALE</t>
        </is>
      </c>
      <c r="G112" t="n">
        <v>2.7</v>
      </c>
      <c r="H112" t="n">
        <v>0</v>
      </c>
      <c r="I112" t="n">
        <v>0</v>
      </c>
      <c r="J112" t="n">
        <v>0</v>
      </c>
      <c r="K112" t="n">
        <v>0</v>
      </c>
      <c r="L112" t="n">
        <v>0</v>
      </c>
      <c r="M112" t="n">
        <v>0</v>
      </c>
      <c r="N112" t="n">
        <v>0</v>
      </c>
      <c r="O112" t="n">
        <v>0</v>
      </c>
      <c r="P112" t="n">
        <v>0</v>
      </c>
      <c r="Q112" t="n">
        <v>0</v>
      </c>
      <c r="R112" s="2" t="inlineStr"/>
    </row>
    <row r="113" ht="15" customHeight="1">
      <c r="A113" t="inlineStr">
        <is>
          <t>A 5875-2023</t>
        </is>
      </c>
      <c r="B113" s="1" t="n">
        <v>44963</v>
      </c>
      <c r="C113" s="1" t="n">
        <v>45888</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8659-2025</t>
        </is>
      </c>
      <c r="B114" s="1" t="n">
        <v>45712</v>
      </c>
      <c r="C114" s="1" t="n">
        <v>45888</v>
      </c>
      <c r="D114" t="inlineStr">
        <is>
          <t>VÄSTRA GÖTALANDS LÄN</t>
        </is>
      </c>
      <c r="E114" t="inlineStr">
        <is>
          <t>ALE</t>
        </is>
      </c>
      <c r="G114" t="n">
        <v>5.7</v>
      </c>
      <c r="H114" t="n">
        <v>0</v>
      </c>
      <c r="I114" t="n">
        <v>0</v>
      </c>
      <c r="J114" t="n">
        <v>0</v>
      </c>
      <c r="K114" t="n">
        <v>0</v>
      </c>
      <c r="L114" t="n">
        <v>0</v>
      </c>
      <c r="M114" t="n">
        <v>0</v>
      </c>
      <c r="N114" t="n">
        <v>0</v>
      </c>
      <c r="O114" t="n">
        <v>0</v>
      </c>
      <c r="P114" t="n">
        <v>0</v>
      </c>
      <c r="Q114" t="n">
        <v>0</v>
      </c>
      <c r="R114" s="2" t="inlineStr"/>
    </row>
    <row r="115" ht="15" customHeight="1">
      <c r="A115" t="inlineStr">
        <is>
          <t>A 5344-2024</t>
        </is>
      </c>
      <c r="B115" s="1" t="n">
        <v>45331</v>
      </c>
      <c r="C115" s="1" t="n">
        <v>45888</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64199-2021</t>
        </is>
      </c>
      <c r="B116" s="1" t="n">
        <v>44510</v>
      </c>
      <c r="C116" s="1" t="n">
        <v>45888</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60232-2024</t>
        </is>
      </c>
      <c r="B117" s="1" t="n">
        <v>45642</v>
      </c>
      <c r="C117" s="1" t="n">
        <v>45888</v>
      </c>
      <c r="D117" t="inlineStr">
        <is>
          <t>VÄSTRA GÖTALANDS LÄN</t>
        </is>
      </c>
      <c r="E117" t="inlineStr">
        <is>
          <t>ALE</t>
        </is>
      </c>
      <c r="G117" t="n">
        <v>5</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44802.57002314815</v>
      </c>
      <c r="C118" s="1" t="n">
        <v>45888</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29373-2025</t>
        </is>
      </c>
      <c r="B119" s="1" t="n">
        <v>45824.579375</v>
      </c>
      <c r="C119" s="1" t="n">
        <v>45888</v>
      </c>
      <c r="D119" t="inlineStr">
        <is>
          <t>VÄSTRA GÖTALANDS LÄN</t>
        </is>
      </c>
      <c r="E119" t="inlineStr">
        <is>
          <t>ALE</t>
        </is>
      </c>
      <c r="G119" t="n">
        <v>4.6</v>
      </c>
      <c r="H119" t="n">
        <v>0</v>
      </c>
      <c r="I119" t="n">
        <v>0</v>
      </c>
      <c r="J119" t="n">
        <v>0</v>
      </c>
      <c r="K119" t="n">
        <v>0</v>
      </c>
      <c r="L119" t="n">
        <v>0</v>
      </c>
      <c r="M119" t="n">
        <v>0</v>
      </c>
      <c r="N119" t="n">
        <v>0</v>
      </c>
      <c r="O119" t="n">
        <v>0</v>
      </c>
      <c r="P119" t="n">
        <v>0</v>
      </c>
      <c r="Q119" t="n">
        <v>0</v>
      </c>
      <c r="R119" s="2" t="inlineStr"/>
    </row>
    <row r="120" ht="15" customHeight="1">
      <c r="A120" t="inlineStr">
        <is>
          <t>A 13426-2025</t>
        </is>
      </c>
      <c r="B120" s="1" t="n">
        <v>45736.32780092592</v>
      </c>
      <c r="C120" s="1" t="n">
        <v>45888</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14493-2024</t>
        </is>
      </c>
      <c r="B121" s="1" t="n">
        <v>45394.58491898148</v>
      </c>
      <c r="C121" s="1" t="n">
        <v>45888</v>
      </c>
      <c r="D121" t="inlineStr">
        <is>
          <t>VÄSTRA GÖTALANDS LÄN</t>
        </is>
      </c>
      <c r="E121" t="inlineStr">
        <is>
          <t>ALE</t>
        </is>
      </c>
      <c r="G121" t="n">
        <v>2.3</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45888</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1500-2024</t>
        </is>
      </c>
      <c r="B123" s="1" t="n">
        <v>45306</v>
      </c>
      <c r="C123" s="1" t="n">
        <v>45888</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13382-2025</t>
        </is>
      </c>
      <c r="B124" s="1" t="n">
        <v>45735.67928240741</v>
      </c>
      <c r="C124" s="1" t="n">
        <v>45888</v>
      </c>
      <c r="D124" t="inlineStr">
        <is>
          <t>VÄSTRA GÖTALANDS LÄN</t>
        </is>
      </c>
      <c r="E124" t="inlineStr">
        <is>
          <t>ALE</t>
        </is>
      </c>
      <c r="G124" t="n">
        <v>0.9</v>
      </c>
      <c r="H124" t="n">
        <v>0</v>
      </c>
      <c r="I124" t="n">
        <v>0</v>
      </c>
      <c r="J124" t="n">
        <v>0</v>
      </c>
      <c r="K124" t="n">
        <v>0</v>
      </c>
      <c r="L124" t="n">
        <v>0</v>
      </c>
      <c r="M124" t="n">
        <v>0</v>
      </c>
      <c r="N124" t="n">
        <v>0</v>
      </c>
      <c r="O124" t="n">
        <v>0</v>
      </c>
      <c r="P124" t="n">
        <v>0</v>
      </c>
      <c r="Q124" t="n">
        <v>0</v>
      </c>
      <c r="R124" s="2" t="inlineStr"/>
    </row>
    <row r="125" ht="15" customHeight="1">
      <c r="A125" t="inlineStr">
        <is>
          <t>A 1687-2024</t>
        </is>
      </c>
      <c r="B125" s="1" t="n">
        <v>45306</v>
      </c>
      <c r="C125" s="1" t="n">
        <v>45888</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13903-2025</t>
        </is>
      </c>
      <c r="B126" s="1" t="n">
        <v>45737.63481481482</v>
      </c>
      <c r="C126" s="1" t="n">
        <v>45888</v>
      </c>
      <c r="D126" t="inlineStr">
        <is>
          <t>VÄSTRA GÖTALANDS LÄN</t>
        </is>
      </c>
      <c r="E126" t="inlineStr">
        <is>
          <t>ALE</t>
        </is>
      </c>
      <c r="G126" t="n">
        <v>0.5</v>
      </c>
      <c r="H126" t="n">
        <v>0</v>
      </c>
      <c r="I126" t="n">
        <v>0</v>
      </c>
      <c r="J126" t="n">
        <v>0</v>
      </c>
      <c r="K126" t="n">
        <v>0</v>
      </c>
      <c r="L126" t="n">
        <v>0</v>
      </c>
      <c r="M126" t="n">
        <v>0</v>
      </c>
      <c r="N126" t="n">
        <v>0</v>
      </c>
      <c r="O126" t="n">
        <v>0</v>
      </c>
      <c r="P126" t="n">
        <v>0</v>
      </c>
      <c r="Q126" t="n">
        <v>0</v>
      </c>
      <c r="R126" s="2" t="inlineStr"/>
    </row>
    <row r="127" ht="15" customHeight="1">
      <c r="A127" t="inlineStr">
        <is>
          <t>A 37005-2025</t>
        </is>
      </c>
      <c r="B127" s="1" t="n">
        <v>45874.69311342593</v>
      </c>
      <c r="C127" s="1" t="n">
        <v>45888</v>
      </c>
      <c r="D127" t="inlineStr">
        <is>
          <t>VÄSTRA GÖTALANDS LÄN</t>
        </is>
      </c>
      <c r="E127" t="inlineStr">
        <is>
          <t>ALE</t>
        </is>
      </c>
      <c r="G127" t="n">
        <v>1.9</v>
      </c>
      <c r="H127" t="n">
        <v>0</v>
      </c>
      <c r="I127" t="n">
        <v>0</v>
      </c>
      <c r="J127" t="n">
        <v>0</v>
      </c>
      <c r="K127" t="n">
        <v>0</v>
      </c>
      <c r="L127" t="n">
        <v>0</v>
      </c>
      <c r="M127" t="n">
        <v>0</v>
      </c>
      <c r="N127" t="n">
        <v>0</v>
      </c>
      <c r="O127" t="n">
        <v>0</v>
      </c>
      <c r="P127" t="n">
        <v>0</v>
      </c>
      <c r="Q127" t="n">
        <v>0</v>
      </c>
      <c r="R127" s="2" t="inlineStr"/>
    </row>
    <row r="128" ht="15" customHeight="1">
      <c r="A128" t="inlineStr">
        <is>
          <t>A 31407-2025</t>
        </is>
      </c>
      <c r="B128" s="1" t="n">
        <v>45833</v>
      </c>
      <c r="C128" s="1" t="n">
        <v>45888</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31409-2025</t>
        </is>
      </c>
      <c r="B129" s="1" t="n">
        <v>45833</v>
      </c>
      <c r="C129" s="1" t="n">
        <v>45888</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31488-2025</t>
        </is>
      </c>
      <c r="B130" s="1" t="n">
        <v>45833</v>
      </c>
      <c r="C130" s="1" t="n">
        <v>45888</v>
      </c>
      <c r="D130" t="inlineStr">
        <is>
          <t>VÄSTRA GÖTALANDS LÄN</t>
        </is>
      </c>
      <c r="E130" t="inlineStr">
        <is>
          <t>ALE</t>
        </is>
      </c>
      <c r="G130" t="n">
        <v>1.8</v>
      </c>
      <c r="H130" t="n">
        <v>0</v>
      </c>
      <c r="I130" t="n">
        <v>0</v>
      </c>
      <c r="J130" t="n">
        <v>0</v>
      </c>
      <c r="K130" t="n">
        <v>0</v>
      </c>
      <c r="L130" t="n">
        <v>0</v>
      </c>
      <c r="M130" t="n">
        <v>0</v>
      </c>
      <c r="N130" t="n">
        <v>0</v>
      </c>
      <c r="O130" t="n">
        <v>0</v>
      </c>
      <c r="P130" t="n">
        <v>0</v>
      </c>
      <c r="Q130" t="n">
        <v>0</v>
      </c>
      <c r="R130" s="2" t="inlineStr"/>
    </row>
    <row r="131" ht="15" customHeight="1">
      <c r="A131" t="inlineStr">
        <is>
          <t>A 31533-2025</t>
        </is>
      </c>
      <c r="B131" s="1" t="n">
        <v>45833</v>
      </c>
      <c r="C131" s="1" t="n">
        <v>45888</v>
      </c>
      <c r="D131" t="inlineStr">
        <is>
          <t>VÄSTRA GÖTALANDS LÄN</t>
        </is>
      </c>
      <c r="E131" t="inlineStr">
        <is>
          <t>ALE</t>
        </is>
      </c>
      <c r="G131" t="n">
        <v>1.6</v>
      </c>
      <c r="H131" t="n">
        <v>0</v>
      </c>
      <c r="I131" t="n">
        <v>0</v>
      </c>
      <c r="J131" t="n">
        <v>0</v>
      </c>
      <c r="K131" t="n">
        <v>0</v>
      </c>
      <c r="L131" t="n">
        <v>0</v>
      </c>
      <c r="M131" t="n">
        <v>0</v>
      </c>
      <c r="N131" t="n">
        <v>0</v>
      </c>
      <c r="O131" t="n">
        <v>0</v>
      </c>
      <c r="P131" t="n">
        <v>0</v>
      </c>
      <c r="Q131" t="n">
        <v>0</v>
      </c>
      <c r="R131" s="2" t="inlineStr"/>
    </row>
    <row r="132" ht="15" customHeight="1">
      <c r="A132" t="inlineStr">
        <is>
          <t>A 32394-2025</t>
        </is>
      </c>
      <c r="B132" s="1" t="n">
        <v>45837.91665509259</v>
      </c>
      <c r="C132" s="1" t="n">
        <v>45888</v>
      </c>
      <c r="D132" t="inlineStr">
        <is>
          <t>VÄSTRA GÖTALANDS LÄN</t>
        </is>
      </c>
      <c r="E132" t="inlineStr">
        <is>
          <t>ALE</t>
        </is>
      </c>
      <c r="G132" t="n">
        <v>3.4</v>
      </c>
      <c r="H132" t="n">
        <v>0</v>
      </c>
      <c r="I132" t="n">
        <v>0</v>
      </c>
      <c r="J132" t="n">
        <v>0</v>
      </c>
      <c r="K132" t="n">
        <v>0</v>
      </c>
      <c r="L132" t="n">
        <v>0</v>
      </c>
      <c r="M132" t="n">
        <v>0</v>
      </c>
      <c r="N132" t="n">
        <v>0</v>
      </c>
      <c r="O132" t="n">
        <v>0</v>
      </c>
      <c r="P132" t="n">
        <v>0</v>
      </c>
      <c r="Q132" t="n">
        <v>0</v>
      </c>
      <c r="R132" s="2" t="inlineStr"/>
    </row>
    <row r="133" ht="15" customHeight="1">
      <c r="A133" t="inlineStr">
        <is>
          <t>A 35905-2025</t>
        </is>
      </c>
      <c r="B133" s="1" t="n">
        <v>45862</v>
      </c>
      <c r="C133" s="1" t="n">
        <v>45888</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3520-2022</t>
        </is>
      </c>
      <c r="B134" s="1" t="n">
        <v>44585.72818287037</v>
      </c>
      <c r="C134" s="1" t="n">
        <v>45888</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65226-2021</t>
        </is>
      </c>
      <c r="B135" s="1" t="n">
        <v>44515</v>
      </c>
      <c r="C135" s="1" t="n">
        <v>45888</v>
      </c>
      <c r="D135" t="inlineStr">
        <is>
          <t>VÄSTRA GÖTALANDS LÄN</t>
        </is>
      </c>
      <c r="E135" t="inlineStr">
        <is>
          <t>ALE</t>
        </is>
      </c>
      <c r="G135" t="n">
        <v>0.7</v>
      </c>
      <c r="H135" t="n">
        <v>0</v>
      </c>
      <c r="I135" t="n">
        <v>0</v>
      </c>
      <c r="J135" t="n">
        <v>0</v>
      </c>
      <c r="K135" t="n">
        <v>0</v>
      </c>
      <c r="L135" t="n">
        <v>0</v>
      </c>
      <c r="M135" t="n">
        <v>0</v>
      </c>
      <c r="N135" t="n">
        <v>0</v>
      </c>
      <c r="O135" t="n">
        <v>0</v>
      </c>
      <c r="P135" t="n">
        <v>0</v>
      </c>
      <c r="Q135" t="n">
        <v>0</v>
      </c>
      <c r="R135" s="2" t="inlineStr"/>
    </row>
    <row r="136" ht="15" customHeight="1">
      <c r="A136" t="inlineStr">
        <is>
          <t>A 9193-2025</t>
        </is>
      </c>
      <c r="B136" s="1" t="n">
        <v>45714</v>
      </c>
      <c r="C136" s="1" t="n">
        <v>45888</v>
      </c>
      <c r="D136" t="inlineStr">
        <is>
          <t>VÄSTRA GÖTALANDS LÄN</t>
        </is>
      </c>
      <c r="E136" t="inlineStr">
        <is>
          <t>ALE</t>
        </is>
      </c>
      <c r="G136" t="n">
        <v>7.1</v>
      </c>
      <c r="H136" t="n">
        <v>0</v>
      </c>
      <c r="I136" t="n">
        <v>0</v>
      </c>
      <c r="J136" t="n">
        <v>0</v>
      </c>
      <c r="K136" t="n">
        <v>0</v>
      </c>
      <c r="L136" t="n">
        <v>0</v>
      </c>
      <c r="M136" t="n">
        <v>0</v>
      </c>
      <c r="N136" t="n">
        <v>0</v>
      </c>
      <c r="O136" t="n">
        <v>0</v>
      </c>
      <c r="P136" t="n">
        <v>0</v>
      </c>
      <c r="Q136" t="n">
        <v>0</v>
      </c>
      <c r="R136" s="2" t="inlineStr"/>
    </row>
    <row r="137" ht="15" customHeight="1">
      <c r="A137" t="inlineStr">
        <is>
          <t>A 14458-2024</t>
        </is>
      </c>
      <c r="B137" s="1" t="n">
        <v>45394</v>
      </c>
      <c r="C137" s="1" t="n">
        <v>45888</v>
      </c>
      <c r="D137" t="inlineStr">
        <is>
          <t>VÄSTRA GÖTALANDS LÄN</t>
        </is>
      </c>
      <c r="E137" t="inlineStr">
        <is>
          <t>ALE</t>
        </is>
      </c>
      <c r="G137" t="n">
        <v>0.5</v>
      </c>
      <c r="H137" t="n">
        <v>0</v>
      </c>
      <c r="I137" t="n">
        <v>0</v>
      </c>
      <c r="J137" t="n">
        <v>0</v>
      </c>
      <c r="K137" t="n">
        <v>0</v>
      </c>
      <c r="L137" t="n">
        <v>0</v>
      </c>
      <c r="M137" t="n">
        <v>0</v>
      </c>
      <c r="N137" t="n">
        <v>0</v>
      </c>
      <c r="O137" t="n">
        <v>0</v>
      </c>
      <c r="P137" t="n">
        <v>0</v>
      </c>
      <c r="Q137" t="n">
        <v>0</v>
      </c>
      <c r="R137" s="2" t="inlineStr"/>
    </row>
    <row r="138" ht="15" customHeight="1">
      <c r="A138" t="inlineStr">
        <is>
          <t>A 18999-2021</t>
        </is>
      </c>
      <c r="B138" s="1" t="n">
        <v>44308</v>
      </c>
      <c r="C138" s="1" t="n">
        <v>45888</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42446-2023</t>
        </is>
      </c>
      <c r="B139" s="1" t="n">
        <v>45180</v>
      </c>
      <c r="C139" s="1" t="n">
        <v>45888</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17044-2025</t>
        </is>
      </c>
      <c r="B140" s="1" t="n">
        <v>45755.58891203703</v>
      </c>
      <c r="C140" s="1" t="n">
        <v>45888</v>
      </c>
      <c r="D140" t="inlineStr">
        <is>
          <t>VÄSTRA GÖTALANDS LÄN</t>
        </is>
      </c>
      <c r="E140" t="inlineStr">
        <is>
          <t>ALE</t>
        </is>
      </c>
      <c r="G140" t="n">
        <v>1.5</v>
      </c>
      <c r="H140" t="n">
        <v>0</v>
      </c>
      <c r="I140" t="n">
        <v>0</v>
      </c>
      <c r="J140" t="n">
        <v>0</v>
      </c>
      <c r="K140" t="n">
        <v>0</v>
      </c>
      <c r="L140" t="n">
        <v>0</v>
      </c>
      <c r="M140" t="n">
        <v>0</v>
      </c>
      <c r="N140" t="n">
        <v>0</v>
      </c>
      <c r="O140" t="n">
        <v>0</v>
      </c>
      <c r="P140" t="n">
        <v>0</v>
      </c>
      <c r="Q140" t="n">
        <v>0</v>
      </c>
      <c r="R140" s="2" t="inlineStr"/>
    </row>
    <row r="141" ht="15" customHeight="1">
      <c r="A141" t="inlineStr">
        <is>
          <t>A 55488-2022</t>
        </is>
      </c>
      <c r="B141" s="1" t="n">
        <v>44887</v>
      </c>
      <c r="C141" s="1" t="n">
        <v>45888</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53121-2024</t>
        </is>
      </c>
      <c r="B142" s="1" t="n">
        <v>45611</v>
      </c>
      <c r="C142" s="1" t="n">
        <v>45888</v>
      </c>
      <c r="D142" t="inlineStr">
        <is>
          <t>VÄSTRA GÖTALANDS LÄN</t>
        </is>
      </c>
      <c r="E142" t="inlineStr">
        <is>
          <t>ALE</t>
        </is>
      </c>
      <c r="G142" t="n">
        <v>3.4</v>
      </c>
      <c r="H142" t="n">
        <v>0</v>
      </c>
      <c r="I142" t="n">
        <v>0</v>
      </c>
      <c r="J142" t="n">
        <v>0</v>
      </c>
      <c r="K142" t="n">
        <v>0</v>
      </c>
      <c r="L142" t="n">
        <v>0</v>
      </c>
      <c r="M142" t="n">
        <v>0</v>
      </c>
      <c r="N142" t="n">
        <v>0</v>
      </c>
      <c r="O142" t="n">
        <v>0</v>
      </c>
      <c r="P142" t="n">
        <v>0</v>
      </c>
      <c r="Q142" t="n">
        <v>0</v>
      </c>
      <c r="R142" s="2" t="inlineStr"/>
    </row>
    <row r="143" ht="15" customHeight="1">
      <c r="A143" t="inlineStr">
        <is>
          <t>A 33237-2024</t>
        </is>
      </c>
      <c r="B143" s="1" t="n">
        <v>45518.59173611111</v>
      </c>
      <c r="C143" s="1" t="n">
        <v>45888</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12055-2022</t>
        </is>
      </c>
      <c r="B144" s="1" t="n">
        <v>44636</v>
      </c>
      <c r="C144" s="1" t="n">
        <v>45888</v>
      </c>
      <c r="D144" t="inlineStr">
        <is>
          <t>VÄSTRA GÖTALANDS LÄN</t>
        </is>
      </c>
      <c r="E144" t="inlineStr">
        <is>
          <t>ALE</t>
        </is>
      </c>
      <c r="G144" t="n">
        <v>0.2</v>
      </c>
      <c r="H144" t="n">
        <v>0</v>
      </c>
      <c r="I144" t="n">
        <v>0</v>
      </c>
      <c r="J144" t="n">
        <v>0</v>
      </c>
      <c r="K144" t="n">
        <v>0</v>
      </c>
      <c r="L144" t="n">
        <v>0</v>
      </c>
      <c r="M144" t="n">
        <v>0</v>
      </c>
      <c r="N144" t="n">
        <v>0</v>
      </c>
      <c r="O144" t="n">
        <v>0</v>
      </c>
      <c r="P144" t="n">
        <v>0</v>
      </c>
      <c r="Q144" t="n">
        <v>0</v>
      </c>
      <c r="R144" s="2" t="inlineStr"/>
    </row>
    <row r="145" ht="15" customHeight="1">
      <c r="A145" t="inlineStr">
        <is>
          <t>A 36763-2022</t>
        </is>
      </c>
      <c r="B145" s="1" t="n">
        <v>44805</v>
      </c>
      <c r="C145" s="1" t="n">
        <v>45888</v>
      </c>
      <c r="D145" t="inlineStr">
        <is>
          <t>VÄSTRA GÖTALANDS LÄN</t>
        </is>
      </c>
      <c r="E145" t="inlineStr">
        <is>
          <t>ALE</t>
        </is>
      </c>
      <c r="G145" t="n">
        <v>6.1</v>
      </c>
      <c r="H145" t="n">
        <v>0</v>
      </c>
      <c r="I145" t="n">
        <v>0</v>
      </c>
      <c r="J145" t="n">
        <v>0</v>
      </c>
      <c r="K145" t="n">
        <v>0</v>
      </c>
      <c r="L145" t="n">
        <v>0</v>
      </c>
      <c r="M145" t="n">
        <v>0</v>
      </c>
      <c r="N145" t="n">
        <v>0</v>
      </c>
      <c r="O145" t="n">
        <v>0</v>
      </c>
      <c r="P145" t="n">
        <v>0</v>
      </c>
      <c r="Q145" t="n">
        <v>0</v>
      </c>
      <c r="R145" s="2" t="inlineStr"/>
    </row>
    <row r="146" ht="15" customHeight="1">
      <c r="A146" t="inlineStr">
        <is>
          <t>A 3407-2023</t>
        </is>
      </c>
      <c r="B146" s="1" t="n">
        <v>44949.54909722223</v>
      </c>
      <c r="C146" s="1" t="n">
        <v>45888</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42660-2024</t>
        </is>
      </c>
      <c r="B147" s="1" t="n">
        <v>45566.33841435185</v>
      </c>
      <c r="C147" s="1" t="n">
        <v>45888</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15241-2025</t>
        </is>
      </c>
      <c r="B148" s="1" t="n">
        <v>45744.61255787037</v>
      </c>
      <c r="C148" s="1" t="n">
        <v>45888</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49680-2024</t>
        </is>
      </c>
      <c r="B149" s="1" t="n">
        <v>45596.66880787037</v>
      </c>
      <c r="C149" s="1" t="n">
        <v>45888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34153-2024</t>
        </is>
      </c>
      <c r="B150" s="1" t="n">
        <v>45524.38400462963</v>
      </c>
      <c r="C150" s="1" t="n">
        <v>45888</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c r="A151" t="inlineStr">
        <is>
          <t>A 14731-2022</t>
        </is>
      </c>
      <c r="B151" s="1" t="n">
        <v>44656</v>
      </c>
      <c r="C151" s="1" t="n">
        <v>45888</v>
      </c>
      <c r="D151" t="inlineStr">
        <is>
          <t>VÄSTRA GÖTALANDS LÄN</t>
        </is>
      </c>
      <c r="E151" t="inlineStr">
        <is>
          <t>ALE</t>
        </is>
      </c>
      <c r="G151" t="n">
        <v>1.8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2025-08-19T08:28:09Z</dcterms:created>
  <dcterms:modified xmlns:dcterms="http://purl.org/dc/terms/" xmlns:xsi="http://www.w3.org/2001/XMLSchema-instance" xsi:type="dcterms:W3CDTF">2025-08-19T08:28:09Z</dcterms:modified>
</cp:coreProperties>
</file>