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12138-2021</t>
        </is>
      </c>
      <c r="B2" s="1" t="n">
        <v>44266</v>
      </c>
      <c r="C2" s="1" t="n">
        <v>45276</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row>
    <row r="3" ht="15" customHeight="1">
      <c r="A3" t="inlineStr">
        <is>
          <t>A 36673-2023</t>
        </is>
      </c>
      <c r="B3" s="1" t="n">
        <v>45153</v>
      </c>
      <c r="C3" s="1" t="n">
        <v>45276</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row>
    <row r="4" ht="15" customHeight="1">
      <c r="A4" t="inlineStr">
        <is>
          <t>A 13111-2022</t>
        </is>
      </c>
      <c r="B4" s="1" t="n">
        <v>44644</v>
      </c>
      <c r="C4" s="1" t="n">
        <v>45276</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row>
    <row r="5" ht="15" customHeight="1">
      <c r="A5" t="inlineStr">
        <is>
          <t>A 11731-2019</t>
        </is>
      </c>
      <c r="B5" s="1" t="n">
        <v>43518</v>
      </c>
      <c r="C5" s="1" t="n">
        <v>45276</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row>
    <row r="6" ht="15" customHeight="1">
      <c r="A6" t="inlineStr">
        <is>
          <t>A 36325-2023</t>
        </is>
      </c>
      <c r="B6" s="1" t="n">
        <v>45152</v>
      </c>
      <c r="C6" s="1" t="n">
        <v>45276</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row>
    <row r="7" ht="15" customHeight="1">
      <c r="A7" t="inlineStr">
        <is>
          <t>A 32849-2023</t>
        </is>
      </c>
      <c r="B7" s="1" t="n">
        <v>45124</v>
      </c>
      <c r="C7" s="1" t="n">
        <v>45276</v>
      </c>
      <c r="D7" t="inlineStr">
        <is>
          <t>VÄSTRA GÖTALANDS LÄN</t>
        </is>
      </c>
      <c r="E7" t="inlineStr">
        <is>
          <t>ALE</t>
        </is>
      </c>
      <c r="G7" t="n">
        <v>5.6</v>
      </c>
      <c r="H7" t="n">
        <v>2</v>
      </c>
      <c r="I7" t="n">
        <v>5</v>
      </c>
      <c r="J7" t="n">
        <v>1</v>
      </c>
      <c r="K7" t="n">
        <v>0</v>
      </c>
      <c r="L7" t="n">
        <v>0</v>
      </c>
      <c r="M7" t="n">
        <v>0</v>
      </c>
      <c r="N7" t="n">
        <v>0</v>
      </c>
      <c r="O7" t="n">
        <v>1</v>
      </c>
      <c r="P7" t="n">
        <v>0</v>
      </c>
      <c r="Q7" t="n">
        <v>7</v>
      </c>
      <c r="R7" s="2" t="inlineStr">
        <is>
          <t>Spillkråka
Blåmossa
Kornknutmossa
Sotriska
Stubbspretmossa
Västlig hakmossa
Vanlig groda</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row>
    <row r="8" ht="15" customHeight="1">
      <c r="A8" t="inlineStr">
        <is>
          <t>A 25436-2019</t>
        </is>
      </c>
      <c r="B8" s="1" t="n">
        <v>43606</v>
      </c>
      <c r="C8" s="1" t="n">
        <v>45276</v>
      </c>
      <c r="D8" t="inlineStr">
        <is>
          <t>VÄSTRA GÖTALANDS LÄN</t>
        </is>
      </c>
      <c r="E8" t="inlineStr">
        <is>
          <t>ALE</t>
        </is>
      </c>
      <c r="G8" t="n">
        <v>1.1</v>
      </c>
      <c r="H8" t="n">
        <v>2</v>
      </c>
      <c r="I8" t="n">
        <v>4</v>
      </c>
      <c r="J8" t="n">
        <v>2</v>
      </c>
      <c r="K8" t="n">
        <v>0</v>
      </c>
      <c r="L8" t="n">
        <v>0</v>
      </c>
      <c r="M8" t="n">
        <v>0</v>
      </c>
      <c r="N8" t="n">
        <v>0</v>
      </c>
      <c r="O8" t="n">
        <v>2</v>
      </c>
      <c r="P8" t="n">
        <v>0</v>
      </c>
      <c r="Q8" t="n">
        <v>6</v>
      </c>
      <c r="R8" s="2" t="inlineStr">
        <is>
          <t>Spillkråka
Talltita
Blåmossa
Havstulpanlav
Kattfotslav
Klippfrullania</t>
        </is>
      </c>
      <c r="S8">
        <f>HYPERLINK("https://klasma.github.io/Logging_1440/artfynd/A 25436-2019 artfynd.xlsx", "A 25436-2019")</f>
        <v/>
      </c>
      <c r="T8">
        <f>HYPERLINK("https://klasma.github.io/Logging_1440/kartor/A 25436-2019 karta.png", "A 25436-2019")</f>
        <v/>
      </c>
      <c r="V8">
        <f>HYPERLINK("https://klasma.github.io/Logging_1440/klagomål/A 25436-2019 FSC-klagomål.docx", "A 25436-2019")</f>
        <v/>
      </c>
      <c r="W8">
        <f>HYPERLINK("https://klasma.github.io/Logging_1440/klagomålsmail/A 25436-2019 FSC-klagomål mail.docx", "A 25436-2019")</f>
        <v/>
      </c>
      <c r="X8">
        <f>HYPERLINK("https://klasma.github.io/Logging_1440/tillsyn/A 25436-2019 tillsynsbegäran.docx", "A 25436-2019")</f>
        <v/>
      </c>
      <c r="Y8">
        <f>HYPERLINK("https://klasma.github.io/Logging_1440/tillsynsmail/A 25436-2019 tillsynsbegäran mail.docx", "A 25436-2019")</f>
        <v/>
      </c>
    </row>
    <row r="9" ht="15" customHeight="1">
      <c r="A9" t="inlineStr">
        <is>
          <t>A 40983-2023</t>
        </is>
      </c>
      <c r="B9" s="1" t="n">
        <v>45173</v>
      </c>
      <c r="C9" s="1" t="n">
        <v>45276</v>
      </c>
      <c r="D9" t="inlineStr">
        <is>
          <t>VÄSTRA GÖTALANDS LÄN</t>
        </is>
      </c>
      <c r="E9" t="inlineStr">
        <is>
          <t>ALE</t>
        </is>
      </c>
      <c r="F9" t="inlineStr">
        <is>
          <t>Kyrkan</t>
        </is>
      </c>
      <c r="G9" t="n">
        <v>12.6</v>
      </c>
      <c r="H9" t="n">
        <v>2</v>
      </c>
      <c r="I9" t="n">
        <v>3</v>
      </c>
      <c r="J9" t="n">
        <v>3</v>
      </c>
      <c r="K9" t="n">
        <v>0</v>
      </c>
      <c r="L9" t="n">
        <v>0</v>
      </c>
      <c r="M9" t="n">
        <v>0</v>
      </c>
      <c r="N9" t="n">
        <v>0</v>
      </c>
      <c r="O9" t="n">
        <v>3</v>
      </c>
      <c r="P9" t="n">
        <v>0</v>
      </c>
      <c r="Q9" t="n">
        <v>6</v>
      </c>
      <c r="R9" s="2" t="inlineStr">
        <is>
          <t>Kortskaftad ärgspik
Spillkråka
Talltita
Klippfrullania
Rostfläck
Rävticka</t>
        </is>
      </c>
      <c r="S9">
        <f>HYPERLINK("https://klasma.github.io/Logging_1440/artfynd/A 40983-2023 artfynd.xlsx", "A 40983-2023")</f>
        <v/>
      </c>
      <c r="T9">
        <f>HYPERLINK("https://klasma.github.io/Logging_1440/kartor/A 40983-2023 karta.png", "A 40983-2023")</f>
        <v/>
      </c>
      <c r="V9">
        <f>HYPERLINK("https://klasma.github.io/Logging_1440/klagomål/A 40983-2023 FSC-klagomål.docx", "A 40983-2023")</f>
        <v/>
      </c>
      <c r="W9">
        <f>HYPERLINK("https://klasma.github.io/Logging_1440/klagomålsmail/A 40983-2023 FSC-klagomål mail.docx", "A 40983-2023")</f>
        <v/>
      </c>
      <c r="X9">
        <f>HYPERLINK("https://klasma.github.io/Logging_1440/tillsyn/A 40983-2023 tillsynsbegäran.docx", "A 40983-2023")</f>
        <v/>
      </c>
      <c r="Y9">
        <f>HYPERLINK("https://klasma.github.io/Logging_1440/tillsynsmail/A 40983-2023 tillsynsbegäran mail.docx", "A 40983-2023")</f>
        <v/>
      </c>
    </row>
    <row r="10" ht="15" customHeight="1">
      <c r="A10" t="inlineStr">
        <is>
          <t>A 5653-2019</t>
        </is>
      </c>
      <c r="B10" s="1" t="n">
        <v>43489</v>
      </c>
      <c r="C10" s="1" t="n">
        <v>45276</v>
      </c>
      <c r="D10" t="inlineStr">
        <is>
          <t>VÄSTRA GÖTALANDS LÄN</t>
        </is>
      </c>
      <c r="E10" t="inlineStr">
        <is>
          <t>ALE</t>
        </is>
      </c>
      <c r="G10" t="n">
        <v>4.7</v>
      </c>
      <c r="H10" t="n">
        <v>5</v>
      </c>
      <c r="I10" t="n">
        <v>1</v>
      </c>
      <c r="J10" t="n">
        <v>1</v>
      </c>
      <c r="K10" t="n">
        <v>1</v>
      </c>
      <c r="L10" t="n">
        <v>0</v>
      </c>
      <c r="M10" t="n">
        <v>0</v>
      </c>
      <c r="N10" t="n">
        <v>0</v>
      </c>
      <c r="O10" t="n">
        <v>2</v>
      </c>
      <c r="P10" t="n">
        <v>1</v>
      </c>
      <c r="Q10" t="n">
        <v>5</v>
      </c>
      <c r="R10" s="2" t="inlineStr">
        <is>
          <t>Knärot
Talltita
Plattlummer
Mattlummer
Revlummer</t>
        </is>
      </c>
      <c r="S10">
        <f>HYPERLINK("https://klasma.github.io/Logging_1440/artfynd/A 5653-2019 artfynd.xlsx", "A 5653-2019")</f>
        <v/>
      </c>
      <c r="T10">
        <f>HYPERLINK("https://klasma.github.io/Logging_1440/kartor/A 5653-2019 karta.png", "A 5653-2019")</f>
        <v/>
      </c>
      <c r="U10">
        <f>HYPERLINK("https://klasma.github.io/Logging_1440/knärot/A 5653-2019 karta knärot.png", "A 5653-2019")</f>
        <v/>
      </c>
      <c r="V10">
        <f>HYPERLINK("https://klasma.github.io/Logging_1440/klagomål/A 5653-2019 FSC-klagomål.docx", "A 5653-2019")</f>
        <v/>
      </c>
      <c r="W10">
        <f>HYPERLINK("https://klasma.github.io/Logging_1440/klagomålsmail/A 5653-2019 FSC-klagomål mail.docx", "A 5653-2019")</f>
        <v/>
      </c>
      <c r="X10">
        <f>HYPERLINK("https://klasma.github.io/Logging_1440/tillsyn/A 5653-2019 tillsynsbegäran.docx", "A 5653-2019")</f>
        <v/>
      </c>
      <c r="Y10">
        <f>HYPERLINK("https://klasma.github.io/Logging_1440/tillsynsmail/A 5653-2019 tillsynsbegäran mail.docx", "A 5653-2019")</f>
        <v/>
      </c>
    </row>
    <row r="11" ht="15" customHeight="1">
      <c r="A11" t="inlineStr">
        <is>
          <t>A 1456-2020</t>
        </is>
      </c>
      <c r="B11" s="1" t="n">
        <v>43843</v>
      </c>
      <c r="C11" s="1" t="n">
        <v>45276</v>
      </c>
      <c r="D11" t="inlineStr">
        <is>
          <t>VÄSTRA GÖTALANDS LÄN</t>
        </is>
      </c>
      <c r="E11" t="inlineStr">
        <is>
          <t>ALE</t>
        </is>
      </c>
      <c r="G11" t="n">
        <v>2</v>
      </c>
      <c r="H11" t="n">
        <v>2</v>
      </c>
      <c r="I11" t="n">
        <v>1</v>
      </c>
      <c r="J11" t="n">
        <v>2</v>
      </c>
      <c r="K11" t="n">
        <v>0</v>
      </c>
      <c r="L11" t="n">
        <v>0</v>
      </c>
      <c r="M11" t="n">
        <v>0</v>
      </c>
      <c r="N11" t="n">
        <v>0</v>
      </c>
      <c r="O11" t="n">
        <v>2</v>
      </c>
      <c r="P11" t="n">
        <v>0</v>
      </c>
      <c r="Q11" t="n">
        <v>3</v>
      </c>
      <c r="R11" s="2" t="inlineStr">
        <is>
          <t>Gulsparv
Spillkråka
Fällmossa</t>
        </is>
      </c>
      <c r="S11">
        <f>HYPERLINK("https://klasma.github.io/Logging_1440/artfynd/A 1456-2020 artfynd.xlsx", "A 1456-2020")</f>
        <v/>
      </c>
      <c r="T11">
        <f>HYPERLINK("https://klasma.github.io/Logging_1440/kartor/A 1456-2020 karta.png", "A 1456-2020")</f>
        <v/>
      </c>
      <c r="V11">
        <f>HYPERLINK("https://klasma.github.io/Logging_1440/klagomål/A 1456-2020 FSC-klagomål.docx", "A 1456-2020")</f>
        <v/>
      </c>
      <c r="W11">
        <f>HYPERLINK("https://klasma.github.io/Logging_1440/klagomålsmail/A 1456-2020 FSC-klagomål mail.docx", "A 1456-2020")</f>
        <v/>
      </c>
      <c r="X11">
        <f>HYPERLINK("https://klasma.github.io/Logging_1440/tillsyn/A 1456-2020 tillsynsbegäran.docx", "A 1456-2020")</f>
        <v/>
      </c>
      <c r="Y11">
        <f>HYPERLINK("https://klasma.github.io/Logging_1440/tillsynsmail/A 1456-2020 tillsynsbegäran mail.docx", "A 1456-2020")</f>
        <v/>
      </c>
    </row>
    <row r="12" ht="15" customHeight="1">
      <c r="A12" t="inlineStr">
        <is>
          <t>A 13029-2020</t>
        </is>
      </c>
      <c r="B12" s="1" t="n">
        <v>43900</v>
      </c>
      <c r="C12" s="1" t="n">
        <v>45276</v>
      </c>
      <c r="D12" t="inlineStr">
        <is>
          <t>VÄSTRA GÖTALANDS LÄN</t>
        </is>
      </c>
      <c r="E12" t="inlineStr">
        <is>
          <t>ALE</t>
        </is>
      </c>
      <c r="G12" t="n">
        <v>8.300000000000001</v>
      </c>
      <c r="H12" t="n">
        <v>1</v>
      </c>
      <c r="I12" t="n">
        <v>2</v>
      </c>
      <c r="J12" t="n">
        <v>0</v>
      </c>
      <c r="K12" t="n">
        <v>0</v>
      </c>
      <c r="L12" t="n">
        <v>0</v>
      </c>
      <c r="M12" t="n">
        <v>0</v>
      </c>
      <c r="N12" t="n">
        <v>0</v>
      </c>
      <c r="O12" t="n">
        <v>0</v>
      </c>
      <c r="P12" t="n">
        <v>0</v>
      </c>
      <c r="Q12" t="n">
        <v>3</v>
      </c>
      <c r="R12" s="2" t="inlineStr">
        <is>
          <t>Blåmossa
Västlig hakmossa
Revlummer</t>
        </is>
      </c>
      <c r="S12">
        <f>HYPERLINK("https://klasma.github.io/Logging_1440/artfynd/A 13029-2020 artfynd.xlsx", "A 13029-2020")</f>
        <v/>
      </c>
      <c r="T12">
        <f>HYPERLINK("https://klasma.github.io/Logging_1440/kartor/A 13029-2020 karta.png", "A 13029-2020")</f>
        <v/>
      </c>
      <c r="V12">
        <f>HYPERLINK("https://klasma.github.io/Logging_1440/klagomål/A 13029-2020 FSC-klagomål.docx", "A 13029-2020")</f>
        <v/>
      </c>
      <c r="W12">
        <f>HYPERLINK("https://klasma.github.io/Logging_1440/klagomålsmail/A 13029-2020 FSC-klagomål mail.docx", "A 13029-2020")</f>
        <v/>
      </c>
      <c r="X12">
        <f>HYPERLINK("https://klasma.github.io/Logging_1440/tillsyn/A 13029-2020 tillsynsbegäran.docx", "A 13029-2020")</f>
        <v/>
      </c>
      <c r="Y12">
        <f>HYPERLINK("https://klasma.github.io/Logging_1440/tillsynsmail/A 13029-2020 tillsynsbegäran mail.docx", "A 13029-2020")</f>
        <v/>
      </c>
    </row>
    <row r="13" ht="15" customHeight="1">
      <c r="A13" t="inlineStr">
        <is>
          <t>A 25432-2019</t>
        </is>
      </c>
      <c r="B13" s="1" t="n">
        <v>43606</v>
      </c>
      <c r="C13" s="1" t="n">
        <v>45276</v>
      </c>
      <c r="D13" t="inlineStr">
        <is>
          <t>VÄSTRA GÖTALANDS LÄN</t>
        </is>
      </c>
      <c r="E13" t="inlineStr">
        <is>
          <t>ALE</t>
        </is>
      </c>
      <c r="G13" t="n">
        <v>5</v>
      </c>
      <c r="H13" t="n">
        <v>0</v>
      </c>
      <c r="I13" t="n">
        <v>2</v>
      </c>
      <c r="J13" t="n">
        <v>0</v>
      </c>
      <c r="K13" t="n">
        <v>0</v>
      </c>
      <c r="L13" t="n">
        <v>0</v>
      </c>
      <c r="M13" t="n">
        <v>0</v>
      </c>
      <c r="N13" t="n">
        <v>0</v>
      </c>
      <c r="O13" t="n">
        <v>0</v>
      </c>
      <c r="P13" t="n">
        <v>0</v>
      </c>
      <c r="Q13" t="n">
        <v>2</v>
      </c>
      <c r="R13" s="2" t="inlineStr">
        <is>
          <t>Blåmossa
Klippfrullania</t>
        </is>
      </c>
      <c r="S13">
        <f>HYPERLINK("https://klasma.github.io/Logging_1440/artfynd/A 25432-2019 artfynd.xlsx", "A 25432-2019")</f>
        <v/>
      </c>
      <c r="T13">
        <f>HYPERLINK("https://klasma.github.io/Logging_1440/kartor/A 25432-2019 karta.png", "A 25432-2019")</f>
        <v/>
      </c>
      <c r="V13">
        <f>HYPERLINK("https://klasma.github.io/Logging_1440/klagomål/A 25432-2019 FSC-klagomål.docx", "A 25432-2019")</f>
        <v/>
      </c>
      <c r="W13">
        <f>HYPERLINK("https://klasma.github.io/Logging_1440/klagomålsmail/A 25432-2019 FSC-klagomål mail.docx", "A 25432-2019")</f>
        <v/>
      </c>
      <c r="X13">
        <f>HYPERLINK("https://klasma.github.io/Logging_1440/tillsyn/A 25432-2019 tillsynsbegäran.docx", "A 25432-2019")</f>
        <v/>
      </c>
      <c r="Y13">
        <f>HYPERLINK("https://klasma.github.io/Logging_1440/tillsynsmail/A 25432-2019 tillsynsbegäran mail.docx", "A 25432-2019")</f>
        <v/>
      </c>
    </row>
    <row r="14" ht="15" customHeight="1">
      <c r="A14" t="inlineStr">
        <is>
          <t>A 38382-2019</t>
        </is>
      </c>
      <c r="B14" s="1" t="n">
        <v>43685</v>
      </c>
      <c r="C14" s="1" t="n">
        <v>45276</v>
      </c>
      <c r="D14" t="inlineStr">
        <is>
          <t>VÄSTRA GÖTALANDS LÄN</t>
        </is>
      </c>
      <c r="E14" t="inlineStr">
        <is>
          <t>ALE</t>
        </is>
      </c>
      <c r="G14" t="n">
        <v>1.3</v>
      </c>
      <c r="H14" t="n">
        <v>2</v>
      </c>
      <c r="I14" t="n">
        <v>0</v>
      </c>
      <c r="J14" t="n">
        <v>1</v>
      </c>
      <c r="K14" t="n">
        <v>0</v>
      </c>
      <c r="L14" t="n">
        <v>0</v>
      </c>
      <c r="M14" t="n">
        <v>0</v>
      </c>
      <c r="N14" t="n">
        <v>0</v>
      </c>
      <c r="O14" t="n">
        <v>1</v>
      </c>
      <c r="P14" t="n">
        <v>0</v>
      </c>
      <c r="Q14" t="n">
        <v>2</v>
      </c>
      <c r="R14" s="2" t="inlineStr">
        <is>
          <t>Spillkråka
Revlummer</t>
        </is>
      </c>
      <c r="S14">
        <f>HYPERLINK("https://klasma.github.io/Logging_1440/artfynd/A 38382-2019 artfynd.xlsx", "A 38382-2019")</f>
        <v/>
      </c>
      <c r="T14">
        <f>HYPERLINK("https://klasma.github.io/Logging_1440/kartor/A 38382-2019 karta.png", "A 38382-2019")</f>
        <v/>
      </c>
      <c r="V14">
        <f>HYPERLINK("https://klasma.github.io/Logging_1440/klagomål/A 38382-2019 FSC-klagomål.docx", "A 38382-2019")</f>
        <v/>
      </c>
      <c r="W14">
        <f>HYPERLINK("https://klasma.github.io/Logging_1440/klagomålsmail/A 38382-2019 FSC-klagomål mail.docx", "A 38382-2019")</f>
        <v/>
      </c>
      <c r="X14">
        <f>HYPERLINK("https://klasma.github.io/Logging_1440/tillsyn/A 38382-2019 tillsynsbegäran.docx", "A 38382-2019")</f>
        <v/>
      </c>
      <c r="Y14">
        <f>HYPERLINK("https://klasma.github.io/Logging_1440/tillsynsmail/A 38382-2019 tillsynsbegäran mail.docx", "A 38382-2019")</f>
        <v/>
      </c>
    </row>
    <row r="15" ht="15" customHeight="1">
      <c r="A15" t="inlineStr">
        <is>
          <t>A 67849-2018</t>
        </is>
      </c>
      <c r="B15" s="1" t="n">
        <v>43440</v>
      </c>
      <c r="C15" s="1" t="n">
        <v>45276</v>
      </c>
      <c r="D15" t="inlineStr">
        <is>
          <t>VÄSTRA GÖTALANDS LÄN</t>
        </is>
      </c>
      <c r="E15" t="inlineStr">
        <is>
          <t>ALE</t>
        </is>
      </c>
      <c r="G15" t="n">
        <v>4</v>
      </c>
      <c r="H15" t="n">
        <v>0</v>
      </c>
      <c r="I15" t="n">
        <v>1</v>
      </c>
      <c r="J15" t="n">
        <v>0</v>
      </c>
      <c r="K15" t="n">
        <v>0</v>
      </c>
      <c r="L15" t="n">
        <v>0</v>
      </c>
      <c r="M15" t="n">
        <v>0</v>
      </c>
      <c r="N15" t="n">
        <v>0</v>
      </c>
      <c r="O15" t="n">
        <v>0</v>
      </c>
      <c r="P15" t="n">
        <v>0</v>
      </c>
      <c r="Q15" t="n">
        <v>1</v>
      </c>
      <c r="R15" s="2" t="inlineStr">
        <is>
          <t>Kambräken</t>
        </is>
      </c>
      <c r="S15">
        <f>HYPERLINK("https://klasma.github.io/Logging_1440/artfynd/A 67849-2018 artfynd.xlsx", "A 67849-2018")</f>
        <v/>
      </c>
      <c r="T15">
        <f>HYPERLINK("https://klasma.github.io/Logging_1440/kartor/A 67849-2018 karta.png", "A 67849-2018")</f>
        <v/>
      </c>
      <c r="V15">
        <f>HYPERLINK("https://klasma.github.io/Logging_1440/klagomål/A 67849-2018 FSC-klagomål.docx", "A 67849-2018")</f>
        <v/>
      </c>
      <c r="W15">
        <f>HYPERLINK("https://klasma.github.io/Logging_1440/klagomålsmail/A 67849-2018 FSC-klagomål mail.docx", "A 67849-2018")</f>
        <v/>
      </c>
      <c r="X15">
        <f>HYPERLINK("https://klasma.github.io/Logging_1440/tillsyn/A 67849-2018 tillsynsbegäran.docx", "A 67849-2018")</f>
        <v/>
      </c>
      <c r="Y15">
        <f>HYPERLINK("https://klasma.github.io/Logging_1440/tillsynsmail/A 67849-2018 tillsynsbegäran mail.docx", "A 67849-2018")</f>
        <v/>
      </c>
    </row>
    <row r="16" ht="15" customHeight="1">
      <c r="A16" t="inlineStr">
        <is>
          <t>A 25391-2019</t>
        </is>
      </c>
      <c r="B16" s="1" t="n">
        <v>43606</v>
      </c>
      <c r="C16" s="1" t="n">
        <v>45276</v>
      </c>
      <c r="D16" t="inlineStr">
        <is>
          <t>VÄSTRA GÖTALANDS LÄN</t>
        </is>
      </c>
      <c r="E16" t="inlineStr">
        <is>
          <t>ALE</t>
        </is>
      </c>
      <c r="G16" t="n">
        <v>10.1</v>
      </c>
      <c r="H16" t="n">
        <v>1</v>
      </c>
      <c r="I16" t="n">
        <v>0</v>
      </c>
      <c r="J16" t="n">
        <v>1</v>
      </c>
      <c r="K16" t="n">
        <v>0</v>
      </c>
      <c r="L16" t="n">
        <v>0</v>
      </c>
      <c r="M16" t="n">
        <v>0</v>
      </c>
      <c r="N16" t="n">
        <v>0</v>
      </c>
      <c r="O16" t="n">
        <v>1</v>
      </c>
      <c r="P16" t="n">
        <v>0</v>
      </c>
      <c r="Q16" t="n">
        <v>1</v>
      </c>
      <c r="R16" s="2" t="inlineStr">
        <is>
          <t>Kungsörn</t>
        </is>
      </c>
      <c r="S16">
        <f>HYPERLINK("https://klasma.github.io/Logging_1440/artfynd/A 25391-2019 artfynd.xlsx", "A 25391-2019")</f>
        <v/>
      </c>
      <c r="T16">
        <f>HYPERLINK("https://klasma.github.io/Logging_1440/kartor/A 25391-2019 karta.png", "A 25391-2019")</f>
        <v/>
      </c>
      <c r="V16">
        <f>HYPERLINK("https://klasma.github.io/Logging_1440/klagomål/A 25391-2019 FSC-klagomål.docx", "A 25391-2019")</f>
        <v/>
      </c>
      <c r="W16">
        <f>HYPERLINK("https://klasma.github.io/Logging_1440/klagomålsmail/A 25391-2019 FSC-klagomål mail.docx", "A 25391-2019")</f>
        <v/>
      </c>
      <c r="X16">
        <f>HYPERLINK("https://klasma.github.io/Logging_1440/tillsyn/A 25391-2019 tillsynsbegäran.docx", "A 25391-2019")</f>
        <v/>
      </c>
      <c r="Y16">
        <f>HYPERLINK("https://klasma.github.io/Logging_1440/tillsynsmail/A 25391-2019 tillsynsbegäran mail.docx", "A 25391-2019")</f>
        <v/>
      </c>
    </row>
    <row r="17" ht="15" customHeight="1">
      <c r="A17" t="inlineStr">
        <is>
          <t>A 53693-2019</t>
        </is>
      </c>
      <c r="B17" s="1" t="n">
        <v>43749</v>
      </c>
      <c r="C17" s="1" t="n">
        <v>45276</v>
      </c>
      <c r="D17" t="inlineStr">
        <is>
          <t>VÄSTRA GÖTALANDS LÄN</t>
        </is>
      </c>
      <c r="E17" t="inlineStr">
        <is>
          <t>ALE</t>
        </is>
      </c>
      <c r="G17" t="n">
        <v>11.2</v>
      </c>
      <c r="H17" t="n">
        <v>0</v>
      </c>
      <c r="I17" t="n">
        <v>1</v>
      </c>
      <c r="J17" t="n">
        <v>0</v>
      </c>
      <c r="K17" t="n">
        <v>0</v>
      </c>
      <c r="L17" t="n">
        <v>0</v>
      </c>
      <c r="M17" t="n">
        <v>0</v>
      </c>
      <c r="N17" t="n">
        <v>0</v>
      </c>
      <c r="O17" t="n">
        <v>0</v>
      </c>
      <c r="P17" t="n">
        <v>0</v>
      </c>
      <c r="Q17" t="n">
        <v>1</v>
      </c>
      <c r="R17" s="2" t="inlineStr">
        <is>
          <t>Havstulpanlav</t>
        </is>
      </c>
      <c r="S17">
        <f>HYPERLINK("https://klasma.github.io/Logging_1440/artfynd/A 53693-2019 artfynd.xlsx", "A 53693-2019")</f>
        <v/>
      </c>
      <c r="T17">
        <f>HYPERLINK("https://klasma.github.io/Logging_1440/kartor/A 53693-2019 karta.png", "A 53693-2019")</f>
        <v/>
      </c>
      <c r="V17">
        <f>HYPERLINK("https://klasma.github.io/Logging_1440/klagomål/A 53693-2019 FSC-klagomål.docx", "A 53693-2019")</f>
        <v/>
      </c>
      <c r="W17">
        <f>HYPERLINK("https://klasma.github.io/Logging_1440/klagomålsmail/A 53693-2019 FSC-klagomål mail.docx", "A 53693-2019")</f>
        <v/>
      </c>
      <c r="X17">
        <f>HYPERLINK("https://klasma.github.io/Logging_1440/tillsyn/A 53693-2019 tillsynsbegäran.docx", "A 53693-2019")</f>
        <v/>
      </c>
      <c r="Y17">
        <f>HYPERLINK("https://klasma.github.io/Logging_1440/tillsynsmail/A 53693-2019 tillsynsbegäran mail.docx", "A 53693-2019")</f>
        <v/>
      </c>
    </row>
    <row r="18" ht="15" customHeight="1">
      <c r="A18" t="inlineStr">
        <is>
          <t>A 23339-2023</t>
        </is>
      </c>
      <c r="B18" s="1" t="n">
        <v>45076</v>
      </c>
      <c r="C18" s="1" t="n">
        <v>45276</v>
      </c>
      <c r="D18" t="inlineStr">
        <is>
          <t>VÄSTRA GÖTALANDS LÄN</t>
        </is>
      </c>
      <c r="E18" t="inlineStr">
        <is>
          <t>ALE</t>
        </is>
      </c>
      <c r="G18" t="n">
        <v>7.4</v>
      </c>
      <c r="H18" t="n">
        <v>1</v>
      </c>
      <c r="I18" t="n">
        <v>0</v>
      </c>
      <c r="J18" t="n">
        <v>0</v>
      </c>
      <c r="K18" t="n">
        <v>0</v>
      </c>
      <c r="L18" t="n">
        <v>0</v>
      </c>
      <c r="M18" t="n">
        <v>0</v>
      </c>
      <c r="N18" t="n">
        <v>0</v>
      </c>
      <c r="O18" t="n">
        <v>0</v>
      </c>
      <c r="P18" t="n">
        <v>0</v>
      </c>
      <c r="Q18" t="n">
        <v>1</v>
      </c>
      <c r="R18" s="2" t="inlineStr">
        <is>
          <t>Revlummer</t>
        </is>
      </c>
      <c r="S18">
        <f>HYPERLINK("https://klasma.github.io/Logging_1440/artfynd/A 23339-2023 artfynd.xlsx", "A 23339-2023")</f>
        <v/>
      </c>
      <c r="T18">
        <f>HYPERLINK("https://klasma.github.io/Logging_1440/kartor/A 23339-2023 karta.png", "A 23339-2023")</f>
        <v/>
      </c>
      <c r="V18">
        <f>HYPERLINK("https://klasma.github.io/Logging_1440/klagomål/A 23339-2023 FSC-klagomål.docx", "A 23339-2023")</f>
        <v/>
      </c>
      <c r="W18">
        <f>HYPERLINK("https://klasma.github.io/Logging_1440/klagomålsmail/A 23339-2023 FSC-klagomål mail.docx", "A 23339-2023")</f>
        <v/>
      </c>
      <c r="X18">
        <f>HYPERLINK("https://klasma.github.io/Logging_1440/tillsyn/A 23339-2023 tillsynsbegäran.docx", "A 23339-2023")</f>
        <v/>
      </c>
      <c r="Y18">
        <f>HYPERLINK("https://klasma.github.io/Logging_1440/tillsynsmail/A 23339-2023 tillsynsbegäran mail.docx", "A 23339-2023")</f>
        <v/>
      </c>
    </row>
    <row r="19" ht="15" customHeight="1">
      <c r="A19" t="inlineStr">
        <is>
          <t>A 45010-2018</t>
        </is>
      </c>
      <c r="B19" s="1" t="n">
        <v>43361</v>
      </c>
      <c r="C19" s="1" t="n">
        <v>45276</v>
      </c>
      <c r="D19" t="inlineStr">
        <is>
          <t>VÄSTRA GÖTALANDS LÄN</t>
        </is>
      </c>
      <c r="E19" t="inlineStr">
        <is>
          <t>ALE</t>
        </is>
      </c>
      <c r="G19" t="n">
        <v>2.6</v>
      </c>
      <c r="H19" t="n">
        <v>0</v>
      </c>
      <c r="I19" t="n">
        <v>0</v>
      </c>
      <c r="J19" t="n">
        <v>0</v>
      </c>
      <c r="K19" t="n">
        <v>0</v>
      </c>
      <c r="L19" t="n">
        <v>0</v>
      </c>
      <c r="M19" t="n">
        <v>0</v>
      </c>
      <c r="N19" t="n">
        <v>0</v>
      </c>
      <c r="O19" t="n">
        <v>0</v>
      </c>
      <c r="P19" t="n">
        <v>0</v>
      </c>
      <c r="Q19" t="n">
        <v>0</v>
      </c>
      <c r="R19" s="2" t="inlineStr"/>
    </row>
    <row r="20" ht="15" customHeight="1">
      <c r="A20" t="inlineStr">
        <is>
          <t>A 46353-2018</t>
        </is>
      </c>
      <c r="B20" s="1" t="n">
        <v>43367</v>
      </c>
      <c r="C20" s="1" t="n">
        <v>45276</v>
      </c>
      <c r="D20" t="inlineStr">
        <is>
          <t>VÄSTRA GÖTALANDS LÄN</t>
        </is>
      </c>
      <c r="E20" t="inlineStr">
        <is>
          <t>ALE</t>
        </is>
      </c>
      <c r="G20" t="n">
        <v>1</v>
      </c>
      <c r="H20" t="n">
        <v>0</v>
      </c>
      <c r="I20" t="n">
        <v>0</v>
      </c>
      <c r="J20" t="n">
        <v>0</v>
      </c>
      <c r="K20" t="n">
        <v>0</v>
      </c>
      <c r="L20" t="n">
        <v>0</v>
      </c>
      <c r="M20" t="n">
        <v>0</v>
      </c>
      <c r="N20" t="n">
        <v>0</v>
      </c>
      <c r="O20" t="n">
        <v>0</v>
      </c>
      <c r="P20" t="n">
        <v>0</v>
      </c>
      <c r="Q20" t="n">
        <v>0</v>
      </c>
      <c r="R20" s="2" t="inlineStr"/>
    </row>
    <row r="21" ht="15" customHeight="1">
      <c r="A21" t="inlineStr">
        <is>
          <t>A 51458-2018</t>
        </is>
      </c>
      <c r="B21" s="1" t="n">
        <v>43383</v>
      </c>
      <c r="C21" s="1" t="n">
        <v>45276</v>
      </c>
      <c r="D21" t="inlineStr">
        <is>
          <t>VÄSTRA GÖTALANDS LÄN</t>
        </is>
      </c>
      <c r="E21" t="inlineStr">
        <is>
          <t>ALE</t>
        </is>
      </c>
      <c r="G21" t="n">
        <v>13.9</v>
      </c>
      <c r="H21" t="n">
        <v>0</v>
      </c>
      <c r="I21" t="n">
        <v>0</v>
      </c>
      <c r="J21" t="n">
        <v>0</v>
      </c>
      <c r="K21" t="n">
        <v>0</v>
      </c>
      <c r="L21" t="n">
        <v>0</v>
      </c>
      <c r="M21" t="n">
        <v>0</v>
      </c>
      <c r="N21" t="n">
        <v>0</v>
      </c>
      <c r="O21" t="n">
        <v>0</v>
      </c>
      <c r="P21" t="n">
        <v>0</v>
      </c>
      <c r="Q21" t="n">
        <v>0</v>
      </c>
      <c r="R21" s="2" t="inlineStr"/>
    </row>
    <row r="22" ht="15" customHeight="1">
      <c r="A22" t="inlineStr">
        <is>
          <t>A 52043-2018</t>
        </is>
      </c>
      <c r="B22" s="1" t="n">
        <v>43385</v>
      </c>
      <c r="C22" s="1" t="n">
        <v>45276</v>
      </c>
      <c r="D22" t="inlineStr">
        <is>
          <t>VÄSTRA GÖTALANDS LÄN</t>
        </is>
      </c>
      <c r="E22" t="inlineStr">
        <is>
          <t>ALE</t>
        </is>
      </c>
      <c r="G22" t="n">
        <v>0.4</v>
      </c>
      <c r="H22" t="n">
        <v>0</v>
      </c>
      <c r="I22" t="n">
        <v>0</v>
      </c>
      <c r="J22" t="n">
        <v>0</v>
      </c>
      <c r="K22" t="n">
        <v>0</v>
      </c>
      <c r="L22" t="n">
        <v>0</v>
      </c>
      <c r="M22" t="n">
        <v>0</v>
      </c>
      <c r="N22" t="n">
        <v>0</v>
      </c>
      <c r="O22" t="n">
        <v>0</v>
      </c>
      <c r="P22" t="n">
        <v>0</v>
      </c>
      <c r="Q22" t="n">
        <v>0</v>
      </c>
      <c r="R22" s="2" t="inlineStr"/>
    </row>
    <row r="23" ht="15" customHeight="1">
      <c r="A23" t="inlineStr">
        <is>
          <t>A 58589-2018</t>
        </is>
      </c>
      <c r="B23" s="1" t="n">
        <v>43410</v>
      </c>
      <c r="C23" s="1" t="n">
        <v>45276</v>
      </c>
      <c r="D23" t="inlineStr">
        <is>
          <t>VÄSTRA GÖTALANDS LÄN</t>
        </is>
      </c>
      <c r="E23" t="inlineStr">
        <is>
          <t>ALE</t>
        </is>
      </c>
      <c r="G23" t="n">
        <v>4.6</v>
      </c>
      <c r="H23" t="n">
        <v>0</v>
      </c>
      <c r="I23" t="n">
        <v>0</v>
      </c>
      <c r="J23" t="n">
        <v>0</v>
      </c>
      <c r="K23" t="n">
        <v>0</v>
      </c>
      <c r="L23" t="n">
        <v>0</v>
      </c>
      <c r="M23" t="n">
        <v>0</v>
      </c>
      <c r="N23" t="n">
        <v>0</v>
      </c>
      <c r="O23" t="n">
        <v>0</v>
      </c>
      <c r="P23" t="n">
        <v>0</v>
      </c>
      <c r="Q23" t="n">
        <v>0</v>
      </c>
      <c r="R23" s="2" t="inlineStr"/>
    </row>
    <row r="24" ht="15" customHeight="1">
      <c r="A24" t="inlineStr">
        <is>
          <t>A 59319-2018</t>
        </is>
      </c>
      <c r="B24" s="1" t="n">
        <v>43411</v>
      </c>
      <c r="C24" s="1" t="n">
        <v>45276</v>
      </c>
      <c r="D24" t="inlineStr">
        <is>
          <t>VÄSTRA GÖTALANDS LÄN</t>
        </is>
      </c>
      <c r="E24" t="inlineStr">
        <is>
          <t>ALE</t>
        </is>
      </c>
      <c r="G24" t="n">
        <v>12.5</v>
      </c>
      <c r="H24" t="n">
        <v>0</v>
      </c>
      <c r="I24" t="n">
        <v>0</v>
      </c>
      <c r="J24" t="n">
        <v>0</v>
      </c>
      <c r="K24" t="n">
        <v>0</v>
      </c>
      <c r="L24" t="n">
        <v>0</v>
      </c>
      <c r="M24" t="n">
        <v>0</v>
      </c>
      <c r="N24" t="n">
        <v>0</v>
      </c>
      <c r="O24" t="n">
        <v>0</v>
      </c>
      <c r="P24" t="n">
        <v>0</v>
      </c>
      <c r="Q24" t="n">
        <v>0</v>
      </c>
      <c r="R24" s="2" t="inlineStr"/>
    </row>
    <row r="25" ht="15" customHeight="1">
      <c r="A25" t="inlineStr">
        <is>
          <t>A 67125-2018</t>
        </is>
      </c>
      <c r="B25" s="1" t="n">
        <v>43438</v>
      </c>
      <c r="C25" s="1" t="n">
        <v>45276</v>
      </c>
      <c r="D25" t="inlineStr">
        <is>
          <t>VÄSTRA GÖTALANDS LÄN</t>
        </is>
      </c>
      <c r="E25" t="inlineStr">
        <is>
          <t>ALE</t>
        </is>
      </c>
      <c r="G25" t="n">
        <v>10.4</v>
      </c>
      <c r="H25" t="n">
        <v>0</v>
      </c>
      <c r="I25" t="n">
        <v>0</v>
      </c>
      <c r="J25" t="n">
        <v>0</v>
      </c>
      <c r="K25" t="n">
        <v>0</v>
      </c>
      <c r="L25" t="n">
        <v>0</v>
      </c>
      <c r="M25" t="n">
        <v>0</v>
      </c>
      <c r="N25" t="n">
        <v>0</v>
      </c>
      <c r="O25" t="n">
        <v>0</v>
      </c>
      <c r="P25" t="n">
        <v>0</v>
      </c>
      <c r="Q25" t="n">
        <v>0</v>
      </c>
      <c r="R25" s="2" t="inlineStr"/>
    </row>
    <row r="26" ht="15" customHeight="1">
      <c r="A26" t="inlineStr">
        <is>
          <t>A 67877-2018</t>
        </is>
      </c>
      <c r="B26" s="1" t="n">
        <v>43440</v>
      </c>
      <c r="C26" s="1" t="n">
        <v>45276</v>
      </c>
      <c r="D26" t="inlineStr">
        <is>
          <t>VÄSTRA GÖTALANDS LÄN</t>
        </is>
      </c>
      <c r="E26" t="inlineStr">
        <is>
          <t>ALE</t>
        </is>
      </c>
      <c r="G26" t="n">
        <v>3.5</v>
      </c>
      <c r="H26" t="n">
        <v>0</v>
      </c>
      <c r="I26" t="n">
        <v>0</v>
      </c>
      <c r="J26" t="n">
        <v>0</v>
      </c>
      <c r="K26" t="n">
        <v>0</v>
      </c>
      <c r="L26" t="n">
        <v>0</v>
      </c>
      <c r="M26" t="n">
        <v>0</v>
      </c>
      <c r="N26" t="n">
        <v>0</v>
      </c>
      <c r="O26" t="n">
        <v>0</v>
      </c>
      <c r="P26" t="n">
        <v>0</v>
      </c>
      <c r="Q26" t="n">
        <v>0</v>
      </c>
      <c r="R26" s="2" t="inlineStr"/>
    </row>
    <row r="27" ht="15" customHeight="1">
      <c r="A27" t="inlineStr">
        <is>
          <t>A 67859-2018</t>
        </is>
      </c>
      <c r="B27" s="1" t="n">
        <v>43440</v>
      </c>
      <c r="C27" s="1" t="n">
        <v>45276</v>
      </c>
      <c r="D27" t="inlineStr">
        <is>
          <t>VÄSTRA GÖTALANDS LÄN</t>
        </is>
      </c>
      <c r="E27" t="inlineStr">
        <is>
          <t>ALE</t>
        </is>
      </c>
      <c r="G27" t="n">
        <v>1.2</v>
      </c>
      <c r="H27" t="n">
        <v>0</v>
      </c>
      <c r="I27" t="n">
        <v>0</v>
      </c>
      <c r="J27" t="n">
        <v>0</v>
      </c>
      <c r="K27" t="n">
        <v>0</v>
      </c>
      <c r="L27" t="n">
        <v>0</v>
      </c>
      <c r="M27" t="n">
        <v>0</v>
      </c>
      <c r="N27" t="n">
        <v>0</v>
      </c>
      <c r="O27" t="n">
        <v>0</v>
      </c>
      <c r="P27" t="n">
        <v>0</v>
      </c>
      <c r="Q27" t="n">
        <v>0</v>
      </c>
      <c r="R27" s="2" t="inlineStr"/>
    </row>
    <row r="28" ht="15" customHeight="1">
      <c r="A28" t="inlineStr">
        <is>
          <t>A 756-2019</t>
        </is>
      </c>
      <c r="B28" s="1" t="n">
        <v>43471</v>
      </c>
      <c r="C28" s="1" t="n">
        <v>45276</v>
      </c>
      <c r="D28" t="inlineStr">
        <is>
          <t>VÄSTRA GÖTALANDS LÄN</t>
        </is>
      </c>
      <c r="E28" t="inlineStr">
        <is>
          <t>ALE</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2149-2019</t>
        </is>
      </c>
      <c r="B29" s="1" t="n">
        <v>43475</v>
      </c>
      <c r="C29" s="1" t="n">
        <v>45276</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2485-2019</t>
        </is>
      </c>
      <c r="B30" s="1" t="n">
        <v>43476</v>
      </c>
      <c r="C30" s="1" t="n">
        <v>45276</v>
      </c>
      <c r="D30" t="inlineStr">
        <is>
          <t>VÄSTRA GÖTALANDS LÄN</t>
        </is>
      </c>
      <c r="E30" t="inlineStr">
        <is>
          <t>ALE</t>
        </is>
      </c>
      <c r="G30" t="n">
        <v>0.5</v>
      </c>
      <c r="H30" t="n">
        <v>0</v>
      </c>
      <c r="I30" t="n">
        <v>0</v>
      </c>
      <c r="J30" t="n">
        <v>0</v>
      </c>
      <c r="K30" t="n">
        <v>0</v>
      </c>
      <c r="L30" t="n">
        <v>0</v>
      </c>
      <c r="M30" t="n">
        <v>0</v>
      </c>
      <c r="N30" t="n">
        <v>0</v>
      </c>
      <c r="O30" t="n">
        <v>0</v>
      </c>
      <c r="P30" t="n">
        <v>0</v>
      </c>
      <c r="Q30" t="n">
        <v>0</v>
      </c>
      <c r="R30" s="2" t="inlineStr"/>
    </row>
    <row r="31" ht="15" customHeight="1">
      <c r="A31" t="inlineStr">
        <is>
          <t>A 4350-2019</t>
        </is>
      </c>
      <c r="B31" s="1" t="n">
        <v>43479</v>
      </c>
      <c r="C31" s="1" t="n">
        <v>45276</v>
      </c>
      <c r="D31" t="inlineStr">
        <is>
          <t>VÄSTRA GÖTALANDS LÄN</t>
        </is>
      </c>
      <c r="E31" t="inlineStr">
        <is>
          <t>ALE</t>
        </is>
      </c>
      <c r="G31" t="n">
        <v>7</v>
      </c>
      <c r="H31" t="n">
        <v>0</v>
      </c>
      <c r="I31" t="n">
        <v>0</v>
      </c>
      <c r="J31" t="n">
        <v>0</v>
      </c>
      <c r="K31" t="n">
        <v>0</v>
      </c>
      <c r="L31" t="n">
        <v>0</v>
      </c>
      <c r="M31" t="n">
        <v>0</v>
      </c>
      <c r="N31" t="n">
        <v>0</v>
      </c>
      <c r="O31" t="n">
        <v>0</v>
      </c>
      <c r="P31" t="n">
        <v>0</v>
      </c>
      <c r="Q31" t="n">
        <v>0</v>
      </c>
      <c r="R31" s="2" t="inlineStr"/>
    </row>
    <row r="32" ht="15" customHeight="1">
      <c r="A32" t="inlineStr">
        <is>
          <t>A 3560-2019</t>
        </is>
      </c>
      <c r="B32" s="1" t="n">
        <v>43481</v>
      </c>
      <c r="C32" s="1" t="n">
        <v>45276</v>
      </c>
      <c r="D32" t="inlineStr">
        <is>
          <t>VÄSTRA GÖTALANDS LÄN</t>
        </is>
      </c>
      <c r="E32" t="inlineStr">
        <is>
          <t>ALE</t>
        </is>
      </c>
      <c r="G32" t="n">
        <v>0.2</v>
      </c>
      <c r="H32" t="n">
        <v>0</v>
      </c>
      <c r="I32" t="n">
        <v>0</v>
      </c>
      <c r="J32" t="n">
        <v>0</v>
      </c>
      <c r="K32" t="n">
        <v>0</v>
      </c>
      <c r="L32" t="n">
        <v>0</v>
      </c>
      <c r="M32" t="n">
        <v>0</v>
      </c>
      <c r="N32" t="n">
        <v>0</v>
      </c>
      <c r="O32" t="n">
        <v>0</v>
      </c>
      <c r="P32" t="n">
        <v>0</v>
      </c>
      <c r="Q32" t="n">
        <v>0</v>
      </c>
      <c r="R32" s="2" t="inlineStr"/>
    </row>
    <row r="33" ht="15" customHeight="1">
      <c r="A33" t="inlineStr">
        <is>
          <t>A 4367-2019</t>
        </is>
      </c>
      <c r="B33" s="1" t="n">
        <v>43483</v>
      </c>
      <c r="C33" s="1" t="n">
        <v>45276</v>
      </c>
      <c r="D33" t="inlineStr">
        <is>
          <t>VÄSTRA GÖTALANDS LÄN</t>
        </is>
      </c>
      <c r="E33" t="inlineStr">
        <is>
          <t>ALE</t>
        </is>
      </c>
      <c r="G33" t="n">
        <v>0.6</v>
      </c>
      <c r="H33" t="n">
        <v>0</v>
      </c>
      <c r="I33" t="n">
        <v>0</v>
      </c>
      <c r="J33" t="n">
        <v>0</v>
      </c>
      <c r="K33" t="n">
        <v>0</v>
      </c>
      <c r="L33" t="n">
        <v>0</v>
      </c>
      <c r="M33" t="n">
        <v>0</v>
      </c>
      <c r="N33" t="n">
        <v>0</v>
      </c>
      <c r="O33" t="n">
        <v>0</v>
      </c>
      <c r="P33" t="n">
        <v>0</v>
      </c>
      <c r="Q33" t="n">
        <v>0</v>
      </c>
      <c r="R33" s="2" t="inlineStr"/>
    </row>
    <row r="34" ht="15" customHeight="1">
      <c r="A34" t="inlineStr">
        <is>
          <t>A 9188-2019</t>
        </is>
      </c>
      <c r="B34" s="1" t="n">
        <v>43505</v>
      </c>
      <c r="C34" s="1" t="n">
        <v>45276</v>
      </c>
      <c r="D34" t="inlineStr">
        <is>
          <t>VÄSTRA GÖTALANDS LÄN</t>
        </is>
      </c>
      <c r="E34" t="inlineStr">
        <is>
          <t>ALE</t>
        </is>
      </c>
      <c r="G34" t="n">
        <v>4</v>
      </c>
      <c r="H34" t="n">
        <v>0</v>
      </c>
      <c r="I34" t="n">
        <v>0</v>
      </c>
      <c r="J34" t="n">
        <v>0</v>
      </c>
      <c r="K34" t="n">
        <v>0</v>
      </c>
      <c r="L34" t="n">
        <v>0</v>
      </c>
      <c r="M34" t="n">
        <v>0</v>
      </c>
      <c r="N34" t="n">
        <v>0</v>
      </c>
      <c r="O34" t="n">
        <v>0</v>
      </c>
      <c r="P34" t="n">
        <v>0</v>
      </c>
      <c r="Q34" t="n">
        <v>0</v>
      </c>
      <c r="R34" s="2" t="inlineStr"/>
    </row>
    <row r="35" ht="15" customHeight="1">
      <c r="A35" t="inlineStr">
        <is>
          <t>A 11978-2019</t>
        </is>
      </c>
      <c r="B35" s="1" t="n">
        <v>43521</v>
      </c>
      <c r="C35" s="1" t="n">
        <v>45276</v>
      </c>
      <c r="D35" t="inlineStr">
        <is>
          <t>VÄSTRA GÖTALANDS LÄN</t>
        </is>
      </c>
      <c r="E35" t="inlineStr">
        <is>
          <t>ALE</t>
        </is>
      </c>
      <c r="F35" t="inlineStr">
        <is>
          <t>Kommuner</t>
        </is>
      </c>
      <c r="G35" t="n">
        <v>1</v>
      </c>
      <c r="H35" t="n">
        <v>0</v>
      </c>
      <c r="I35" t="n">
        <v>0</v>
      </c>
      <c r="J35" t="n">
        <v>0</v>
      </c>
      <c r="K35" t="n">
        <v>0</v>
      </c>
      <c r="L35" t="n">
        <v>0</v>
      </c>
      <c r="M35" t="n">
        <v>0</v>
      </c>
      <c r="N35" t="n">
        <v>0</v>
      </c>
      <c r="O35" t="n">
        <v>0</v>
      </c>
      <c r="P35" t="n">
        <v>0</v>
      </c>
      <c r="Q35" t="n">
        <v>0</v>
      </c>
      <c r="R35" s="2" t="inlineStr"/>
    </row>
    <row r="36" ht="15" customHeight="1">
      <c r="A36" t="inlineStr">
        <is>
          <t>A 14048-2019</t>
        </is>
      </c>
      <c r="B36" s="1" t="n">
        <v>43532</v>
      </c>
      <c r="C36" s="1" t="n">
        <v>45276</v>
      </c>
      <c r="D36" t="inlineStr">
        <is>
          <t>VÄSTRA GÖTALANDS LÄN</t>
        </is>
      </c>
      <c r="E36" t="inlineStr">
        <is>
          <t>ALE</t>
        </is>
      </c>
      <c r="G36" t="n">
        <v>1.5</v>
      </c>
      <c r="H36" t="n">
        <v>0</v>
      </c>
      <c r="I36" t="n">
        <v>0</v>
      </c>
      <c r="J36" t="n">
        <v>0</v>
      </c>
      <c r="K36" t="n">
        <v>0</v>
      </c>
      <c r="L36" t="n">
        <v>0</v>
      </c>
      <c r="M36" t="n">
        <v>0</v>
      </c>
      <c r="N36" t="n">
        <v>0</v>
      </c>
      <c r="O36" t="n">
        <v>0</v>
      </c>
      <c r="P36" t="n">
        <v>0</v>
      </c>
      <c r="Q36" t="n">
        <v>0</v>
      </c>
      <c r="R36" s="2" t="inlineStr"/>
    </row>
    <row r="37" ht="15" customHeight="1">
      <c r="A37" t="inlineStr">
        <is>
          <t>A 14335-2019</t>
        </is>
      </c>
      <c r="B37" s="1" t="n">
        <v>43535</v>
      </c>
      <c r="C37" s="1" t="n">
        <v>45276</v>
      </c>
      <c r="D37" t="inlineStr">
        <is>
          <t>VÄSTRA GÖTALANDS LÄN</t>
        </is>
      </c>
      <c r="E37" t="inlineStr">
        <is>
          <t>ALE</t>
        </is>
      </c>
      <c r="G37" t="n">
        <v>5.8</v>
      </c>
      <c r="H37" t="n">
        <v>0</v>
      </c>
      <c r="I37" t="n">
        <v>0</v>
      </c>
      <c r="J37" t="n">
        <v>0</v>
      </c>
      <c r="K37" t="n">
        <v>0</v>
      </c>
      <c r="L37" t="n">
        <v>0</v>
      </c>
      <c r="M37" t="n">
        <v>0</v>
      </c>
      <c r="N37" t="n">
        <v>0</v>
      </c>
      <c r="O37" t="n">
        <v>0</v>
      </c>
      <c r="P37" t="n">
        <v>0</v>
      </c>
      <c r="Q37" t="n">
        <v>0</v>
      </c>
      <c r="R37" s="2" t="inlineStr"/>
    </row>
    <row r="38" ht="15" customHeight="1">
      <c r="A38" t="inlineStr">
        <is>
          <t>A 15443-2019</t>
        </is>
      </c>
      <c r="B38" s="1" t="n">
        <v>43542</v>
      </c>
      <c r="C38" s="1" t="n">
        <v>45276</v>
      </c>
      <c r="D38" t="inlineStr">
        <is>
          <t>VÄSTRA GÖTALANDS LÄN</t>
        </is>
      </c>
      <c r="E38" t="inlineStr">
        <is>
          <t>ALE</t>
        </is>
      </c>
      <c r="G38" t="n">
        <v>2.2</v>
      </c>
      <c r="H38" t="n">
        <v>0</v>
      </c>
      <c r="I38" t="n">
        <v>0</v>
      </c>
      <c r="J38" t="n">
        <v>0</v>
      </c>
      <c r="K38" t="n">
        <v>0</v>
      </c>
      <c r="L38" t="n">
        <v>0</v>
      </c>
      <c r="M38" t="n">
        <v>0</v>
      </c>
      <c r="N38" t="n">
        <v>0</v>
      </c>
      <c r="O38" t="n">
        <v>0</v>
      </c>
      <c r="P38" t="n">
        <v>0</v>
      </c>
      <c r="Q38" t="n">
        <v>0</v>
      </c>
      <c r="R38" s="2" t="inlineStr"/>
    </row>
    <row r="39" ht="15" customHeight="1">
      <c r="A39" t="inlineStr">
        <is>
          <t>A 22015-2019</t>
        </is>
      </c>
      <c r="B39" s="1" t="n">
        <v>43584</v>
      </c>
      <c r="C39" s="1" t="n">
        <v>45276</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45276</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45276</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45276</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45276</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45276</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45276</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45276</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45276</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45276</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45276</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45276</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45276</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45276</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45276</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45276</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45276</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45276</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45276</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45276</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45276</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45276</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45276</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45276</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45276</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45276</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45276</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45276</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45276</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45276</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45276</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45276</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45276</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45276</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45276</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45276</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45276</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45276</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45276</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45276</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45276</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45276</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45276</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45276</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45276</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45276</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45276</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45276</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45276</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45276</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45276</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45276</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45276</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45276</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45276</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45276</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45276</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45276</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45276</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45276</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45276</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45276</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45276</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45276</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8431-2022</t>
        </is>
      </c>
      <c r="B103" s="1" t="n">
        <v>44611</v>
      </c>
      <c r="C103" s="1" t="n">
        <v>45276</v>
      </c>
      <c r="D103" t="inlineStr">
        <is>
          <t>VÄSTRA GÖTALANDS LÄN</t>
        </is>
      </c>
      <c r="E103" t="inlineStr">
        <is>
          <t>ALE</t>
        </is>
      </c>
      <c r="G103" t="n">
        <v>2.7</v>
      </c>
      <c r="H103" t="n">
        <v>0</v>
      </c>
      <c r="I103" t="n">
        <v>0</v>
      </c>
      <c r="J103" t="n">
        <v>0</v>
      </c>
      <c r="K103" t="n">
        <v>0</v>
      </c>
      <c r="L103" t="n">
        <v>0</v>
      </c>
      <c r="M103" t="n">
        <v>0</v>
      </c>
      <c r="N103" t="n">
        <v>0</v>
      </c>
      <c r="O103" t="n">
        <v>0</v>
      </c>
      <c r="P103" t="n">
        <v>0</v>
      </c>
      <c r="Q103" t="n">
        <v>0</v>
      </c>
      <c r="R103" s="2" t="inlineStr"/>
    </row>
    <row r="104" ht="15" customHeight="1">
      <c r="A104" t="inlineStr">
        <is>
          <t>A 8432-2022</t>
        </is>
      </c>
      <c r="B104" s="1" t="n">
        <v>44611</v>
      </c>
      <c r="C104" s="1" t="n">
        <v>45276</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8609-2022</t>
        </is>
      </c>
      <c r="B105" s="1" t="n">
        <v>44613</v>
      </c>
      <c r="C105" s="1" t="n">
        <v>45276</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12055-2022</t>
        </is>
      </c>
      <c r="B106" s="1" t="n">
        <v>44636</v>
      </c>
      <c r="C106" s="1" t="n">
        <v>45276</v>
      </c>
      <c r="D106" t="inlineStr">
        <is>
          <t>VÄSTRA GÖTALANDS LÄN</t>
        </is>
      </c>
      <c r="E106" t="inlineStr">
        <is>
          <t>ALE</t>
        </is>
      </c>
      <c r="G106" t="n">
        <v>0.2</v>
      </c>
      <c r="H106" t="n">
        <v>0</v>
      </c>
      <c r="I106" t="n">
        <v>0</v>
      </c>
      <c r="J106" t="n">
        <v>0</v>
      </c>
      <c r="K106" t="n">
        <v>0</v>
      </c>
      <c r="L106" t="n">
        <v>0</v>
      </c>
      <c r="M106" t="n">
        <v>0</v>
      </c>
      <c r="N106" t="n">
        <v>0</v>
      </c>
      <c r="O106" t="n">
        <v>0</v>
      </c>
      <c r="P106" t="n">
        <v>0</v>
      </c>
      <c r="Q106" t="n">
        <v>0</v>
      </c>
      <c r="R106" s="2" t="inlineStr"/>
    </row>
    <row r="107" ht="15" customHeight="1">
      <c r="A107" t="inlineStr">
        <is>
          <t>A 12445-2022</t>
        </is>
      </c>
      <c r="B107" s="1" t="n">
        <v>44638</v>
      </c>
      <c r="C107" s="1" t="n">
        <v>45276</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14736-2022</t>
        </is>
      </c>
      <c r="B108" s="1" t="n">
        <v>44656</v>
      </c>
      <c r="C108" s="1" t="n">
        <v>45276</v>
      </c>
      <c r="D108" t="inlineStr">
        <is>
          <t>VÄSTRA GÖTALANDS LÄN</t>
        </is>
      </c>
      <c r="E108" t="inlineStr">
        <is>
          <t>ALE</t>
        </is>
      </c>
      <c r="G108" t="n">
        <v>0.7</v>
      </c>
      <c r="H108" t="n">
        <v>0</v>
      </c>
      <c r="I108" t="n">
        <v>0</v>
      </c>
      <c r="J108" t="n">
        <v>0</v>
      </c>
      <c r="K108" t="n">
        <v>0</v>
      </c>
      <c r="L108" t="n">
        <v>0</v>
      </c>
      <c r="M108" t="n">
        <v>0</v>
      </c>
      <c r="N108" t="n">
        <v>0</v>
      </c>
      <c r="O108" t="n">
        <v>0</v>
      </c>
      <c r="P108" t="n">
        <v>0</v>
      </c>
      <c r="Q108" t="n">
        <v>0</v>
      </c>
      <c r="R108" s="2" t="inlineStr"/>
    </row>
    <row r="109" ht="15" customHeight="1">
      <c r="A109" t="inlineStr">
        <is>
          <t>A 14751-2022</t>
        </is>
      </c>
      <c r="B109" s="1" t="n">
        <v>44656</v>
      </c>
      <c r="C109" s="1" t="n">
        <v>45276</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14731-2022</t>
        </is>
      </c>
      <c r="B110" s="1" t="n">
        <v>44656</v>
      </c>
      <c r="C110" s="1" t="n">
        <v>45276</v>
      </c>
      <c r="D110" t="inlineStr">
        <is>
          <t>VÄSTRA GÖTALANDS LÄN</t>
        </is>
      </c>
      <c r="E110" t="inlineStr">
        <is>
          <t>ALE</t>
        </is>
      </c>
      <c r="G110" t="n">
        <v>1.8</v>
      </c>
      <c r="H110" t="n">
        <v>0</v>
      </c>
      <c r="I110" t="n">
        <v>0</v>
      </c>
      <c r="J110" t="n">
        <v>0</v>
      </c>
      <c r="K110" t="n">
        <v>0</v>
      </c>
      <c r="L110" t="n">
        <v>0</v>
      </c>
      <c r="M110" t="n">
        <v>0</v>
      </c>
      <c r="N110" t="n">
        <v>0</v>
      </c>
      <c r="O110" t="n">
        <v>0</v>
      </c>
      <c r="P110" t="n">
        <v>0</v>
      </c>
      <c r="Q110" t="n">
        <v>0</v>
      </c>
      <c r="R110" s="2" t="inlineStr"/>
    </row>
    <row r="111" ht="15" customHeight="1">
      <c r="A111" t="inlineStr">
        <is>
          <t>A 15499-2022</t>
        </is>
      </c>
      <c r="B111" s="1" t="n">
        <v>44662</v>
      </c>
      <c r="C111" s="1" t="n">
        <v>45276</v>
      </c>
      <c r="D111" t="inlineStr">
        <is>
          <t>VÄSTRA GÖTALANDS LÄN</t>
        </is>
      </c>
      <c r="E111" t="inlineStr">
        <is>
          <t>ALE</t>
        </is>
      </c>
      <c r="G111" t="n">
        <v>4.7</v>
      </c>
      <c r="H111" t="n">
        <v>0</v>
      </c>
      <c r="I111" t="n">
        <v>0</v>
      </c>
      <c r="J111" t="n">
        <v>0</v>
      </c>
      <c r="K111" t="n">
        <v>0</v>
      </c>
      <c r="L111" t="n">
        <v>0</v>
      </c>
      <c r="M111" t="n">
        <v>0</v>
      </c>
      <c r="N111" t="n">
        <v>0</v>
      </c>
      <c r="O111" t="n">
        <v>0</v>
      </c>
      <c r="P111" t="n">
        <v>0</v>
      </c>
      <c r="Q111" t="n">
        <v>0</v>
      </c>
      <c r="R111" s="2" t="inlineStr"/>
    </row>
    <row r="112" ht="15" customHeight="1">
      <c r="A112" t="inlineStr">
        <is>
          <t>A 15508-2022</t>
        </is>
      </c>
      <c r="B112" s="1" t="n">
        <v>44662</v>
      </c>
      <c r="C112" s="1" t="n">
        <v>45276</v>
      </c>
      <c r="D112" t="inlineStr">
        <is>
          <t>VÄSTRA GÖTALANDS LÄN</t>
        </is>
      </c>
      <c r="E112" t="inlineStr">
        <is>
          <t>ALE</t>
        </is>
      </c>
      <c r="G112" t="n">
        <v>0.4</v>
      </c>
      <c r="H112" t="n">
        <v>0</v>
      </c>
      <c r="I112" t="n">
        <v>0</v>
      </c>
      <c r="J112" t="n">
        <v>0</v>
      </c>
      <c r="K112" t="n">
        <v>0</v>
      </c>
      <c r="L112" t="n">
        <v>0</v>
      </c>
      <c r="M112" t="n">
        <v>0</v>
      </c>
      <c r="N112" t="n">
        <v>0</v>
      </c>
      <c r="O112" t="n">
        <v>0</v>
      </c>
      <c r="P112" t="n">
        <v>0</v>
      </c>
      <c r="Q112" t="n">
        <v>0</v>
      </c>
      <c r="R112" s="2" t="inlineStr"/>
    </row>
    <row r="113" ht="15" customHeight="1">
      <c r="A113" t="inlineStr">
        <is>
          <t>A 20285-2022</t>
        </is>
      </c>
      <c r="B113" s="1" t="n">
        <v>44698</v>
      </c>
      <c r="C113" s="1" t="n">
        <v>45276</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22358-2022</t>
        </is>
      </c>
      <c r="B114" s="1" t="n">
        <v>44712</v>
      </c>
      <c r="C114" s="1" t="n">
        <v>45276</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24644-2022</t>
        </is>
      </c>
      <c r="B115" s="1" t="n">
        <v>44727</v>
      </c>
      <c r="C115" s="1" t="n">
        <v>45276</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24642-2022</t>
        </is>
      </c>
      <c r="B116" s="1" t="n">
        <v>44727</v>
      </c>
      <c r="C116" s="1" t="n">
        <v>45276</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24649-2022</t>
        </is>
      </c>
      <c r="B117" s="1" t="n">
        <v>44727</v>
      </c>
      <c r="C117" s="1" t="n">
        <v>45276</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26983-2022</t>
        </is>
      </c>
      <c r="B118" s="1" t="n">
        <v>44740</v>
      </c>
      <c r="C118" s="1" t="n">
        <v>45276</v>
      </c>
      <c r="D118" t="inlineStr">
        <is>
          <t>VÄSTRA GÖTALANDS LÄN</t>
        </is>
      </c>
      <c r="E118" t="inlineStr">
        <is>
          <t>ALE</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26987-2022</t>
        </is>
      </c>
      <c r="B119" s="1" t="n">
        <v>44740</v>
      </c>
      <c r="C119" s="1" t="n">
        <v>45276</v>
      </c>
      <c r="D119" t="inlineStr">
        <is>
          <t>VÄSTRA GÖTALANDS LÄN</t>
        </is>
      </c>
      <c r="E119" t="inlineStr">
        <is>
          <t>ALE</t>
        </is>
      </c>
      <c r="F119" t="inlineStr">
        <is>
          <t>Kommuner</t>
        </is>
      </c>
      <c r="G119" t="n">
        <v>5.8</v>
      </c>
      <c r="H119" t="n">
        <v>0</v>
      </c>
      <c r="I119" t="n">
        <v>0</v>
      </c>
      <c r="J119" t="n">
        <v>0</v>
      </c>
      <c r="K119" t="n">
        <v>0</v>
      </c>
      <c r="L119" t="n">
        <v>0</v>
      </c>
      <c r="M119" t="n">
        <v>0</v>
      </c>
      <c r="N119" t="n">
        <v>0</v>
      </c>
      <c r="O119" t="n">
        <v>0</v>
      </c>
      <c r="P119" t="n">
        <v>0</v>
      </c>
      <c r="Q119" t="n">
        <v>0</v>
      </c>
      <c r="R119" s="2" t="inlineStr"/>
    </row>
    <row r="120" ht="15" customHeight="1">
      <c r="A120" t="inlineStr">
        <is>
          <t>A 35959-2022</t>
        </is>
      </c>
      <c r="B120" s="1" t="n">
        <v>44802</v>
      </c>
      <c r="C120" s="1" t="n">
        <v>45276</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36763-2022</t>
        </is>
      </c>
      <c r="B121" s="1" t="n">
        <v>44805</v>
      </c>
      <c r="C121" s="1" t="n">
        <v>45276</v>
      </c>
      <c r="D121" t="inlineStr">
        <is>
          <t>VÄSTRA GÖTALANDS LÄN</t>
        </is>
      </c>
      <c r="E121" t="inlineStr">
        <is>
          <t>ALE</t>
        </is>
      </c>
      <c r="G121" t="n">
        <v>6.1</v>
      </c>
      <c r="H121" t="n">
        <v>0</v>
      </c>
      <c r="I121" t="n">
        <v>0</v>
      </c>
      <c r="J121" t="n">
        <v>0</v>
      </c>
      <c r="K121" t="n">
        <v>0</v>
      </c>
      <c r="L121" t="n">
        <v>0</v>
      </c>
      <c r="M121" t="n">
        <v>0</v>
      </c>
      <c r="N121" t="n">
        <v>0</v>
      </c>
      <c r="O121" t="n">
        <v>0</v>
      </c>
      <c r="P121" t="n">
        <v>0</v>
      </c>
      <c r="Q121" t="n">
        <v>0</v>
      </c>
      <c r="R121" s="2" t="inlineStr"/>
    </row>
    <row r="122" ht="15" customHeight="1">
      <c r="A122" t="inlineStr">
        <is>
          <t>A 41607-2022</t>
        </is>
      </c>
      <c r="B122" s="1" t="n">
        <v>44827</v>
      </c>
      <c r="C122" s="1" t="n">
        <v>45276</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41613-2022</t>
        </is>
      </c>
      <c r="B123" s="1" t="n">
        <v>44827</v>
      </c>
      <c r="C123" s="1" t="n">
        <v>45276</v>
      </c>
      <c r="D123" t="inlineStr">
        <is>
          <t>VÄSTRA GÖTALANDS LÄN</t>
        </is>
      </c>
      <c r="E123" t="inlineStr">
        <is>
          <t>ALE</t>
        </is>
      </c>
      <c r="G123" t="n">
        <v>2.7</v>
      </c>
      <c r="H123" t="n">
        <v>0</v>
      </c>
      <c r="I123" t="n">
        <v>0</v>
      </c>
      <c r="J123" t="n">
        <v>0</v>
      </c>
      <c r="K123" t="n">
        <v>0</v>
      </c>
      <c r="L123" t="n">
        <v>0</v>
      </c>
      <c r="M123" t="n">
        <v>0</v>
      </c>
      <c r="N123" t="n">
        <v>0</v>
      </c>
      <c r="O123" t="n">
        <v>0</v>
      </c>
      <c r="P123" t="n">
        <v>0</v>
      </c>
      <c r="Q123" t="n">
        <v>0</v>
      </c>
      <c r="R123" s="2" t="inlineStr"/>
    </row>
    <row r="124" ht="15" customHeight="1">
      <c r="A124" t="inlineStr">
        <is>
          <t>A 41598-2022</t>
        </is>
      </c>
      <c r="B124" s="1" t="n">
        <v>44827</v>
      </c>
      <c r="C124" s="1" t="n">
        <v>45276</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48257-2022</t>
        </is>
      </c>
      <c r="B125" s="1" t="n">
        <v>44858</v>
      </c>
      <c r="C125" s="1" t="n">
        <v>45276</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45276</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57476-2022</t>
        </is>
      </c>
      <c r="B127" s="1" t="n">
        <v>44896</v>
      </c>
      <c r="C127" s="1" t="n">
        <v>45276</v>
      </c>
      <c r="D127" t="inlineStr">
        <is>
          <t>VÄSTRA GÖTALANDS LÄN</t>
        </is>
      </c>
      <c r="E127" t="inlineStr">
        <is>
          <t>ALE</t>
        </is>
      </c>
      <c r="G127" t="n">
        <v>1.3</v>
      </c>
      <c r="H127" t="n">
        <v>0</v>
      </c>
      <c r="I127" t="n">
        <v>0</v>
      </c>
      <c r="J127" t="n">
        <v>0</v>
      </c>
      <c r="K127" t="n">
        <v>0</v>
      </c>
      <c r="L127" t="n">
        <v>0</v>
      </c>
      <c r="M127" t="n">
        <v>0</v>
      </c>
      <c r="N127" t="n">
        <v>0</v>
      </c>
      <c r="O127" t="n">
        <v>0</v>
      </c>
      <c r="P127" t="n">
        <v>0</v>
      </c>
      <c r="Q127" t="n">
        <v>0</v>
      </c>
      <c r="R127" s="2" t="inlineStr"/>
    </row>
    <row r="128" ht="15" customHeight="1">
      <c r="A128" t="inlineStr">
        <is>
          <t>A 57473-2022</t>
        </is>
      </c>
      <c r="B128" s="1" t="n">
        <v>44896</v>
      </c>
      <c r="C128" s="1" t="n">
        <v>45276</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58954-2022</t>
        </is>
      </c>
      <c r="B129" s="1" t="n">
        <v>44903</v>
      </c>
      <c r="C129" s="1" t="n">
        <v>45276</v>
      </c>
      <c r="D129" t="inlineStr">
        <is>
          <t>VÄSTRA GÖTALANDS LÄN</t>
        </is>
      </c>
      <c r="E129" t="inlineStr">
        <is>
          <t>ALE</t>
        </is>
      </c>
      <c r="G129" t="n">
        <v>2.3</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45276</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45276</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45276</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45276</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45276</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45276</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45276</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45276</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45276</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45276</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45276</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45276</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45276</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45276</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45276</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45276</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45276</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45276</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45276</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19007-2023</t>
        </is>
      </c>
      <c r="B149" s="1" t="n">
        <v>45045</v>
      </c>
      <c r="C149" s="1" t="n">
        <v>45276</v>
      </c>
      <c r="D149" t="inlineStr">
        <is>
          <t>VÄSTRA GÖTALANDS LÄN</t>
        </is>
      </c>
      <c r="E149" t="inlineStr">
        <is>
          <t>ALE</t>
        </is>
      </c>
      <c r="G149" t="n">
        <v>2.4</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45276</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45276</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20586-2023</t>
        </is>
      </c>
      <c r="B152" s="1" t="n">
        <v>45057</v>
      </c>
      <c r="C152" s="1" t="n">
        <v>45276</v>
      </c>
      <c r="D152" t="inlineStr">
        <is>
          <t>VÄSTRA GÖTALANDS LÄN</t>
        </is>
      </c>
      <c r="E152" t="inlineStr">
        <is>
          <t>ALE</t>
        </is>
      </c>
      <c r="G152" t="n">
        <v>1.5</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45276</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45276</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45276</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45276</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45276</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45276</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45276</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45276</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45276</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45276</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45276</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45276</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45276</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45276</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45276</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45276</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45276</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45276</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45276</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45276</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59933-2023</t>
        </is>
      </c>
      <c r="B173" s="1" t="n">
        <v>45257</v>
      </c>
      <c r="C173" s="1" t="n">
        <v>45276</v>
      </c>
      <c r="D173" t="inlineStr">
        <is>
          <t>VÄSTRA GÖTALANDS LÄN</t>
        </is>
      </c>
      <c r="E173" t="inlineStr">
        <is>
          <t>ALE</t>
        </is>
      </c>
      <c r="G173" t="n">
        <v>2.7</v>
      </c>
      <c r="H173" t="n">
        <v>0</v>
      </c>
      <c r="I173" t="n">
        <v>0</v>
      </c>
      <c r="J173" t="n">
        <v>0</v>
      </c>
      <c r="K173" t="n">
        <v>0</v>
      </c>
      <c r="L173" t="n">
        <v>0</v>
      </c>
      <c r="M173" t="n">
        <v>0</v>
      </c>
      <c r="N173" t="n">
        <v>0</v>
      </c>
      <c r="O173" t="n">
        <v>0</v>
      </c>
      <c r="P173" t="n">
        <v>0</v>
      </c>
      <c r="Q173" t="n">
        <v>0</v>
      </c>
      <c r="R173" s="2" t="inlineStr"/>
    </row>
    <row r="174" ht="15" customHeight="1">
      <c r="A174" t="inlineStr">
        <is>
          <t>A 59934-2023</t>
        </is>
      </c>
      <c r="B174" s="1" t="n">
        <v>45257</v>
      </c>
      <c r="C174" s="1" t="n">
        <v>45276</v>
      </c>
      <c r="D174" t="inlineStr">
        <is>
          <t>VÄSTRA GÖTALANDS LÄN</t>
        </is>
      </c>
      <c r="E174" t="inlineStr">
        <is>
          <t>ALE</t>
        </is>
      </c>
      <c r="G174" t="n">
        <v>2.6</v>
      </c>
      <c r="H174" t="n">
        <v>0</v>
      </c>
      <c r="I174" t="n">
        <v>0</v>
      </c>
      <c r="J174" t="n">
        <v>0</v>
      </c>
      <c r="K174" t="n">
        <v>0</v>
      </c>
      <c r="L174" t="n">
        <v>0</v>
      </c>
      <c r="M174" t="n">
        <v>0</v>
      </c>
      <c r="N174" t="n">
        <v>0</v>
      </c>
      <c r="O174" t="n">
        <v>0</v>
      </c>
      <c r="P174" t="n">
        <v>0</v>
      </c>
      <c r="Q174" t="n">
        <v>0</v>
      </c>
      <c r="R174" s="2" t="inlineStr"/>
    </row>
    <row r="175" ht="15" customHeight="1">
      <c r="A175" t="inlineStr">
        <is>
          <t>A 63575-2023</t>
        </is>
      </c>
      <c r="B175" s="1" t="n">
        <v>45275</v>
      </c>
      <c r="C175" s="1" t="n">
        <v>45276</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c r="A176" t="inlineStr">
        <is>
          <t>A 63569-2023</t>
        </is>
      </c>
      <c r="B176" s="1" t="n">
        <v>45275</v>
      </c>
      <c r="C176" s="1" t="n">
        <v>45276</v>
      </c>
      <c r="D176" t="inlineStr">
        <is>
          <t>VÄSTRA GÖTALANDS LÄN</t>
        </is>
      </c>
      <c r="E176" t="inlineStr">
        <is>
          <t>ALE</t>
        </is>
      </c>
      <c r="G176" t="n">
        <v>2.4</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2023-12-16T09:53:19Z</dcterms:created>
  <dcterms:modified xmlns:dcterms="http://purl.org/dc/terms/" xmlns:xsi="http://www.w3.org/2001/XMLSchema-instance" xsi:type="dcterms:W3CDTF">2023-12-16T09:53:19Z</dcterms:modified>
</cp:coreProperties>
</file>