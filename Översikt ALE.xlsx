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45585</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45585</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45585</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45585</v>
      </c>
      <c r="D7" t="inlineStr">
        <is>
          <t>VÄSTRA GÖTALANDS LÄN</t>
        </is>
      </c>
      <c r="E7" t="inlineStr">
        <is>
          <t>ALE</t>
        </is>
      </c>
      <c r="G7" t="n">
        <v>3.3</v>
      </c>
      <c r="H7" t="n">
        <v>5</v>
      </c>
      <c r="I7" t="n">
        <v>8</v>
      </c>
      <c r="J7" t="n">
        <v>3</v>
      </c>
      <c r="K7" t="n">
        <v>1</v>
      </c>
      <c r="L7" t="n">
        <v>0</v>
      </c>
      <c r="M7" t="n">
        <v>0</v>
      </c>
      <c r="N7" t="n">
        <v>0</v>
      </c>
      <c r="O7" t="n">
        <v>4</v>
      </c>
      <c r="P7" t="n">
        <v>1</v>
      </c>
      <c r="Q7" t="n">
        <v>15</v>
      </c>
      <c r="R7" s="2" t="inlineStr">
        <is>
          <t>Knärot
Bronssopp
Motaggsvamp
Spillkråka
Bronshjon
Kambräken
Klippfrullania
Rödfläckig zontaggsvamp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39575-2024</t>
        </is>
      </c>
      <c r="B8" s="1" t="n">
        <v>45552</v>
      </c>
      <c r="C8" s="1" t="n">
        <v>45585</v>
      </c>
      <c r="D8" t="inlineStr">
        <is>
          <t>VÄSTRA GÖTALANDS LÄN</t>
        </is>
      </c>
      <c r="E8" t="inlineStr">
        <is>
          <t>ALE</t>
        </is>
      </c>
      <c r="G8" t="n">
        <v>10.3</v>
      </c>
      <c r="H8" t="n">
        <v>6</v>
      </c>
      <c r="I8" t="n">
        <v>5</v>
      </c>
      <c r="J8" t="n">
        <v>3</v>
      </c>
      <c r="K8" t="n">
        <v>1</v>
      </c>
      <c r="L8" t="n">
        <v>1</v>
      </c>
      <c r="M8" t="n">
        <v>0</v>
      </c>
      <c r="N8" t="n">
        <v>0</v>
      </c>
      <c r="O8" t="n">
        <v>5</v>
      </c>
      <c r="P8" t="n">
        <v>2</v>
      </c>
      <c r="Q8" t="n">
        <v>14</v>
      </c>
      <c r="R8" s="2" t="inlineStr">
        <is>
          <t>Ask
Brödtaggsvamp
Motaggsvamp
Spillkråka
Talltita
Blåmossa
Dropptaggsvamp
Stor revmossa
Tibast
Västlig hakmossa
Kungsfågel
Vanlig snok
Lopplummer
Revlummer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53693-2019</t>
        </is>
      </c>
      <c r="B9" s="1" t="n">
        <v>43749</v>
      </c>
      <c r="C9" s="1" t="n">
        <v>45585</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45585</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19007-2023</t>
        </is>
      </c>
      <c r="B11" s="1" t="n">
        <v>45045</v>
      </c>
      <c r="C11" s="1" t="n">
        <v>45585</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45585</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39593-2024</t>
        </is>
      </c>
      <c r="B13" s="1" t="n">
        <v>45552</v>
      </c>
      <c r="C13" s="1" t="n">
        <v>45585</v>
      </c>
      <c r="D13" t="inlineStr">
        <is>
          <t>VÄSTRA GÖTALANDS LÄN</t>
        </is>
      </c>
      <c r="E13" t="inlineStr">
        <is>
          <t>ALE</t>
        </is>
      </c>
      <c r="G13" t="n">
        <v>0.7</v>
      </c>
      <c r="H13" t="n">
        <v>3</v>
      </c>
      <c r="I13" t="n">
        <v>5</v>
      </c>
      <c r="J13" t="n">
        <v>1</v>
      </c>
      <c r="K13" t="n">
        <v>0</v>
      </c>
      <c r="L13" t="n">
        <v>0</v>
      </c>
      <c r="M13" t="n">
        <v>0</v>
      </c>
      <c r="N13" t="n">
        <v>0</v>
      </c>
      <c r="O13" t="n">
        <v>1</v>
      </c>
      <c r="P13" t="n">
        <v>0</v>
      </c>
      <c r="Q13" t="n">
        <v>8</v>
      </c>
      <c r="R13" s="2" t="inlineStr">
        <is>
          <t>Spillkråka
Blåmossa
Bronshjon
Smal svampklubba
Stor revmossa
Vågbandad barkbock
Kungsfågel
Vanlig snok</t>
        </is>
      </c>
      <c r="S13">
        <f>HYPERLINK("https://klasma.github.io/Logging_1440/artfynd/A 39593-2024 artfynd.xlsx", "A 39593-2024")</f>
        <v/>
      </c>
      <c r="T13">
        <f>HYPERLINK("https://klasma.github.io/Logging_1440/kartor/A 39593-2024 karta.png", "A 39593-2024")</f>
        <v/>
      </c>
      <c r="V13">
        <f>HYPERLINK("https://klasma.github.io/Logging_1440/klagomål/A 39593-2024 FSC-klagomål.docx", "A 39593-2024")</f>
        <v/>
      </c>
      <c r="W13">
        <f>HYPERLINK("https://klasma.github.io/Logging_1440/klagomålsmail/A 39593-2024 FSC-klagomål mail.docx", "A 39593-2024")</f>
        <v/>
      </c>
      <c r="X13">
        <f>HYPERLINK("https://klasma.github.io/Logging_1440/tillsyn/A 39593-2024 tillsynsbegäran.docx", "A 39593-2024")</f>
        <v/>
      </c>
      <c r="Y13">
        <f>HYPERLINK("https://klasma.github.io/Logging_1440/tillsynsmail/A 39593-2024 tillsynsbegäran mail.docx", "A 39593-2024")</f>
        <v/>
      </c>
      <c r="Z13">
        <f>HYPERLINK("https://klasma.github.io/Logging_1440/fåglar/A 39593-2024 prioriterade fågelarter.docx", "A 39593-2024")</f>
        <v/>
      </c>
    </row>
    <row r="14" ht="15" customHeight="1">
      <c r="A14" t="inlineStr">
        <is>
          <t>A 39592-2024</t>
        </is>
      </c>
      <c r="B14" s="1" t="n">
        <v>45552</v>
      </c>
      <c r="C14" s="1" t="n">
        <v>45585</v>
      </c>
      <c r="D14" t="inlineStr">
        <is>
          <t>VÄSTRA GÖTALANDS LÄN</t>
        </is>
      </c>
      <c r="E14" t="inlineStr">
        <is>
          <t>ALE</t>
        </is>
      </c>
      <c r="G14" t="n">
        <v>1.2</v>
      </c>
      <c r="H14" t="n">
        <v>3</v>
      </c>
      <c r="I14" t="n">
        <v>4</v>
      </c>
      <c r="J14" t="n">
        <v>1</v>
      </c>
      <c r="K14" t="n">
        <v>1</v>
      </c>
      <c r="L14" t="n">
        <v>0</v>
      </c>
      <c r="M14" t="n">
        <v>0</v>
      </c>
      <c r="N14" t="n">
        <v>0</v>
      </c>
      <c r="O14" t="n">
        <v>2</v>
      </c>
      <c r="P14" t="n">
        <v>1</v>
      </c>
      <c r="Q14" t="n">
        <v>8</v>
      </c>
      <c r="R14" s="2" t="inlineStr">
        <is>
          <t>Flikbålmossa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17566-2024</t>
        </is>
      </c>
      <c r="B15" s="1" t="n">
        <v>45415</v>
      </c>
      <c r="C15" s="1" t="n">
        <v>45585</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25436-2019</t>
        </is>
      </c>
      <c r="B16" s="1" t="n">
        <v>43606</v>
      </c>
      <c r="C16" s="1" t="n">
        <v>45585</v>
      </c>
      <c r="D16" t="inlineStr">
        <is>
          <t>VÄSTRA GÖTALANDS LÄN</t>
        </is>
      </c>
      <c r="E16" t="inlineStr">
        <is>
          <t>ALE</t>
        </is>
      </c>
      <c r="G16" t="n">
        <v>1.1</v>
      </c>
      <c r="H16" t="n">
        <v>2</v>
      </c>
      <c r="I16" t="n">
        <v>4</v>
      </c>
      <c r="J16" t="n">
        <v>2</v>
      </c>
      <c r="K16" t="n">
        <v>0</v>
      </c>
      <c r="L16" t="n">
        <v>0</v>
      </c>
      <c r="M16" t="n">
        <v>0</v>
      </c>
      <c r="N16" t="n">
        <v>0</v>
      </c>
      <c r="O16" t="n">
        <v>2</v>
      </c>
      <c r="P16" t="n">
        <v>0</v>
      </c>
      <c r="Q16" t="n">
        <v>6</v>
      </c>
      <c r="R16" s="2" t="inlineStr">
        <is>
          <t>Spillkråka
Talltita
Blåmossa
Havstulpanlav
Kattfotslav
Klippfrullania</t>
        </is>
      </c>
      <c r="S16">
        <f>HYPERLINK("https://klasma.github.io/Logging_1440/artfynd/A 25436-2019 artfynd.xlsx", "A 25436-2019")</f>
        <v/>
      </c>
      <c r="T16">
        <f>HYPERLINK("https://klasma.github.io/Logging_1440/kartor/A 25436-2019 karta.png", "A 25436-2019")</f>
        <v/>
      </c>
      <c r="V16">
        <f>HYPERLINK("https://klasma.github.io/Logging_1440/klagomål/A 25436-2019 FSC-klagomål.docx", "A 25436-2019")</f>
        <v/>
      </c>
      <c r="W16">
        <f>HYPERLINK("https://klasma.github.io/Logging_1440/klagomålsmail/A 25436-2019 FSC-klagomål mail.docx", "A 25436-2019")</f>
        <v/>
      </c>
      <c r="X16">
        <f>HYPERLINK("https://klasma.github.io/Logging_1440/tillsyn/A 25436-2019 tillsynsbegäran.docx", "A 25436-2019")</f>
        <v/>
      </c>
      <c r="Y16">
        <f>HYPERLINK("https://klasma.github.io/Logging_1440/tillsynsmail/A 25436-2019 tillsynsbegäran mail.docx", "A 25436-2019")</f>
        <v/>
      </c>
      <c r="Z16">
        <f>HYPERLINK("https://klasma.github.io/Logging_1440/fåglar/A 25436-2019 prioriterade fågelarter.docx", "A 25436-2019")</f>
        <v/>
      </c>
    </row>
    <row r="17" ht="15" customHeight="1">
      <c r="A17" t="inlineStr">
        <is>
          <t>A 40983-2023</t>
        </is>
      </c>
      <c r="B17" s="1" t="n">
        <v>45173</v>
      </c>
      <c r="C17" s="1" t="n">
        <v>45585</v>
      </c>
      <c r="D17" t="inlineStr">
        <is>
          <t>VÄSTRA GÖTALANDS LÄN</t>
        </is>
      </c>
      <c r="E17" t="inlineStr">
        <is>
          <t>ALE</t>
        </is>
      </c>
      <c r="F17" t="inlineStr">
        <is>
          <t>Kyrkan</t>
        </is>
      </c>
      <c r="G17" t="n">
        <v>12.6</v>
      </c>
      <c r="H17" t="n">
        <v>2</v>
      </c>
      <c r="I17" t="n">
        <v>3</v>
      </c>
      <c r="J17" t="n">
        <v>3</v>
      </c>
      <c r="K17" t="n">
        <v>0</v>
      </c>
      <c r="L17" t="n">
        <v>0</v>
      </c>
      <c r="M17" t="n">
        <v>0</v>
      </c>
      <c r="N17" t="n">
        <v>0</v>
      </c>
      <c r="O17" t="n">
        <v>3</v>
      </c>
      <c r="P17" t="n">
        <v>0</v>
      </c>
      <c r="Q17" t="n">
        <v>6</v>
      </c>
      <c r="R17" s="2" t="inlineStr">
        <is>
          <t>Kortskaftad ärgspik
Spillkråka
Talltita
Klippfrullania
Rostfläck
Rävticka</t>
        </is>
      </c>
      <c r="S17">
        <f>HYPERLINK("https://klasma.github.io/Logging_1440/artfynd/A 40983-2023 artfynd.xlsx", "A 40983-2023")</f>
        <v/>
      </c>
      <c r="T17">
        <f>HYPERLINK("https://klasma.github.io/Logging_1440/kartor/A 40983-2023 karta.png", "A 40983-2023")</f>
        <v/>
      </c>
      <c r="V17">
        <f>HYPERLINK("https://klasma.github.io/Logging_1440/klagomål/A 40983-2023 FSC-klagomål.docx", "A 40983-2023")</f>
        <v/>
      </c>
      <c r="W17">
        <f>HYPERLINK("https://klasma.github.io/Logging_1440/klagomålsmail/A 40983-2023 FSC-klagomål mail.docx", "A 40983-2023")</f>
        <v/>
      </c>
      <c r="X17">
        <f>HYPERLINK("https://klasma.github.io/Logging_1440/tillsyn/A 40983-2023 tillsynsbegäran.docx", "A 40983-2023")</f>
        <v/>
      </c>
      <c r="Y17">
        <f>HYPERLINK("https://klasma.github.io/Logging_1440/tillsynsmail/A 40983-2023 tillsynsbegäran mail.docx", "A 40983-2023")</f>
        <v/>
      </c>
      <c r="Z17">
        <f>HYPERLINK("https://klasma.github.io/Logging_1440/fåglar/A 40983-2023 prioriterade fågelarter.docx", "A 40983-2023")</f>
        <v/>
      </c>
    </row>
    <row r="18" ht="15" customHeight="1">
      <c r="A18" t="inlineStr">
        <is>
          <t>A 41294-2024</t>
        </is>
      </c>
      <c r="B18" s="1" t="n">
        <v>45559</v>
      </c>
      <c r="C18" s="1" t="n">
        <v>45585</v>
      </c>
      <c r="D18" t="inlineStr">
        <is>
          <t>VÄSTRA GÖTALANDS LÄN</t>
        </is>
      </c>
      <c r="E18" t="inlineStr">
        <is>
          <t>ALE</t>
        </is>
      </c>
      <c r="G18" t="n">
        <v>3</v>
      </c>
      <c r="H18" t="n">
        <v>3</v>
      </c>
      <c r="I18" t="n">
        <v>3</v>
      </c>
      <c r="J18" t="n">
        <v>1</v>
      </c>
      <c r="K18" t="n">
        <v>0</v>
      </c>
      <c r="L18" t="n">
        <v>0</v>
      </c>
      <c r="M18" t="n">
        <v>0</v>
      </c>
      <c r="N18" t="n">
        <v>0</v>
      </c>
      <c r="O18" t="n">
        <v>1</v>
      </c>
      <c r="P18" t="n">
        <v>0</v>
      </c>
      <c r="Q18" t="n">
        <v>6</v>
      </c>
      <c r="R18" s="2" t="inlineStr">
        <is>
          <t>Spillkråka
Kornknutmossa
Smal svampklubba
Stor revmossa
Kungsfågel
Revlummer</t>
        </is>
      </c>
      <c r="S18">
        <f>HYPERLINK("https://klasma.github.io/Logging_1440/artfynd/A 41294-2024 artfynd.xlsx", "A 41294-2024")</f>
        <v/>
      </c>
      <c r="T18">
        <f>HYPERLINK("https://klasma.github.io/Logging_1440/kartor/A 41294-2024 karta.png", "A 41294-2024")</f>
        <v/>
      </c>
      <c r="V18">
        <f>HYPERLINK("https://klasma.github.io/Logging_1440/klagomål/A 41294-2024 FSC-klagomål.docx", "A 41294-2024")</f>
        <v/>
      </c>
      <c r="W18">
        <f>HYPERLINK("https://klasma.github.io/Logging_1440/klagomålsmail/A 41294-2024 FSC-klagomål mail.docx", "A 41294-2024")</f>
        <v/>
      </c>
      <c r="X18">
        <f>HYPERLINK("https://klasma.github.io/Logging_1440/tillsyn/A 41294-2024 tillsynsbegäran.docx", "A 41294-2024")</f>
        <v/>
      </c>
      <c r="Y18">
        <f>HYPERLINK("https://klasma.github.io/Logging_1440/tillsynsmail/A 41294-2024 tillsynsbegäran mail.docx", "A 41294-2024")</f>
        <v/>
      </c>
      <c r="Z18">
        <f>HYPERLINK("https://klasma.github.io/Logging_1440/fåglar/A 41294-2024 prioriterade fågelarter.docx", "A 41294-2024")</f>
        <v/>
      </c>
    </row>
    <row r="19" ht="15" customHeight="1">
      <c r="A19" t="inlineStr">
        <is>
          <t>A 563-2024</t>
        </is>
      </c>
      <c r="B19" s="1" t="n">
        <v>45299</v>
      </c>
      <c r="C19" s="1" t="n">
        <v>45585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45585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45585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45585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45585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45585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45585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45585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45585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45585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45585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45585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45585</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45585</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45585</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45585</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45585</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45585</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45585</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45585</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45585</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45585</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45585</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45585</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45585</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45585</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45585</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45585</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45585</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45585</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45585</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45585</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45585</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45585</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45585</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45585</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45585</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45585</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45585</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45585</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45585</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45585</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45585</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45585</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45585</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45585</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45585</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45585</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45585</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45585</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45585</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45585</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45585</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45585</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45585</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45585</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45585</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45585</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45585</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45585</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45585</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45585</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45585</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45585</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45585</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45585</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45585</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45585</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45585</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45585</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45585</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45585</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45585</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45585</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45585</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45585</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45585</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45585</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45585</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45585</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45585</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45585</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45585</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45585</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45585</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45585</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45585</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45585</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45585</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45585</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45585</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45585</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45585</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45585</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45585</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45585</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45585</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45585</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45585</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45585</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45585</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45585</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45585</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45585</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45585</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45585</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45585</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45585</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45585</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45585</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45585</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45585</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45585</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45585</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45585</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45585</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45585</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45585</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45585</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45585</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45585</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45585</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45585</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45585</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45585</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45585</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45585</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45585</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45585</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45585</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45585</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c r="A206" t="inlineStr">
        <is>
          <t>A 46797-2024</t>
        </is>
      </c>
      <c r="B206" s="1" t="n">
        <v>45583</v>
      </c>
      <c r="C206" s="1" t="n">
        <v>45585</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2024-10-20T12:21:05Z</dcterms:created>
  <dcterms:modified xmlns:dcterms="http://purl.org/dc/terms/" xmlns:xsi="http://www.w3.org/2001/XMLSchema-instance" xsi:type="dcterms:W3CDTF">2024-10-20T12:21:05Z</dcterms:modified>
</cp:coreProperties>
</file>