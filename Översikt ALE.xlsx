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45899</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45899</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45899</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45899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45899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45899</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45899</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45899</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45899</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45899</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45899</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45899</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45899</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45899</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37005-2025</t>
        </is>
      </c>
      <c r="B18" s="1" t="n">
        <v>45874.69311342593</v>
      </c>
      <c r="C18" s="1" t="n">
        <v>45899</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8955-2025</t>
        </is>
      </c>
      <c r="B19" s="1" t="n">
        <v>45713.46528935185</v>
      </c>
      <c r="C19" s="1" t="n">
        <v>45899</v>
      </c>
      <c r="D19" t="inlineStr">
        <is>
          <t>VÄSTRA GÖTALANDS LÄN</t>
        </is>
      </c>
      <c r="E19" t="inlineStr">
        <is>
          <t>ALE</t>
        </is>
      </c>
      <c r="G19" t="n">
        <v>1</v>
      </c>
      <c r="H19" t="n">
        <v>2</v>
      </c>
      <c r="I19" t="n">
        <v>0</v>
      </c>
      <c r="J19" t="n">
        <v>1</v>
      </c>
      <c r="K19" t="n">
        <v>0</v>
      </c>
      <c r="L19" t="n">
        <v>0</v>
      </c>
      <c r="M19" t="n">
        <v>0</v>
      </c>
      <c r="N19" t="n">
        <v>0</v>
      </c>
      <c r="O19" t="n">
        <v>1</v>
      </c>
      <c r="P19" t="n">
        <v>0</v>
      </c>
      <c r="Q19" t="n">
        <v>2</v>
      </c>
      <c r="R19" s="2" t="inlineStr">
        <is>
          <t>Spillkråka
Revlummer</t>
        </is>
      </c>
      <c r="S19">
        <f>HYPERLINK("https://klasma.github.io/Logging_1440/artfynd/A 8955-2025 artfynd.xlsx", "A 8955-2025")</f>
        <v/>
      </c>
      <c r="T19">
        <f>HYPERLINK("https://klasma.github.io/Logging_1440/kartor/A 8955-2025 karta.png", "A 8955-2025")</f>
        <v/>
      </c>
      <c r="V19">
        <f>HYPERLINK("https://klasma.github.io/Logging_1440/klagomål/A 8955-2025 FSC-klagomål.docx", "A 8955-2025")</f>
        <v/>
      </c>
      <c r="W19">
        <f>HYPERLINK("https://klasma.github.io/Logging_1440/klagomålsmail/A 8955-2025 FSC-klagomål mail.docx", "A 8955-2025")</f>
        <v/>
      </c>
      <c r="X19">
        <f>HYPERLINK("https://klasma.github.io/Logging_1440/tillsyn/A 8955-2025 tillsynsbegäran.docx", "A 8955-2025")</f>
        <v/>
      </c>
      <c r="Y19">
        <f>HYPERLINK("https://klasma.github.io/Logging_1440/tillsynsmail/A 8955-2025 tillsynsbegäran mail.docx", "A 8955-2025")</f>
        <v/>
      </c>
      <c r="Z19">
        <f>HYPERLINK("https://klasma.github.io/Logging_1440/fåglar/A 8955-2025 prioriterade fågelarter.docx", "A 8955-2025")</f>
        <v/>
      </c>
    </row>
    <row r="20" ht="15" customHeight="1">
      <c r="A20" t="inlineStr">
        <is>
          <t>A 58954-2022</t>
        </is>
      </c>
      <c r="B20" s="1" t="n">
        <v>44903</v>
      </c>
      <c r="C20" s="1" t="n">
        <v>45899</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380-2025</t>
        </is>
      </c>
      <c r="B21" s="1" t="n">
        <v>45662.43456018518</v>
      </c>
      <c r="C21" s="1" t="n">
        <v>45899</v>
      </c>
      <c r="D21" t="inlineStr">
        <is>
          <t>VÄSTRA GÖTALANDS LÄN</t>
        </is>
      </c>
      <c r="E21" t="inlineStr">
        <is>
          <t>ALE</t>
        </is>
      </c>
      <c r="G21" t="n">
        <v>8.6</v>
      </c>
      <c r="H21" t="n">
        <v>1</v>
      </c>
      <c r="I21" t="n">
        <v>1</v>
      </c>
      <c r="J21" t="n">
        <v>1</v>
      </c>
      <c r="K21" t="n">
        <v>0</v>
      </c>
      <c r="L21" t="n">
        <v>0</v>
      </c>
      <c r="M21" t="n">
        <v>0</v>
      </c>
      <c r="N21" t="n">
        <v>0</v>
      </c>
      <c r="O21" t="n">
        <v>1</v>
      </c>
      <c r="P21" t="n">
        <v>0</v>
      </c>
      <c r="Q21" t="n">
        <v>2</v>
      </c>
      <c r="R21" s="2" t="inlineStr">
        <is>
          <t>Spillkråka
Blåmossa</t>
        </is>
      </c>
      <c r="S21">
        <f>HYPERLINK("https://klasma.github.io/Logging_1440/artfynd/A 380-2025 artfynd.xlsx", "A 380-2025")</f>
        <v/>
      </c>
      <c r="T21">
        <f>HYPERLINK("https://klasma.github.io/Logging_1440/kartor/A 380-2025 karta.png", "A 380-2025")</f>
        <v/>
      </c>
      <c r="V21">
        <f>HYPERLINK("https://klasma.github.io/Logging_1440/klagomål/A 380-2025 FSC-klagomål.docx", "A 380-2025")</f>
        <v/>
      </c>
      <c r="W21">
        <f>HYPERLINK("https://klasma.github.io/Logging_1440/klagomålsmail/A 380-2025 FSC-klagomål mail.docx", "A 380-2025")</f>
        <v/>
      </c>
      <c r="X21">
        <f>HYPERLINK("https://klasma.github.io/Logging_1440/tillsyn/A 380-2025 tillsynsbegäran.docx", "A 380-2025")</f>
        <v/>
      </c>
      <c r="Y21">
        <f>HYPERLINK("https://klasma.github.io/Logging_1440/tillsynsmail/A 380-2025 tillsynsbegäran mail.docx", "A 380-2025")</f>
        <v/>
      </c>
      <c r="Z21">
        <f>HYPERLINK("https://klasma.github.io/Logging_1440/fåglar/A 380-2025 prioriterade fågelarter.docx", "A 380-2025")</f>
        <v/>
      </c>
    </row>
    <row r="22" ht="15" customHeight="1">
      <c r="A22" t="inlineStr">
        <is>
          <t>A 2270-2025</t>
        </is>
      </c>
      <c r="B22" s="1" t="n">
        <v>45673.54403935185</v>
      </c>
      <c r="C22" s="1" t="n">
        <v>45899</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45899</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45899</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20586-2023</t>
        </is>
      </c>
      <c r="B25" s="1" t="n">
        <v>45057</v>
      </c>
      <c r="C25" s="1" t="n">
        <v>45899</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16534-2025</t>
        </is>
      </c>
      <c r="B26" s="1" t="n">
        <v>45751.65315972222</v>
      </c>
      <c r="C26" s="1" t="n">
        <v>45899</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63569-2023</t>
        </is>
      </c>
      <c r="B27" s="1" t="n">
        <v>45275</v>
      </c>
      <c r="C27" s="1" t="n">
        <v>45899</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26493-2024</t>
        </is>
      </c>
      <c r="B28" s="1" t="n">
        <v>45469</v>
      </c>
      <c r="C28" s="1" t="n">
        <v>45899</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45899</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12084-2025</t>
        </is>
      </c>
      <c r="B30" s="1" t="n">
        <v>45728.95387731482</v>
      </c>
      <c r="C30" s="1" t="n">
        <v>45899</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13902-2025</t>
        </is>
      </c>
      <c r="B31" s="1" t="n">
        <v>45737.63446759259</v>
      </c>
      <c r="C31" s="1" t="n">
        <v>45899</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45899</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45899</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45899</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45899</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45899</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45899</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45899</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45899</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45899</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45899</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45899</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45899</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45899</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45899</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45899</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45899</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45899</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45899</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45899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45899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45899</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45899</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45899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45899</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45899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45899</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45899</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45899</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57473-2022</t>
        </is>
      </c>
      <c r="B60" s="1" t="n">
        <v>44896</v>
      </c>
      <c r="C60" s="1" t="n">
        <v>45899</v>
      </c>
      <c r="D60" t="inlineStr">
        <is>
          <t>VÄSTRA GÖTALANDS LÄN</t>
        </is>
      </c>
      <c r="E60" t="inlineStr">
        <is>
          <t>ALE</t>
        </is>
      </c>
      <c r="G60" t="n">
        <v>0.7</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45899</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45899</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42660-2024</t>
        </is>
      </c>
      <c r="B63" s="1" t="n">
        <v>45566.33841435185</v>
      </c>
      <c r="C63" s="1" t="n">
        <v>45899</v>
      </c>
      <c r="D63" t="inlineStr">
        <is>
          <t>VÄSTRA GÖTALANDS LÄN</t>
        </is>
      </c>
      <c r="E63" t="inlineStr">
        <is>
          <t>ALE</t>
        </is>
      </c>
      <c r="G63" t="n">
        <v>2.5</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45899</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45899</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45899</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45899</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45899</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45899</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67160-2021</t>
        </is>
      </c>
      <c r="B70" s="1" t="n">
        <v>44523</v>
      </c>
      <c r="C70" s="1" t="n">
        <v>45899</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36763-2022</t>
        </is>
      </c>
      <c r="B71" s="1" t="n">
        <v>44805</v>
      </c>
      <c r="C71" s="1" t="n">
        <v>45899</v>
      </c>
      <c r="D71" t="inlineStr">
        <is>
          <t>VÄSTRA GÖTALANDS LÄN</t>
        </is>
      </c>
      <c r="E71" t="inlineStr">
        <is>
          <t>ALE</t>
        </is>
      </c>
      <c r="G71" t="n">
        <v>6.1</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45899</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45899</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45899</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45899</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45899</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14458-2024</t>
        </is>
      </c>
      <c r="B77" s="1" t="n">
        <v>45394</v>
      </c>
      <c r="C77" s="1" t="n">
        <v>45899</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45899</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45899</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22946-2025</t>
        </is>
      </c>
      <c r="B80" s="1" t="n">
        <v>45790.48229166667</v>
      </c>
      <c r="C80" s="1" t="n">
        <v>45899</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53121-2024</t>
        </is>
      </c>
      <c r="B81" s="1" t="n">
        <v>45611</v>
      </c>
      <c r="C81" s="1" t="n">
        <v>45899</v>
      </c>
      <c r="D81" t="inlineStr">
        <is>
          <t>VÄSTRA GÖTALANDS LÄN</t>
        </is>
      </c>
      <c r="E81" t="inlineStr">
        <is>
          <t>ALE</t>
        </is>
      </c>
      <c r="G81" t="n">
        <v>3.4</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45899</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4971-2024</t>
        </is>
      </c>
      <c r="B83" s="1" t="n">
        <v>45329</v>
      </c>
      <c r="C83" s="1" t="n">
        <v>45899</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4642-2024</t>
        </is>
      </c>
      <c r="B84" s="1" t="n">
        <v>45328.43502314815</v>
      </c>
      <c r="C84" s="1" t="n">
        <v>45899</v>
      </c>
      <c r="D84" t="inlineStr">
        <is>
          <t>VÄSTRA GÖTALANDS LÄN</t>
        </is>
      </c>
      <c r="E84" t="inlineStr">
        <is>
          <t>ALE</t>
        </is>
      </c>
      <c r="G84" t="n">
        <v>7.1</v>
      </c>
      <c r="H84" t="n">
        <v>0</v>
      </c>
      <c r="I84" t="n">
        <v>0</v>
      </c>
      <c r="J84" t="n">
        <v>0</v>
      </c>
      <c r="K84" t="n">
        <v>0</v>
      </c>
      <c r="L84" t="n">
        <v>0</v>
      </c>
      <c r="M84" t="n">
        <v>0</v>
      </c>
      <c r="N84" t="n">
        <v>0</v>
      </c>
      <c r="O84" t="n">
        <v>0</v>
      </c>
      <c r="P84" t="n">
        <v>0</v>
      </c>
      <c r="Q84" t="n">
        <v>0</v>
      </c>
      <c r="R84" s="2" t="inlineStr"/>
    </row>
    <row r="85" ht="15" customHeight="1">
      <c r="A85" t="inlineStr">
        <is>
          <t>A 37461-2024</t>
        </is>
      </c>
      <c r="B85" s="1" t="n">
        <v>45540.72516203704</v>
      </c>
      <c r="C85" s="1" t="n">
        <v>45899</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51564-2023</t>
        </is>
      </c>
      <c r="B86" s="1" t="n">
        <v>45222</v>
      </c>
      <c r="C86" s="1" t="n">
        <v>45899</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14731-2022</t>
        </is>
      </c>
      <c r="B87" s="1" t="n">
        <v>44656</v>
      </c>
      <c r="C87" s="1" t="n">
        <v>45899</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3520-2022</t>
        </is>
      </c>
      <c r="B88" s="1" t="n">
        <v>44585.72818287037</v>
      </c>
      <c r="C88" s="1" t="n">
        <v>45899</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25849-2025</t>
        </is>
      </c>
      <c r="B89" s="1" t="n">
        <v>45804</v>
      </c>
      <c r="C89" s="1" t="n">
        <v>45899</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25848-2025</t>
        </is>
      </c>
      <c r="B90" s="1" t="n">
        <v>45804</v>
      </c>
      <c r="C90" s="1" t="n">
        <v>45899</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36403-2024</t>
        </is>
      </c>
      <c r="B91" s="1" t="n">
        <v>45535.69445601852</v>
      </c>
      <c r="C91" s="1" t="n">
        <v>45899</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25840-2025</t>
        </is>
      </c>
      <c r="B92" s="1" t="n">
        <v>45804</v>
      </c>
      <c r="C92" s="1" t="n">
        <v>45899</v>
      </c>
      <c r="D92" t="inlineStr">
        <is>
          <t>VÄSTRA GÖTALANDS LÄN</t>
        </is>
      </c>
      <c r="E92" t="inlineStr">
        <is>
          <t>ALE</t>
        </is>
      </c>
      <c r="G92" t="n">
        <v>3.8</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45899</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66551-2020</t>
        </is>
      </c>
      <c r="B94" s="1" t="n">
        <v>44179</v>
      </c>
      <c r="C94" s="1" t="n">
        <v>45899</v>
      </c>
      <c r="D94" t="inlineStr">
        <is>
          <t>VÄSTRA GÖTALANDS LÄN</t>
        </is>
      </c>
      <c r="E94" t="inlineStr">
        <is>
          <t>ALE</t>
        </is>
      </c>
      <c r="G94" t="n">
        <v>4.5</v>
      </c>
      <c r="H94" t="n">
        <v>0</v>
      </c>
      <c r="I94" t="n">
        <v>0</v>
      </c>
      <c r="J94" t="n">
        <v>0</v>
      </c>
      <c r="K94" t="n">
        <v>0</v>
      </c>
      <c r="L94" t="n">
        <v>0</v>
      </c>
      <c r="M94" t="n">
        <v>0</v>
      </c>
      <c r="N94" t="n">
        <v>0</v>
      </c>
      <c r="O94" t="n">
        <v>0</v>
      </c>
      <c r="P94" t="n">
        <v>0</v>
      </c>
      <c r="Q94" t="n">
        <v>0</v>
      </c>
      <c r="R94" s="2" t="inlineStr"/>
    </row>
    <row r="95" ht="15" customHeight="1">
      <c r="A95" t="inlineStr">
        <is>
          <t>A 33237-2024</t>
        </is>
      </c>
      <c r="B95" s="1" t="n">
        <v>45518.59173611111</v>
      </c>
      <c r="C95" s="1" t="n">
        <v>45899</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44429-2023</t>
        </is>
      </c>
      <c r="B96" s="1" t="n">
        <v>45189.35101851852</v>
      </c>
      <c r="C96" s="1" t="n">
        <v>45899</v>
      </c>
      <c r="D96" t="inlineStr">
        <is>
          <t>VÄSTRA GÖTALANDS LÄN</t>
        </is>
      </c>
      <c r="E96" t="inlineStr">
        <is>
          <t>ALE</t>
        </is>
      </c>
      <c r="G96" t="n">
        <v>0.1</v>
      </c>
      <c r="H96" t="n">
        <v>0</v>
      </c>
      <c r="I96" t="n">
        <v>0</v>
      </c>
      <c r="J96" t="n">
        <v>0</v>
      </c>
      <c r="K96" t="n">
        <v>0</v>
      </c>
      <c r="L96" t="n">
        <v>0</v>
      </c>
      <c r="M96" t="n">
        <v>0</v>
      </c>
      <c r="N96" t="n">
        <v>0</v>
      </c>
      <c r="O96" t="n">
        <v>0</v>
      </c>
      <c r="P96" t="n">
        <v>0</v>
      </c>
      <c r="Q96" t="n">
        <v>0</v>
      </c>
      <c r="R96" s="2" t="inlineStr"/>
    </row>
    <row r="97" ht="15" customHeight="1">
      <c r="A97" t="inlineStr">
        <is>
          <t>A 7892-2024</t>
        </is>
      </c>
      <c r="B97" s="1" t="n">
        <v>45350.40921296296</v>
      </c>
      <c r="C97" s="1" t="n">
        <v>45899</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51164-2024</t>
        </is>
      </c>
      <c r="B98" s="1" t="n">
        <v>45603.5830787037</v>
      </c>
      <c r="C98" s="1" t="n">
        <v>45899</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4444-2024</t>
        </is>
      </c>
      <c r="B99" s="1" t="n">
        <v>45327</v>
      </c>
      <c r="C99" s="1" t="n">
        <v>45899</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45899</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8659-2025</t>
        </is>
      </c>
      <c r="B101" s="1" t="n">
        <v>45712</v>
      </c>
      <c r="C101" s="1" t="n">
        <v>45899</v>
      </c>
      <c r="D101" t="inlineStr">
        <is>
          <t>VÄSTRA GÖTALANDS LÄN</t>
        </is>
      </c>
      <c r="E101" t="inlineStr">
        <is>
          <t>ALE</t>
        </is>
      </c>
      <c r="G101" t="n">
        <v>5.7</v>
      </c>
      <c r="H101" t="n">
        <v>0</v>
      </c>
      <c r="I101" t="n">
        <v>0</v>
      </c>
      <c r="J101" t="n">
        <v>0</v>
      </c>
      <c r="K101" t="n">
        <v>0</v>
      </c>
      <c r="L101" t="n">
        <v>0</v>
      </c>
      <c r="M101" t="n">
        <v>0</v>
      </c>
      <c r="N101" t="n">
        <v>0</v>
      </c>
      <c r="O101" t="n">
        <v>0</v>
      </c>
      <c r="P101" t="n">
        <v>0</v>
      </c>
      <c r="Q101" t="n">
        <v>0</v>
      </c>
      <c r="R101" s="2" t="inlineStr"/>
    </row>
    <row r="102" ht="15" customHeight="1">
      <c r="A102" t="inlineStr">
        <is>
          <t>A 5344-2024</t>
        </is>
      </c>
      <c r="B102" s="1" t="n">
        <v>45331</v>
      </c>
      <c r="C102" s="1" t="n">
        <v>45899</v>
      </c>
      <c r="D102" t="inlineStr">
        <is>
          <t>VÄSTRA GÖTALANDS LÄN</t>
        </is>
      </c>
      <c r="E102" t="inlineStr">
        <is>
          <t>ALE</t>
        </is>
      </c>
      <c r="G102" t="n">
        <v>2.5</v>
      </c>
      <c r="H102" t="n">
        <v>0</v>
      </c>
      <c r="I102" t="n">
        <v>0</v>
      </c>
      <c r="J102" t="n">
        <v>0</v>
      </c>
      <c r="K102" t="n">
        <v>0</v>
      </c>
      <c r="L102" t="n">
        <v>0</v>
      </c>
      <c r="M102" t="n">
        <v>0</v>
      </c>
      <c r="N102" t="n">
        <v>0</v>
      </c>
      <c r="O102" t="n">
        <v>0</v>
      </c>
      <c r="P102" t="n">
        <v>0</v>
      </c>
      <c r="Q102" t="n">
        <v>0</v>
      </c>
      <c r="R102" s="2" t="inlineStr"/>
    </row>
    <row r="103" ht="15" customHeight="1">
      <c r="A103" t="inlineStr">
        <is>
          <t>A 18637-2023</t>
        </is>
      </c>
      <c r="B103" s="1" t="n">
        <v>45043</v>
      </c>
      <c r="C103" s="1" t="n">
        <v>45899</v>
      </c>
      <c r="D103" t="inlineStr">
        <is>
          <t>VÄSTRA GÖTALANDS LÄN</t>
        </is>
      </c>
      <c r="E103" t="inlineStr">
        <is>
          <t>ALE</t>
        </is>
      </c>
      <c r="G103" t="n">
        <v>3.6</v>
      </c>
      <c r="H103" t="n">
        <v>0</v>
      </c>
      <c r="I103" t="n">
        <v>0</v>
      </c>
      <c r="J103" t="n">
        <v>0</v>
      </c>
      <c r="K103" t="n">
        <v>0</v>
      </c>
      <c r="L103" t="n">
        <v>0</v>
      </c>
      <c r="M103" t="n">
        <v>0</v>
      </c>
      <c r="N103" t="n">
        <v>0</v>
      </c>
      <c r="O103" t="n">
        <v>0</v>
      </c>
      <c r="P103" t="n">
        <v>0</v>
      </c>
      <c r="Q103" t="n">
        <v>0</v>
      </c>
      <c r="R103" s="2" t="inlineStr"/>
    </row>
    <row r="104" ht="15" customHeight="1">
      <c r="A104" t="inlineStr">
        <is>
          <t>A 59933-2023</t>
        </is>
      </c>
      <c r="B104" s="1" t="n">
        <v>45257</v>
      </c>
      <c r="C104" s="1" t="n">
        <v>45899</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45899</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60232-2024</t>
        </is>
      </c>
      <c r="B106" s="1" t="n">
        <v>45642</v>
      </c>
      <c r="C106" s="1" t="n">
        <v>45899</v>
      </c>
      <c r="D106" t="inlineStr">
        <is>
          <t>VÄSTRA GÖTALANDS LÄN</t>
        </is>
      </c>
      <c r="E106" t="inlineStr">
        <is>
          <t>ALE</t>
        </is>
      </c>
      <c r="G106" t="n">
        <v>5</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45899</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8956-2025</t>
        </is>
      </c>
      <c r="B108" s="1" t="n">
        <v>45713.46825231481</v>
      </c>
      <c r="C108" s="1" t="n">
        <v>45899</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45899</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45899</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45899</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31407-2025</t>
        </is>
      </c>
      <c r="B112" s="1" t="n">
        <v>45833</v>
      </c>
      <c r="C112" s="1" t="n">
        <v>45899</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31409-2025</t>
        </is>
      </c>
      <c r="B113" s="1" t="n">
        <v>45833</v>
      </c>
      <c r="C113" s="1" t="n">
        <v>45899</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45899</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31488-2025</t>
        </is>
      </c>
      <c r="B115" s="1" t="n">
        <v>45833</v>
      </c>
      <c r="C115" s="1" t="n">
        <v>45899</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26083-2023</t>
        </is>
      </c>
      <c r="B116" s="1" t="n">
        <v>45091</v>
      </c>
      <c r="C116" s="1" t="n">
        <v>45899</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63575-2023</t>
        </is>
      </c>
      <c r="B117" s="1" t="n">
        <v>45275.39715277778</v>
      </c>
      <c r="C117" s="1" t="n">
        <v>45899</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35905-2025</t>
        </is>
      </c>
      <c r="B118" s="1" t="n">
        <v>45862</v>
      </c>
      <c r="C118" s="1" t="n">
        <v>45899</v>
      </c>
      <c r="D118" t="inlineStr">
        <is>
          <t>VÄSTRA GÖTALANDS LÄN</t>
        </is>
      </c>
      <c r="E118" t="inlineStr">
        <is>
          <t>ALE</t>
        </is>
      </c>
      <c r="G118" t="n">
        <v>4.2</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45899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45899</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45899</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45899</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6947-2024</t>
        </is>
      </c>
      <c r="B123" s="1" t="n">
        <v>45343</v>
      </c>
      <c r="C123" s="1" t="n">
        <v>45899</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60233-2024</t>
        </is>
      </c>
      <c r="B124" s="1" t="n">
        <v>45642.74851851852</v>
      </c>
      <c r="C124" s="1" t="n">
        <v>45899</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40059-2025</t>
        </is>
      </c>
      <c r="B125" s="1" t="n">
        <v>45894.42600694444</v>
      </c>
      <c r="C125" s="1" t="n">
        <v>45899</v>
      </c>
      <c r="D125" t="inlineStr">
        <is>
          <t>VÄSTRA GÖTALANDS LÄN</t>
        </is>
      </c>
      <c r="E125" t="inlineStr">
        <is>
          <t>ALE</t>
        </is>
      </c>
      <c r="G125" t="n">
        <v>0.9</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44802.57002314815</v>
      </c>
      <c r="C126" s="1" t="n">
        <v>45899</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40074-2025</t>
        </is>
      </c>
      <c r="B127" s="1" t="n">
        <v>45894.44685185186</v>
      </c>
      <c r="C127" s="1" t="n">
        <v>45899</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200-2022</t>
        </is>
      </c>
      <c r="B128" s="1" t="n">
        <v>44564</v>
      </c>
      <c r="C128" s="1" t="n">
        <v>45899</v>
      </c>
      <c r="D128" t="inlineStr">
        <is>
          <t>VÄSTRA GÖTALANDS LÄN</t>
        </is>
      </c>
      <c r="E128" t="inlineStr">
        <is>
          <t>ALE</t>
        </is>
      </c>
      <c r="G128" t="n">
        <v>6.8</v>
      </c>
      <c r="H128" t="n">
        <v>0</v>
      </c>
      <c r="I128" t="n">
        <v>0</v>
      </c>
      <c r="J128" t="n">
        <v>0</v>
      </c>
      <c r="K128" t="n">
        <v>0</v>
      </c>
      <c r="L128" t="n">
        <v>0</v>
      </c>
      <c r="M128" t="n">
        <v>0</v>
      </c>
      <c r="N128" t="n">
        <v>0</v>
      </c>
      <c r="O128" t="n">
        <v>0</v>
      </c>
      <c r="P128" t="n">
        <v>0</v>
      </c>
      <c r="Q128" t="n">
        <v>0</v>
      </c>
      <c r="R128" s="2" t="inlineStr"/>
    </row>
    <row r="129" ht="15" customHeight="1">
      <c r="A129" t="inlineStr">
        <is>
          <t>A 34153-2024</t>
        </is>
      </c>
      <c r="B129" s="1" t="n">
        <v>45524.38400462963</v>
      </c>
      <c r="C129" s="1" t="n">
        <v>45899</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17044-2025</t>
        </is>
      </c>
      <c r="B130" s="1" t="n">
        <v>45755.58891203703</v>
      </c>
      <c r="C130" s="1" t="n">
        <v>45899</v>
      </c>
      <c r="D130" t="inlineStr">
        <is>
          <t>VÄSTRA GÖTALANDS LÄN</t>
        </is>
      </c>
      <c r="E130" t="inlineStr">
        <is>
          <t>ALE</t>
        </is>
      </c>
      <c r="G130" t="n">
        <v>1.5</v>
      </c>
      <c r="H130" t="n">
        <v>0</v>
      </c>
      <c r="I130" t="n">
        <v>0</v>
      </c>
      <c r="J130" t="n">
        <v>0</v>
      </c>
      <c r="K130" t="n">
        <v>0</v>
      </c>
      <c r="L130" t="n">
        <v>0</v>
      </c>
      <c r="M130" t="n">
        <v>0</v>
      </c>
      <c r="N130" t="n">
        <v>0</v>
      </c>
      <c r="O130" t="n">
        <v>0</v>
      </c>
      <c r="P130" t="n">
        <v>0</v>
      </c>
      <c r="Q130" t="n">
        <v>0</v>
      </c>
      <c r="R130" s="2" t="inlineStr"/>
    </row>
    <row r="131" ht="15" customHeight="1">
      <c r="A131" t="inlineStr">
        <is>
          <t>A 40931-2025</t>
        </is>
      </c>
      <c r="B131" s="1" t="n">
        <v>45897.64783564815</v>
      </c>
      <c r="C131" s="1" t="n">
        <v>45899</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41309-2024</t>
        </is>
      </c>
      <c r="B132" s="1" t="n">
        <v>45559</v>
      </c>
      <c r="C132" s="1" t="n">
        <v>45899</v>
      </c>
      <c r="D132" t="inlineStr">
        <is>
          <t>VÄSTRA GÖTALANDS LÄN</t>
        </is>
      </c>
      <c r="E132" t="inlineStr">
        <is>
          <t>ALE</t>
        </is>
      </c>
      <c r="G132" t="n">
        <v>8.4</v>
      </c>
      <c r="H132" t="n">
        <v>0</v>
      </c>
      <c r="I132" t="n">
        <v>0</v>
      </c>
      <c r="J132" t="n">
        <v>0</v>
      </c>
      <c r="K132" t="n">
        <v>0</v>
      </c>
      <c r="L132" t="n">
        <v>0</v>
      </c>
      <c r="M132" t="n">
        <v>0</v>
      </c>
      <c r="N132" t="n">
        <v>0</v>
      </c>
      <c r="O132" t="n">
        <v>0</v>
      </c>
      <c r="P132" t="n">
        <v>0</v>
      </c>
      <c r="Q132" t="n">
        <v>0</v>
      </c>
      <c r="R132" s="2" t="inlineStr"/>
    </row>
    <row r="133" ht="15" customHeight="1">
      <c r="A133" t="inlineStr">
        <is>
          <t>A 15499-2022</t>
        </is>
      </c>
      <c r="B133" s="1" t="n">
        <v>44662</v>
      </c>
      <c r="C133" s="1" t="n">
        <v>45899</v>
      </c>
      <c r="D133" t="inlineStr">
        <is>
          <t>VÄSTRA GÖTALANDS LÄN</t>
        </is>
      </c>
      <c r="E133" t="inlineStr">
        <is>
          <t>ALE</t>
        </is>
      </c>
      <c r="G133" t="n">
        <v>4.7</v>
      </c>
      <c r="H133" t="n">
        <v>0</v>
      </c>
      <c r="I133" t="n">
        <v>0</v>
      </c>
      <c r="J133" t="n">
        <v>0</v>
      </c>
      <c r="K133" t="n">
        <v>0</v>
      </c>
      <c r="L133" t="n">
        <v>0</v>
      </c>
      <c r="M133" t="n">
        <v>0</v>
      </c>
      <c r="N133" t="n">
        <v>0</v>
      </c>
      <c r="O133" t="n">
        <v>0</v>
      </c>
      <c r="P133" t="n">
        <v>0</v>
      </c>
      <c r="Q133" t="n">
        <v>0</v>
      </c>
      <c r="R133" s="2" t="inlineStr"/>
    </row>
    <row r="134" ht="15" customHeight="1">
      <c r="A134" t="inlineStr">
        <is>
          <t>A 34104-2024</t>
        </is>
      </c>
      <c r="B134" s="1" t="n">
        <v>45523.79202546296</v>
      </c>
      <c r="C134" s="1" t="n">
        <v>45899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45899</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27314-2021</t>
        </is>
      </c>
      <c r="B136" s="1" t="n">
        <v>44351.36537037037</v>
      </c>
      <c r="C136" s="1" t="n">
        <v>45899</v>
      </c>
      <c r="D136" t="inlineStr">
        <is>
          <t>VÄSTRA GÖTALANDS LÄN</t>
        </is>
      </c>
      <c r="E136" t="inlineStr">
        <is>
          <t>ALE</t>
        </is>
      </c>
      <c r="G136" t="n">
        <v>11.3</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44858.47591435185</v>
      </c>
      <c r="C137" s="1" t="n">
        <v>45899</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18999-2021</t>
        </is>
      </c>
      <c r="B138" s="1" t="n">
        <v>44308</v>
      </c>
      <c r="C138" s="1" t="n">
        <v>45899</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45899</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45899</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1687-2024</t>
        </is>
      </c>
      <c r="B141" s="1" t="n">
        <v>45306</v>
      </c>
      <c r="C141" s="1" t="n">
        <v>45899</v>
      </c>
      <c r="D141" t="inlineStr">
        <is>
          <t>VÄSTRA GÖTALANDS LÄN</t>
        </is>
      </c>
      <c r="E141" t="inlineStr">
        <is>
          <t>ALE</t>
        </is>
      </c>
      <c r="G141" t="n">
        <v>3.4</v>
      </c>
      <c r="H141" t="n">
        <v>0</v>
      </c>
      <c r="I141" t="n">
        <v>0</v>
      </c>
      <c r="J141" t="n">
        <v>0</v>
      </c>
      <c r="K141" t="n">
        <v>0</v>
      </c>
      <c r="L141" t="n">
        <v>0</v>
      </c>
      <c r="M141" t="n">
        <v>0</v>
      </c>
      <c r="N141" t="n">
        <v>0</v>
      </c>
      <c r="O141" t="n">
        <v>0</v>
      </c>
      <c r="P141" t="n">
        <v>0</v>
      </c>
      <c r="Q141" t="n">
        <v>0</v>
      </c>
      <c r="R141" s="2" t="inlineStr"/>
    </row>
    <row r="142" ht="15" customHeight="1">
      <c r="A142" t="inlineStr">
        <is>
          <t>A 65226-2021</t>
        </is>
      </c>
      <c r="B142" s="1" t="n">
        <v>44515</v>
      </c>
      <c r="C142" s="1" t="n">
        <v>45899</v>
      </c>
      <c r="D142" t="inlineStr">
        <is>
          <t>VÄSTRA GÖTALANDS LÄN</t>
        </is>
      </c>
      <c r="E142" t="inlineStr">
        <is>
          <t>ALE</t>
        </is>
      </c>
      <c r="G142" t="n">
        <v>0.7</v>
      </c>
      <c r="H142" t="n">
        <v>0</v>
      </c>
      <c r="I142" t="n">
        <v>0</v>
      </c>
      <c r="J142" t="n">
        <v>0</v>
      </c>
      <c r="K142" t="n">
        <v>0</v>
      </c>
      <c r="L142" t="n">
        <v>0</v>
      </c>
      <c r="M142" t="n">
        <v>0</v>
      </c>
      <c r="N142" t="n">
        <v>0</v>
      </c>
      <c r="O142" t="n">
        <v>0</v>
      </c>
      <c r="P142" t="n">
        <v>0</v>
      </c>
      <c r="Q142" t="n">
        <v>0</v>
      </c>
      <c r="R142" s="2" t="inlineStr"/>
    </row>
    <row r="143" ht="15" customHeight="1">
      <c r="A143" t="inlineStr">
        <is>
          <t>A 12055-2022</t>
        </is>
      </c>
      <c r="B143" s="1" t="n">
        <v>44636</v>
      </c>
      <c r="C143" s="1" t="n">
        <v>45899</v>
      </c>
      <c r="D143" t="inlineStr">
        <is>
          <t>VÄSTRA GÖTALANDS LÄN</t>
        </is>
      </c>
      <c r="E143" t="inlineStr">
        <is>
          <t>ALE</t>
        </is>
      </c>
      <c r="G143" t="n">
        <v>0.2</v>
      </c>
      <c r="H143" t="n">
        <v>0</v>
      </c>
      <c r="I143" t="n">
        <v>0</v>
      </c>
      <c r="J143" t="n">
        <v>0</v>
      </c>
      <c r="K143" t="n">
        <v>0</v>
      </c>
      <c r="L143" t="n">
        <v>0</v>
      </c>
      <c r="M143" t="n">
        <v>0</v>
      </c>
      <c r="N143" t="n">
        <v>0</v>
      </c>
      <c r="O143" t="n">
        <v>0</v>
      </c>
      <c r="P143" t="n">
        <v>0</v>
      </c>
      <c r="Q143" t="n">
        <v>0</v>
      </c>
      <c r="R143" s="2" t="inlineStr"/>
    </row>
    <row r="144" ht="15" customHeight="1">
      <c r="A144" t="inlineStr">
        <is>
          <t>A 50451-2024</t>
        </is>
      </c>
      <c r="B144" s="1" t="n">
        <v>45601.44248842593</v>
      </c>
      <c r="C144" s="1" t="n">
        <v>45899</v>
      </c>
      <c r="D144" t="inlineStr">
        <is>
          <t>VÄSTRA GÖTALANDS LÄN</t>
        </is>
      </c>
      <c r="E144" t="inlineStr">
        <is>
          <t>ALE</t>
        </is>
      </c>
      <c r="G144" t="n">
        <v>2.9</v>
      </c>
      <c r="H144" t="n">
        <v>0</v>
      </c>
      <c r="I144" t="n">
        <v>0</v>
      </c>
      <c r="J144" t="n">
        <v>0</v>
      </c>
      <c r="K144" t="n">
        <v>0</v>
      </c>
      <c r="L144" t="n">
        <v>0</v>
      </c>
      <c r="M144" t="n">
        <v>0</v>
      </c>
      <c r="N144" t="n">
        <v>0</v>
      </c>
      <c r="O144" t="n">
        <v>0</v>
      </c>
      <c r="P144" t="n">
        <v>0</v>
      </c>
      <c r="Q144" t="n">
        <v>0</v>
      </c>
      <c r="R144" s="2" t="inlineStr"/>
    </row>
    <row r="145" ht="15" customHeight="1">
      <c r="A145" t="inlineStr">
        <is>
          <t>A 49680-2024</t>
        </is>
      </c>
      <c r="B145" s="1" t="n">
        <v>45596.66880787037</v>
      </c>
      <c r="C145" s="1" t="n">
        <v>45899</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3457-2022</t>
        </is>
      </c>
      <c r="B146" s="1" t="n">
        <v>44585</v>
      </c>
      <c r="C146" s="1" t="n">
        <v>45899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69325-2020</t>
        </is>
      </c>
      <c r="B147" s="1" t="n">
        <v>44193</v>
      </c>
      <c r="C147" s="1" t="n">
        <v>45899</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45899</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4363-2024</t>
        </is>
      </c>
      <c r="B149" s="1" t="n">
        <v>45325</v>
      </c>
      <c r="C149" s="1" t="n">
        <v>45899</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16601-2025</t>
        </is>
      </c>
      <c r="B150" s="1" t="n">
        <v>45753.53189814815</v>
      </c>
      <c r="C150" s="1" t="n">
        <v>45899</v>
      </c>
      <c r="D150" t="inlineStr">
        <is>
          <t>VÄSTRA GÖTALANDS LÄN</t>
        </is>
      </c>
      <c r="E150" t="inlineStr">
        <is>
          <t>ALE</t>
        </is>
      </c>
      <c r="G150" t="n">
        <v>1.7</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45899</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45899</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45899</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c r="A154" t="inlineStr">
        <is>
          <t>A 64199-2021</t>
        </is>
      </c>
      <c r="B154" s="1" t="n">
        <v>44510</v>
      </c>
      <c r="C154" s="1" t="n">
        <v>45899</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2025-08-30T08:30:32Z</dcterms:created>
  <dcterms:modified xmlns:dcterms="http://purl.org/dc/terms/" xmlns:xsi="http://www.w3.org/2001/XMLSchema-instance" xsi:type="dcterms:W3CDTF">2025-08-30T08:30:32Z</dcterms:modified>
</cp:coreProperties>
</file>