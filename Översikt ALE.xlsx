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45584</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45584</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45584</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45584</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45584</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39577-2024</t>
        </is>
      </c>
      <c r="B7" s="1" t="n">
        <v>45552</v>
      </c>
      <c r="C7" s="1" t="n">
        <v>45584</v>
      </c>
      <c r="D7" t="inlineStr">
        <is>
          <t>VÄSTRA GÖTALANDS LÄN</t>
        </is>
      </c>
      <c r="E7" t="inlineStr">
        <is>
          <t>ALE</t>
        </is>
      </c>
      <c r="G7" t="n">
        <v>3.3</v>
      </c>
      <c r="H7" t="n">
        <v>5</v>
      </c>
      <c r="I7" t="n">
        <v>8</v>
      </c>
      <c r="J7" t="n">
        <v>3</v>
      </c>
      <c r="K7" t="n">
        <v>1</v>
      </c>
      <c r="L7" t="n">
        <v>0</v>
      </c>
      <c r="M7" t="n">
        <v>0</v>
      </c>
      <c r="N7" t="n">
        <v>0</v>
      </c>
      <c r="O7" t="n">
        <v>4</v>
      </c>
      <c r="P7" t="n">
        <v>1</v>
      </c>
      <c r="Q7" t="n">
        <v>15</v>
      </c>
      <c r="R7" s="2" t="inlineStr">
        <is>
          <t>Knärot
Bronssopp
Motaggsvamp
Spillkråka
Bronshjon
Kambräken
Klippfrullania
Rödfläckig zontaggsvamp
Rödgul trumpetsvamp
Smal svampklubba
Stor revmossa
Vågbandad barkbock
Åkergroda
Lopplummer
Revlummer</t>
        </is>
      </c>
      <c r="S7">
        <f>HYPERLINK("https://klasma.github.io/Logging_1440/artfynd/A 39577-2024 artfynd.xlsx", "A 39577-2024")</f>
        <v/>
      </c>
      <c r="T7">
        <f>HYPERLINK("https://klasma.github.io/Logging_1440/kartor/A 39577-2024 karta.png", "A 39577-2024")</f>
        <v/>
      </c>
      <c r="U7">
        <f>HYPERLINK("https://klasma.github.io/Logging_1440/knärot/A 39577-2024 karta knärot.png", "A 39577-2024")</f>
        <v/>
      </c>
      <c r="V7">
        <f>HYPERLINK("https://klasma.github.io/Logging_1440/klagomål/A 39577-2024 FSC-klagomål.docx", "A 39577-2024")</f>
        <v/>
      </c>
      <c r="W7">
        <f>HYPERLINK("https://klasma.github.io/Logging_1440/klagomålsmail/A 39577-2024 FSC-klagomål mail.docx", "A 39577-2024")</f>
        <v/>
      </c>
      <c r="X7">
        <f>HYPERLINK("https://klasma.github.io/Logging_1440/tillsyn/A 39577-2024 tillsynsbegäran.docx", "A 39577-2024")</f>
        <v/>
      </c>
      <c r="Y7">
        <f>HYPERLINK("https://klasma.github.io/Logging_1440/tillsynsmail/A 39577-2024 tillsynsbegäran mail.docx", "A 39577-2024")</f>
        <v/>
      </c>
      <c r="Z7">
        <f>HYPERLINK("https://klasma.github.io/Logging_1440/fåglar/A 39577-2024 prioriterade fågelarter.docx", "A 39577-2024")</f>
        <v/>
      </c>
    </row>
    <row r="8" ht="15" customHeight="1">
      <c r="A8" t="inlineStr">
        <is>
          <t>A 39575-2024</t>
        </is>
      </c>
      <c r="B8" s="1" t="n">
        <v>45552</v>
      </c>
      <c r="C8" s="1" t="n">
        <v>45584</v>
      </c>
      <c r="D8" t="inlineStr">
        <is>
          <t>VÄSTRA GÖTALANDS LÄN</t>
        </is>
      </c>
      <c r="E8" t="inlineStr">
        <is>
          <t>ALE</t>
        </is>
      </c>
      <c r="G8" t="n">
        <v>10.3</v>
      </c>
      <c r="H8" t="n">
        <v>6</v>
      </c>
      <c r="I8" t="n">
        <v>5</v>
      </c>
      <c r="J8" t="n">
        <v>3</v>
      </c>
      <c r="K8" t="n">
        <v>1</v>
      </c>
      <c r="L8" t="n">
        <v>1</v>
      </c>
      <c r="M8" t="n">
        <v>0</v>
      </c>
      <c r="N8" t="n">
        <v>0</v>
      </c>
      <c r="O8" t="n">
        <v>5</v>
      </c>
      <c r="P8" t="n">
        <v>2</v>
      </c>
      <c r="Q8" t="n">
        <v>14</v>
      </c>
      <c r="R8" s="2" t="inlineStr">
        <is>
          <t>Ask
Brödtaggsvamp
Motaggsvamp
Spillkråka
Talltita
Blåmossa
Dropptaggsvamp
Stor revmossa
Tibast
Västlig hakmossa
Kungsfågel
Vanlig snok
Lopplummer
Revlummer</t>
        </is>
      </c>
      <c r="S8">
        <f>HYPERLINK("https://klasma.github.io/Logging_1440/artfynd/A 39575-2024 artfynd.xlsx", "A 39575-2024")</f>
        <v/>
      </c>
      <c r="T8">
        <f>HYPERLINK("https://klasma.github.io/Logging_1440/kartor/A 39575-2024 karta.png", "A 39575-2024")</f>
        <v/>
      </c>
      <c r="V8">
        <f>HYPERLINK("https://klasma.github.io/Logging_1440/klagomål/A 39575-2024 FSC-klagomål.docx", "A 39575-2024")</f>
        <v/>
      </c>
      <c r="W8">
        <f>HYPERLINK("https://klasma.github.io/Logging_1440/klagomålsmail/A 39575-2024 FSC-klagomål mail.docx", "A 39575-2024")</f>
        <v/>
      </c>
      <c r="X8">
        <f>HYPERLINK("https://klasma.github.io/Logging_1440/tillsyn/A 39575-2024 tillsynsbegäran.docx", "A 39575-2024")</f>
        <v/>
      </c>
      <c r="Y8">
        <f>HYPERLINK("https://klasma.github.io/Logging_1440/tillsynsmail/A 39575-2024 tillsynsbegäran mail.docx", "A 39575-2024")</f>
        <v/>
      </c>
      <c r="Z8">
        <f>HYPERLINK("https://klasma.github.io/Logging_1440/fåglar/A 39575-2024 prioriterade fågelarter.docx", "A 39575-2024")</f>
        <v/>
      </c>
    </row>
    <row r="9" ht="15" customHeight="1">
      <c r="A9" t="inlineStr">
        <is>
          <t>A 53693-2019</t>
        </is>
      </c>
      <c r="B9" s="1" t="n">
        <v>43749</v>
      </c>
      <c r="C9" s="1" t="n">
        <v>45584</v>
      </c>
      <c r="D9" t="inlineStr">
        <is>
          <t>VÄSTRA GÖTALANDS LÄN</t>
        </is>
      </c>
      <c r="E9" t="inlineStr">
        <is>
          <t>ALE</t>
        </is>
      </c>
      <c r="G9" t="n">
        <v>11.2</v>
      </c>
      <c r="H9" t="n">
        <v>7</v>
      </c>
      <c r="I9" t="n">
        <v>2</v>
      </c>
      <c r="J9" t="n">
        <v>4</v>
      </c>
      <c r="K9" t="n">
        <v>0</v>
      </c>
      <c r="L9" t="n">
        <v>0</v>
      </c>
      <c r="M9" t="n">
        <v>0</v>
      </c>
      <c r="N9" t="n">
        <v>0</v>
      </c>
      <c r="O9" t="n">
        <v>4</v>
      </c>
      <c r="P9" t="n">
        <v>0</v>
      </c>
      <c r="Q9" t="n">
        <v>10</v>
      </c>
      <c r="R9" s="2" t="inlineStr">
        <is>
          <t>Grönhjon
Mindre hackspett
Spillkråka
Talltita
Björksplintborre
Havstulpanlav
Grönsiska
Orre
Sparvuggla
Tjäder</t>
        </is>
      </c>
      <c r="S9">
        <f>HYPERLINK("https://klasma.github.io/Logging_1440/artfynd/A 53693-2019 artfynd.xlsx", "A 53693-2019")</f>
        <v/>
      </c>
      <c r="T9">
        <f>HYPERLINK("https://klasma.github.io/Logging_1440/kartor/A 53693-2019 karta.png", "A 53693-2019")</f>
        <v/>
      </c>
      <c r="V9">
        <f>HYPERLINK("https://klasma.github.io/Logging_1440/klagomål/A 53693-2019 FSC-klagomål.docx", "A 53693-2019")</f>
        <v/>
      </c>
      <c r="W9">
        <f>HYPERLINK("https://klasma.github.io/Logging_1440/klagomålsmail/A 53693-2019 FSC-klagomål mail.docx", "A 53693-2019")</f>
        <v/>
      </c>
      <c r="X9">
        <f>HYPERLINK("https://klasma.github.io/Logging_1440/tillsyn/A 53693-2019 tillsynsbegäran.docx", "A 53693-2019")</f>
        <v/>
      </c>
      <c r="Y9">
        <f>HYPERLINK("https://klasma.github.io/Logging_1440/tillsynsmail/A 53693-2019 tillsynsbegäran mail.docx", "A 53693-2019")</f>
        <v/>
      </c>
      <c r="Z9">
        <f>HYPERLINK("https://klasma.github.io/Logging_1440/fåglar/A 53693-2019 prioriterade fågelarter.docx", "A 53693-2019")</f>
        <v/>
      </c>
    </row>
    <row r="10" ht="15" customHeight="1">
      <c r="A10" t="inlineStr">
        <is>
          <t>A 36325-2023</t>
        </is>
      </c>
      <c r="B10" s="1" t="n">
        <v>45152</v>
      </c>
      <c r="C10" s="1" t="n">
        <v>45584</v>
      </c>
      <c r="D10" t="inlineStr">
        <is>
          <t>VÄSTRA GÖTALANDS LÄN</t>
        </is>
      </c>
      <c r="E10" t="inlineStr">
        <is>
          <t>ALE</t>
        </is>
      </c>
      <c r="G10" t="n">
        <v>9.4</v>
      </c>
      <c r="H10" t="n">
        <v>2</v>
      </c>
      <c r="I10" t="n">
        <v>7</v>
      </c>
      <c r="J10" t="n">
        <v>1</v>
      </c>
      <c r="K10" t="n">
        <v>0</v>
      </c>
      <c r="L10" t="n">
        <v>0</v>
      </c>
      <c r="M10" t="n">
        <v>0</v>
      </c>
      <c r="N10" t="n">
        <v>0</v>
      </c>
      <c r="O10" t="n">
        <v>1</v>
      </c>
      <c r="P10" t="n">
        <v>0</v>
      </c>
      <c r="Q10" t="n">
        <v>9</v>
      </c>
      <c r="R10" s="2" t="inlineStr">
        <is>
          <t>Spillkråka
Blomkålssvamp
Blåmossa
Klippfrullania
Kornknutmossa
Sotriska
Stor revmossa
Västlig hakmossa
Vanlig groda</t>
        </is>
      </c>
      <c r="S10">
        <f>HYPERLINK("https://klasma.github.io/Logging_1440/artfynd/A 36325-2023 artfynd.xlsx", "A 36325-2023")</f>
        <v/>
      </c>
      <c r="T10">
        <f>HYPERLINK("https://klasma.github.io/Logging_1440/kartor/A 36325-2023 karta.png", "A 36325-2023")</f>
        <v/>
      </c>
      <c r="V10">
        <f>HYPERLINK("https://klasma.github.io/Logging_1440/klagomål/A 36325-2023 FSC-klagomål.docx", "A 36325-2023")</f>
        <v/>
      </c>
      <c r="W10">
        <f>HYPERLINK("https://klasma.github.io/Logging_1440/klagomålsmail/A 36325-2023 FSC-klagomål mail.docx", "A 36325-2023")</f>
        <v/>
      </c>
      <c r="X10">
        <f>HYPERLINK("https://klasma.github.io/Logging_1440/tillsyn/A 36325-2023 tillsynsbegäran.docx", "A 36325-2023")</f>
        <v/>
      </c>
      <c r="Y10">
        <f>HYPERLINK("https://klasma.github.io/Logging_1440/tillsynsmail/A 36325-2023 tillsynsbegäran mail.docx", "A 36325-2023")</f>
        <v/>
      </c>
      <c r="Z10">
        <f>HYPERLINK("https://klasma.github.io/Logging_1440/fåglar/A 36325-2023 prioriterade fågelarter.docx", "A 36325-2023")</f>
        <v/>
      </c>
    </row>
    <row r="11" ht="15" customHeight="1">
      <c r="A11" t="inlineStr">
        <is>
          <t>A 19007-2023</t>
        </is>
      </c>
      <c r="B11" s="1" t="n">
        <v>45045</v>
      </c>
      <c r="C11" s="1" t="n">
        <v>45584</v>
      </c>
      <c r="D11" t="inlineStr">
        <is>
          <t>VÄSTRA GÖTALANDS LÄN</t>
        </is>
      </c>
      <c r="E11" t="inlineStr">
        <is>
          <t>ALE</t>
        </is>
      </c>
      <c r="G11" t="n">
        <v>2.4</v>
      </c>
      <c r="H11" t="n">
        <v>6</v>
      </c>
      <c r="I11" t="n">
        <v>2</v>
      </c>
      <c r="J11" t="n">
        <v>5</v>
      </c>
      <c r="K11" t="n">
        <v>0</v>
      </c>
      <c r="L11" t="n">
        <v>0</v>
      </c>
      <c r="M11" t="n">
        <v>0</v>
      </c>
      <c r="N11" t="n">
        <v>0</v>
      </c>
      <c r="O11" t="n">
        <v>5</v>
      </c>
      <c r="P11" t="n">
        <v>0</v>
      </c>
      <c r="Q11" t="n">
        <v>8</v>
      </c>
      <c r="R11" s="2" t="inlineStr">
        <is>
          <t>Entita
Havsörn
Mindre hackspett
Spillkråka
Talltita
Blomkålssvamp
Västlig hakmossa
Skogsduva</t>
        </is>
      </c>
      <c r="S11">
        <f>HYPERLINK("https://klasma.github.io/Logging_1440/artfynd/A 19007-2023 artfynd.xlsx", "A 19007-2023")</f>
        <v/>
      </c>
      <c r="T11">
        <f>HYPERLINK("https://klasma.github.io/Logging_1440/kartor/A 19007-2023 karta.png", "A 19007-2023")</f>
        <v/>
      </c>
      <c r="V11">
        <f>HYPERLINK("https://klasma.github.io/Logging_1440/klagomål/A 19007-2023 FSC-klagomål.docx", "A 19007-2023")</f>
        <v/>
      </c>
      <c r="W11">
        <f>HYPERLINK("https://klasma.github.io/Logging_1440/klagomålsmail/A 19007-2023 FSC-klagomål mail.docx", "A 19007-2023")</f>
        <v/>
      </c>
      <c r="X11">
        <f>HYPERLINK("https://klasma.github.io/Logging_1440/tillsyn/A 19007-2023 tillsynsbegäran.docx", "A 19007-2023")</f>
        <v/>
      </c>
      <c r="Y11">
        <f>HYPERLINK("https://klasma.github.io/Logging_1440/tillsynsmail/A 19007-2023 tillsynsbegäran mail.docx", "A 19007-2023")</f>
        <v/>
      </c>
      <c r="Z11">
        <f>HYPERLINK("https://klasma.github.io/Logging_1440/fåglar/A 19007-2023 prioriterade fågelarter.docx", "A 19007-2023")</f>
        <v/>
      </c>
    </row>
    <row r="12" ht="15" customHeight="1">
      <c r="A12" t="inlineStr">
        <is>
          <t>A 32849-2023</t>
        </is>
      </c>
      <c r="B12" s="1" t="n">
        <v>45124</v>
      </c>
      <c r="C12" s="1" t="n">
        <v>45584</v>
      </c>
      <c r="D12" t="inlineStr">
        <is>
          <t>VÄSTRA GÖTALANDS LÄN</t>
        </is>
      </c>
      <c r="E12" t="inlineStr">
        <is>
          <t>ALE</t>
        </is>
      </c>
      <c r="G12" t="n">
        <v>5.6</v>
      </c>
      <c r="H12" t="n">
        <v>2</v>
      </c>
      <c r="I12" t="n">
        <v>6</v>
      </c>
      <c r="J12" t="n">
        <v>1</v>
      </c>
      <c r="K12" t="n">
        <v>0</v>
      </c>
      <c r="L12" t="n">
        <v>0</v>
      </c>
      <c r="M12" t="n">
        <v>0</v>
      </c>
      <c r="N12" t="n">
        <v>0</v>
      </c>
      <c r="O12" t="n">
        <v>1</v>
      </c>
      <c r="P12" t="n">
        <v>0</v>
      </c>
      <c r="Q12" t="n">
        <v>8</v>
      </c>
      <c r="R12" s="2" t="inlineStr">
        <is>
          <t>Spillkråka
Blåmossa
Kornknutmossa
Sotriska
Stor revmossa
Stubbspretmossa
Västlig hakmossa
Vanlig groda</t>
        </is>
      </c>
      <c r="S12">
        <f>HYPERLINK("https://klasma.github.io/Logging_1440/artfynd/A 32849-2023 artfynd.xlsx", "A 32849-2023")</f>
        <v/>
      </c>
      <c r="T12">
        <f>HYPERLINK("https://klasma.github.io/Logging_1440/kartor/A 32849-2023 karta.png", "A 32849-2023")</f>
        <v/>
      </c>
      <c r="V12">
        <f>HYPERLINK("https://klasma.github.io/Logging_1440/klagomål/A 32849-2023 FSC-klagomål.docx", "A 32849-2023")</f>
        <v/>
      </c>
      <c r="W12">
        <f>HYPERLINK("https://klasma.github.io/Logging_1440/klagomålsmail/A 32849-2023 FSC-klagomål mail.docx", "A 32849-2023")</f>
        <v/>
      </c>
      <c r="X12">
        <f>HYPERLINK("https://klasma.github.io/Logging_1440/tillsyn/A 32849-2023 tillsynsbegäran.docx", "A 32849-2023")</f>
        <v/>
      </c>
      <c r="Y12">
        <f>HYPERLINK("https://klasma.github.io/Logging_1440/tillsynsmail/A 32849-2023 tillsynsbegäran mail.docx", "A 32849-2023")</f>
        <v/>
      </c>
      <c r="Z12">
        <f>HYPERLINK("https://klasma.github.io/Logging_1440/fåglar/A 32849-2023 prioriterade fågelarter.docx", "A 32849-2023")</f>
        <v/>
      </c>
    </row>
    <row r="13" ht="15" customHeight="1">
      <c r="A13" t="inlineStr">
        <is>
          <t>A 17566-2024</t>
        </is>
      </c>
      <c r="B13" s="1" t="n">
        <v>45415</v>
      </c>
      <c r="C13" s="1" t="n">
        <v>45584</v>
      </c>
      <c r="D13" t="inlineStr">
        <is>
          <t>VÄSTRA GÖTALANDS LÄN</t>
        </is>
      </c>
      <c r="E13" t="inlineStr">
        <is>
          <t>ALE</t>
        </is>
      </c>
      <c r="G13" t="n">
        <v>6.9</v>
      </c>
      <c r="H13" t="n">
        <v>5</v>
      </c>
      <c r="I13" t="n">
        <v>2</v>
      </c>
      <c r="J13" t="n">
        <v>2</v>
      </c>
      <c r="K13" t="n">
        <v>1</v>
      </c>
      <c r="L13" t="n">
        <v>0</v>
      </c>
      <c r="M13" t="n">
        <v>0</v>
      </c>
      <c r="N13" t="n">
        <v>0</v>
      </c>
      <c r="O13" t="n">
        <v>3</v>
      </c>
      <c r="P13" t="n">
        <v>1</v>
      </c>
      <c r="Q13" t="n">
        <v>7</v>
      </c>
      <c r="R13" s="2" t="inlineStr">
        <is>
          <t>Knärot
Spillkråka
Tretåig hackspett
Blåmossa
Västlig hakmossa
Kungsfågel
Revlummer</t>
        </is>
      </c>
      <c r="S13">
        <f>HYPERLINK("https://klasma.github.io/Logging_1440/artfynd/A 17566-2024 artfynd.xlsx", "A 17566-2024")</f>
        <v/>
      </c>
      <c r="T13">
        <f>HYPERLINK("https://klasma.github.io/Logging_1440/kartor/A 17566-2024 karta.png", "A 17566-2024")</f>
        <v/>
      </c>
      <c r="U13">
        <f>HYPERLINK("https://klasma.github.io/Logging_1440/knärot/A 17566-2024 karta knärot.png", "A 17566-2024")</f>
        <v/>
      </c>
      <c r="V13">
        <f>HYPERLINK("https://klasma.github.io/Logging_1440/klagomål/A 17566-2024 FSC-klagomål.docx", "A 17566-2024")</f>
        <v/>
      </c>
      <c r="W13">
        <f>HYPERLINK("https://klasma.github.io/Logging_1440/klagomålsmail/A 17566-2024 FSC-klagomål mail.docx", "A 17566-2024")</f>
        <v/>
      </c>
      <c r="X13">
        <f>HYPERLINK("https://klasma.github.io/Logging_1440/tillsyn/A 17566-2024 tillsynsbegäran.docx", "A 17566-2024")</f>
        <v/>
      </c>
      <c r="Y13">
        <f>HYPERLINK("https://klasma.github.io/Logging_1440/tillsynsmail/A 17566-2024 tillsynsbegäran mail.docx", "A 17566-2024")</f>
        <v/>
      </c>
      <c r="Z13">
        <f>HYPERLINK("https://klasma.github.io/Logging_1440/fåglar/A 17566-2024 prioriterade fågelarter.docx", "A 17566-2024")</f>
        <v/>
      </c>
    </row>
    <row r="14" ht="15" customHeight="1">
      <c r="A14" t="inlineStr">
        <is>
          <t>A 25436-2019</t>
        </is>
      </c>
      <c r="B14" s="1" t="n">
        <v>43606</v>
      </c>
      <c r="C14" s="1" t="n">
        <v>45584</v>
      </c>
      <c r="D14" t="inlineStr">
        <is>
          <t>VÄSTRA GÖTALANDS LÄN</t>
        </is>
      </c>
      <c r="E14" t="inlineStr">
        <is>
          <t>ALE</t>
        </is>
      </c>
      <c r="G14" t="n">
        <v>1.1</v>
      </c>
      <c r="H14" t="n">
        <v>2</v>
      </c>
      <c r="I14" t="n">
        <v>4</v>
      </c>
      <c r="J14" t="n">
        <v>2</v>
      </c>
      <c r="K14" t="n">
        <v>0</v>
      </c>
      <c r="L14" t="n">
        <v>0</v>
      </c>
      <c r="M14" t="n">
        <v>0</v>
      </c>
      <c r="N14" t="n">
        <v>0</v>
      </c>
      <c r="O14" t="n">
        <v>2</v>
      </c>
      <c r="P14" t="n">
        <v>0</v>
      </c>
      <c r="Q14" t="n">
        <v>6</v>
      </c>
      <c r="R14" s="2" t="inlineStr">
        <is>
          <t>Spillkråka
Talltita
Blåmossa
Havstulpanlav
Kattfotslav
Klippfrullania</t>
        </is>
      </c>
      <c r="S14">
        <f>HYPERLINK("https://klasma.github.io/Logging_1440/artfynd/A 25436-2019 artfynd.xlsx", "A 25436-2019")</f>
        <v/>
      </c>
      <c r="T14">
        <f>HYPERLINK("https://klasma.github.io/Logging_1440/kartor/A 25436-2019 karta.png", "A 25436-2019")</f>
        <v/>
      </c>
      <c r="V14">
        <f>HYPERLINK("https://klasma.github.io/Logging_1440/klagomål/A 25436-2019 FSC-klagomål.docx", "A 25436-2019")</f>
        <v/>
      </c>
      <c r="W14">
        <f>HYPERLINK("https://klasma.github.io/Logging_1440/klagomålsmail/A 25436-2019 FSC-klagomål mail.docx", "A 25436-2019")</f>
        <v/>
      </c>
      <c r="X14">
        <f>HYPERLINK("https://klasma.github.io/Logging_1440/tillsyn/A 25436-2019 tillsynsbegäran.docx", "A 25436-2019")</f>
        <v/>
      </c>
      <c r="Y14">
        <f>HYPERLINK("https://klasma.github.io/Logging_1440/tillsynsmail/A 25436-2019 tillsynsbegäran mail.docx", "A 25436-2019")</f>
        <v/>
      </c>
      <c r="Z14">
        <f>HYPERLINK("https://klasma.github.io/Logging_1440/fåglar/A 25436-2019 prioriterade fågelarter.docx", "A 25436-2019")</f>
        <v/>
      </c>
    </row>
    <row r="15" ht="15" customHeight="1">
      <c r="A15" t="inlineStr">
        <is>
          <t>A 40983-2023</t>
        </is>
      </c>
      <c r="B15" s="1" t="n">
        <v>45173</v>
      </c>
      <c r="C15" s="1" t="n">
        <v>45584</v>
      </c>
      <c r="D15" t="inlineStr">
        <is>
          <t>VÄSTRA GÖTALANDS LÄN</t>
        </is>
      </c>
      <c r="E15" t="inlineStr">
        <is>
          <t>ALE</t>
        </is>
      </c>
      <c r="F15" t="inlineStr">
        <is>
          <t>Kyrkan</t>
        </is>
      </c>
      <c r="G15" t="n">
        <v>12.6</v>
      </c>
      <c r="H15" t="n">
        <v>2</v>
      </c>
      <c r="I15" t="n">
        <v>3</v>
      </c>
      <c r="J15" t="n">
        <v>3</v>
      </c>
      <c r="K15" t="n">
        <v>0</v>
      </c>
      <c r="L15" t="n">
        <v>0</v>
      </c>
      <c r="M15" t="n">
        <v>0</v>
      </c>
      <c r="N15" t="n">
        <v>0</v>
      </c>
      <c r="O15" t="n">
        <v>3</v>
      </c>
      <c r="P15" t="n">
        <v>0</v>
      </c>
      <c r="Q15" t="n">
        <v>6</v>
      </c>
      <c r="R15" s="2" t="inlineStr">
        <is>
          <t>Kortskaftad ärgspik
Spillkråka
Talltita
Klippfrullania
Rostfläck
Rävticka</t>
        </is>
      </c>
      <c r="S15">
        <f>HYPERLINK("https://klasma.github.io/Logging_1440/artfynd/A 40983-2023 artfynd.xlsx", "A 40983-2023")</f>
        <v/>
      </c>
      <c r="T15">
        <f>HYPERLINK("https://klasma.github.io/Logging_1440/kartor/A 40983-2023 karta.png", "A 40983-2023")</f>
        <v/>
      </c>
      <c r="V15">
        <f>HYPERLINK("https://klasma.github.io/Logging_1440/klagomål/A 40983-2023 FSC-klagomål.docx", "A 40983-2023")</f>
        <v/>
      </c>
      <c r="W15">
        <f>HYPERLINK("https://klasma.github.io/Logging_1440/klagomålsmail/A 40983-2023 FSC-klagomål mail.docx", "A 40983-2023")</f>
        <v/>
      </c>
      <c r="X15">
        <f>HYPERLINK("https://klasma.github.io/Logging_1440/tillsyn/A 40983-2023 tillsynsbegäran.docx", "A 40983-2023")</f>
        <v/>
      </c>
      <c r="Y15">
        <f>HYPERLINK("https://klasma.github.io/Logging_1440/tillsynsmail/A 40983-2023 tillsynsbegäran mail.docx", "A 40983-2023")</f>
        <v/>
      </c>
      <c r="Z15">
        <f>HYPERLINK("https://klasma.github.io/Logging_1440/fåglar/A 40983-2023 prioriterade fågelarter.docx", "A 40983-2023")</f>
        <v/>
      </c>
    </row>
    <row r="16" ht="15" customHeight="1">
      <c r="A16" t="inlineStr">
        <is>
          <t>A 39593-2024</t>
        </is>
      </c>
      <c r="B16" s="1" t="n">
        <v>45552</v>
      </c>
      <c r="C16" s="1" t="n">
        <v>45584</v>
      </c>
      <c r="D16" t="inlineStr">
        <is>
          <t>VÄSTRA GÖTALANDS LÄN</t>
        </is>
      </c>
      <c r="E16" t="inlineStr">
        <is>
          <t>ALE</t>
        </is>
      </c>
      <c r="G16" t="n">
        <v>0.7</v>
      </c>
      <c r="H16" t="n">
        <v>2</v>
      </c>
      <c r="I16" t="n">
        <v>4</v>
      </c>
      <c r="J16" t="n">
        <v>1</v>
      </c>
      <c r="K16" t="n">
        <v>0</v>
      </c>
      <c r="L16" t="n">
        <v>0</v>
      </c>
      <c r="M16" t="n">
        <v>0</v>
      </c>
      <c r="N16" t="n">
        <v>0</v>
      </c>
      <c r="O16" t="n">
        <v>1</v>
      </c>
      <c r="P16" t="n">
        <v>0</v>
      </c>
      <c r="Q16" t="n">
        <v>6</v>
      </c>
      <c r="R16" s="2" t="inlineStr">
        <is>
          <t>Spillkråka
Blåmossa
Bronshjon
Stor revmossa
Vågbandad barkbock
Vanlig snok</t>
        </is>
      </c>
      <c r="S16">
        <f>HYPERLINK("https://klasma.github.io/Logging_1440/artfynd/A 39593-2024 artfynd.xlsx", "A 39593-2024")</f>
        <v/>
      </c>
      <c r="T16">
        <f>HYPERLINK("https://klasma.github.io/Logging_1440/kartor/A 39593-2024 karta.png", "A 39593-2024")</f>
        <v/>
      </c>
      <c r="V16">
        <f>HYPERLINK("https://klasma.github.io/Logging_1440/klagomål/A 39593-2024 FSC-klagomål.docx", "A 39593-2024")</f>
        <v/>
      </c>
      <c r="W16">
        <f>HYPERLINK("https://klasma.github.io/Logging_1440/klagomålsmail/A 39593-2024 FSC-klagomål mail.docx", "A 39593-2024")</f>
        <v/>
      </c>
      <c r="X16">
        <f>HYPERLINK("https://klasma.github.io/Logging_1440/tillsyn/A 39593-2024 tillsynsbegäran.docx", "A 39593-2024")</f>
        <v/>
      </c>
      <c r="Y16">
        <f>HYPERLINK("https://klasma.github.io/Logging_1440/tillsynsmail/A 39593-2024 tillsynsbegäran mail.docx", "A 39593-2024")</f>
        <v/>
      </c>
      <c r="Z16">
        <f>HYPERLINK("https://klasma.github.io/Logging_1440/fåglar/A 39593-2024 prioriterade fågelarter.docx", "A 39593-2024")</f>
        <v/>
      </c>
    </row>
    <row r="17" ht="15" customHeight="1">
      <c r="A17" t="inlineStr">
        <is>
          <t>A 39592-2024</t>
        </is>
      </c>
      <c r="B17" s="1" t="n">
        <v>45552</v>
      </c>
      <c r="C17" s="1" t="n">
        <v>45584</v>
      </c>
      <c r="D17" t="inlineStr">
        <is>
          <t>VÄSTRA GÖTALANDS LÄN</t>
        </is>
      </c>
      <c r="E17" t="inlineStr">
        <is>
          <t>ALE</t>
        </is>
      </c>
      <c r="G17" t="n">
        <v>1.2</v>
      </c>
      <c r="H17" t="n">
        <v>2</v>
      </c>
      <c r="I17" t="n">
        <v>3</v>
      </c>
      <c r="J17" t="n">
        <v>1</v>
      </c>
      <c r="K17" t="n">
        <v>1</v>
      </c>
      <c r="L17" t="n">
        <v>0</v>
      </c>
      <c r="M17" t="n">
        <v>0</v>
      </c>
      <c r="N17" t="n">
        <v>0</v>
      </c>
      <c r="O17" t="n">
        <v>2</v>
      </c>
      <c r="P17" t="n">
        <v>1</v>
      </c>
      <c r="Q17" t="n">
        <v>6</v>
      </c>
      <c r="R17" s="2" t="inlineStr">
        <is>
          <t>Flikbålmossa
Spillkråka
Bronshjon
Stor revmossa
Vågbandad barkbock
Kungsfågel</t>
        </is>
      </c>
      <c r="S17">
        <f>HYPERLINK("https://klasma.github.io/Logging_1440/artfynd/A 39592-2024 artfynd.xlsx", "A 39592-2024")</f>
        <v/>
      </c>
      <c r="T17">
        <f>HYPERLINK("https://klasma.github.io/Logging_1440/kartor/A 39592-2024 karta.png", "A 39592-2024")</f>
        <v/>
      </c>
      <c r="V17">
        <f>HYPERLINK("https://klasma.github.io/Logging_1440/klagomål/A 39592-2024 FSC-klagomål.docx", "A 39592-2024")</f>
        <v/>
      </c>
      <c r="W17">
        <f>HYPERLINK("https://klasma.github.io/Logging_1440/klagomålsmail/A 39592-2024 FSC-klagomål mail.docx", "A 39592-2024")</f>
        <v/>
      </c>
      <c r="X17">
        <f>HYPERLINK("https://klasma.github.io/Logging_1440/tillsyn/A 39592-2024 tillsynsbegäran.docx", "A 39592-2024")</f>
        <v/>
      </c>
      <c r="Y17">
        <f>HYPERLINK("https://klasma.github.io/Logging_1440/tillsynsmail/A 39592-2024 tillsynsbegäran mail.docx", "A 39592-2024")</f>
        <v/>
      </c>
      <c r="Z17">
        <f>HYPERLINK("https://klasma.github.io/Logging_1440/fåglar/A 39592-2024 prioriterade fågelarter.docx", "A 39592-2024")</f>
        <v/>
      </c>
    </row>
    <row r="18" ht="15" customHeight="1">
      <c r="A18" t="inlineStr">
        <is>
          <t>A 563-2024</t>
        </is>
      </c>
      <c r="B18" s="1" t="n">
        <v>45299</v>
      </c>
      <c r="C18" s="1" t="n">
        <v>45584</v>
      </c>
      <c r="D18" t="inlineStr">
        <is>
          <t>VÄSTRA GÖTALANDS LÄN</t>
        </is>
      </c>
      <c r="E18" t="inlineStr">
        <is>
          <t>ALE</t>
        </is>
      </c>
      <c r="F18" t="inlineStr">
        <is>
          <t>Kyrkan</t>
        </is>
      </c>
      <c r="G18" t="n">
        <v>26</v>
      </c>
      <c r="H18" t="n">
        <v>3</v>
      </c>
      <c r="I18" t="n">
        <v>1</v>
      </c>
      <c r="J18" t="n">
        <v>3</v>
      </c>
      <c r="K18" t="n">
        <v>0</v>
      </c>
      <c r="L18" t="n">
        <v>0</v>
      </c>
      <c r="M18" t="n">
        <v>0</v>
      </c>
      <c r="N18" t="n">
        <v>0</v>
      </c>
      <c r="O18" t="n">
        <v>3</v>
      </c>
      <c r="P18" t="n">
        <v>0</v>
      </c>
      <c r="Q18" t="n">
        <v>5</v>
      </c>
      <c r="R18" s="2" t="inlineStr">
        <is>
          <t>Kortskaftad ärgspik
Spillkråka
Talltita
Björksplintborre
Tjäder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7903-2024</t>
        </is>
      </c>
      <c r="B19" s="1" t="n">
        <v>45350</v>
      </c>
      <c r="C19" s="1" t="n">
        <v>45584</v>
      </c>
      <c r="D19" t="inlineStr">
        <is>
          <t>VÄSTRA GÖTALANDS LÄN</t>
        </is>
      </c>
      <c r="E19" t="inlineStr">
        <is>
          <t>ALE</t>
        </is>
      </c>
      <c r="G19" t="n">
        <v>5.2</v>
      </c>
      <c r="H19" t="n">
        <v>4</v>
      </c>
      <c r="I19" t="n">
        <v>1</v>
      </c>
      <c r="J19" t="n">
        <v>3</v>
      </c>
      <c r="K19" t="n">
        <v>0</v>
      </c>
      <c r="L19" t="n">
        <v>0</v>
      </c>
      <c r="M19" t="n">
        <v>0</v>
      </c>
      <c r="N19" t="n">
        <v>0</v>
      </c>
      <c r="O19" t="n">
        <v>3</v>
      </c>
      <c r="P19" t="n">
        <v>0</v>
      </c>
      <c r="Q19" t="n">
        <v>5</v>
      </c>
      <c r="R19" s="2" t="inlineStr">
        <is>
          <t>Entita
Spillkråka
Talltita
Björksplintborre
Kungsfågel</t>
        </is>
      </c>
      <c r="S19">
        <f>HYPERLINK("https://klasma.github.io/Logging_1440/artfynd/A 7903-2024 artfynd.xlsx", "A 7903-2024")</f>
        <v/>
      </c>
      <c r="T19">
        <f>HYPERLINK("https://klasma.github.io/Logging_1440/kartor/A 7903-2024 karta.png", "A 7903-2024")</f>
        <v/>
      </c>
      <c r="V19">
        <f>HYPERLINK("https://klasma.github.io/Logging_1440/klagomål/A 7903-2024 FSC-klagomål.docx", "A 7903-2024")</f>
        <v/>
      </c>
      <c r="W19">
        <f>HYPERLINK("https://klasma.github.io/Logging_1440/klagomålsmail/A 7903-2024 FSC-klagomål mail.docx", "A 7903-2024")</f>
        <v/>
      </c>
      <c r="X19">
        <f>HYPERLINK("https://klasma.github.io/Logging_1440/tillsyn/A 7903-2024 tillsynsbegäran.docx", "A 7903-2024")</f>
        <v/>
      </c>
      <c r="Y19">
        <f>HYPERLINK("https://klasma.github.io/Logging_1440/tillsynsmail/A 7903-2024 tillsynsbegäran mail.docx", "A 7903-2024")</f>
        <v/>
      </c>
      <c r="Z19">
        <f>HYPERLINK("https://klasma.github.io/Logging_1440/fåglar/A 7903-2024 prioriterade fågelarter.docx", "A 7903-2024")</f>
        <v/>
      </c>
    </row>
    <row r="20" ht="15" customHeight="1">
      <c r="A20" t="inlineStr">
        <is>
          <t>A 7906-2024</t>
        </is>
      </c>
      <c r="B20" s="1" t="n">
        <v>45350</v>
      </c>
      <c r="C20" s="1" t="n">
        <v>45584</v>
      </c>
      <c r="D20" t="inlineStr">
        <is>
          <t>VÄSTRA GÖTALANDS LÄN</t>
        </is>
      </c>
      <c r="E20" t="inlineStr">
        <is>
          <t>ALE</t>
        </is>
      </c>
      <c r="G20" t="n">
        <v>1</v>
      </c>
      <c r="H20" t="n">
        <v>3</v>
      </c>
      <c r="I20" t="n">
        <v>1</v>
      </c>
      <c r="J20" t="n">
        <v>1</v>
      </c>
      <c r="K20" t="n">
        <v>1</v>
      </c>
      <c r="L20" t="n">
        <v>0</v>
      </c>
      <c r="M20" t="n">
        <v>0</v>
      </c>
      <c r="N20" t="n">
        <v>0</v>
      </c>
      <c r="O20" t="n">
        <v>2</v>
      </c>
      <c r="P20" t="n">
        <v>1</v>
      </c>
      <c r="Q20" t="n">
        <v>4</v>
      </c>
      <c r="R20" s="2" t="inlineStr">
        <is>
          <t>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26491-2024</t>
        </is>
      </c>
      <c r="B21" s="1" t="n">
        <v>45469</v>
      </c>
      <c r="C21" s="1" t="n">
        <v>45584</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1456-2020</t>
        </is>
      </c>
      <c r="B22" s="1" t="n">
        <v>43843</v>
      </c>
      <c r="C22" s="1" t="n">
        <v>45584</v>
      </c>
      <c r="D22" t="inlineStr">
        <is>
          <t>VÄSTRA GÖTALANDS LÄN</t>
        </is>
      </c>
      <c r="E22" t="inlineStr">
        <is>
          <t>ALE</t>
        </is>
      </c>
      <c r="G22" t="n">
        <v>2</v>
      </c>
      <c r="H22" t="n">
        <v>2</v>
      </c>
      <c r="I22" t="n">
        <v>1</v>
      </c>
      <c r="J22" t="n">
        <v>2</v>
      </c>
      <c r="K22" t="n">
        <v>0</v>
      </c>
      <c r="L22" t="n">
        <v>0</v>
      </c>
      <c r="M22" t="n">
        <v>0</v>
      </c>
      <c r="N22" t="n">
        <v>0</v>
      </c>
      <c r="O22" t="n">
        <v>2</v>
      </c>
      <c r="P22" t="n">
        <v>0</v>
      </c>
      <c r="Q22" t="n">
        <v>3</v>
      </c>
      <c r="R22" s="2" t="inlineStr">
        <is>
          <t>Gulsparv
Spillkråka
Fällmossa</t>
        </is>
      </c>
      <c r="S22">
        <f>HYPERLINK("https://klasma.github.io/Logging_1440/artfynd/A 1456-2020 artfynd.xlsx", "A 1456-2020")</f>
        <v/>
      </c>
      <c r="T22">
        <f>HYPERLINK("https://klasma.github.io/Logging_1440/kartor/A 1456-2020 karta.png", "A 1456-2020")</f>
        <v/>
      </c>
      <c r="V22">
        <f>HYPERLINK("https://klasma.github.io/Logging_1440/klagomål/A 1456-2020 FSC-klagomål.docx", "A 1456-2020")</f>
        <v/>
      </c>
      <c r="W22">
        <f>HYPERLINK("https://klasma.github.io/Logging_1440/klagomålsmail/A 1456-2020 FSC-klagomål mail.docx", "A 1456-2020")</f>
        <v/>
      </c>
      <c r="X22">
        <f>HYPERLINK("https://klasma.github.io/Logging_1440/tillsyn/A 1456-2020 tillsynsbegäran.docx", "A 1456-2020")</f>
        <v/>
      </c>
      <c r="Y22">
        <f>HYPERLINK("https://klasma.github.io/Logging_1440/tillsynsmail/A 1456-2020 tillsynsbegäran mail.docx", "A 1456-2020")</f>
        <v/>
      </c>
      <c r="Z22">
        <f>HYPERLINK("https://klasma.github.io/Logging_1440/fåglar/A 1456-2020 prioriterade fågelarter.docx", "A 1456-2020")</f>
        <v/>
      </c>
    </row>
    <row r="23" ht="15" customHeight="1">
      <c r="A23" t="inlineStr">
        <is>
          <t>A 13029-2020</t>
        </is>
      </c>
      <c r="B23" s="1" t="n">
        <v>43900</v>
      </c>
      <c r="C23" s="1" t="n">
        <v>45584</v>
      </c>
      <c r="D23" t="inlineStr">
        <is>
          <t>VÄSTRA GÖTALANDS LÄN</t>
        </is>
      </c>
      <c r="E23" t="inlineStr">
        <is>
          <t>ALE</t>
        </is>
      </c>
      <c r="G23" t="n">
        <v>8.300000000000001</v>
      </c>
      <c r="H23" t="n">
        <v>1</v>
      </c>
      <c r="I23" t="n">
        <v>2</v>
      </c>
      <c r="J23" t="n">
        <v>0</v>
      </c>
      <c r="K23" t="n">
        <v>0</v>
      </c>
      <c r="L23" t="n">
        <v>0</v>
      </c>
      <c r="M23" t="n">
        <v>0</v>
      </c>
      <c r="N23" t="n">
        <v>0</v>
      </c>
      <c r="O23" t="n">
        <v>0</v>
      </c>
      <c r="P23" t="n">
        <v>0</v>
      </c>
      <c r="Q23" t="n">
        <v>3</v>
      </c>
      <c r="R23" s="2" t="inlineStr">
        <is>
          <t>Blåmossa
Västlig hakmossa
Revlummer</t>
        </is>
      </c>
      <c r="S23">
        <f>HYPERLINK("https://klasma.github.io/Logging_1440/artfynd/A 13029-2020 artfynd.xlsx", "A 13029-2020")</f>
        <v/>
      </c>
      <c r="T23">
        <f>HYPERLINK("https://klasma.github.io/Logging_1440/kartor/A 13029-2020 karta.png", "A 13029-2020")</f>
        <v/>
      </c>
      <c r="V23">
        <f>HYPERLINK("https://klasma.github.io/Logging_1440/klagomål/A 13029-2020 FSC-klagomål.docx", "A 13029-2020")</f>
        <v/>
      </c>
      <c r="W23">
        <f>HYPERLINK("https://klasma.github.io/Logging_1440/klagomålsmail/A 13029-2020 FSC-klagomål mail.docx", "A 13029-2020")</f>
        <v/>
      </c>
      <c r="X23">
        <f>HYPERLINK("https://klasma.github.io/Logging_1440/tillsyn/A 13029-2020 tillsynsbegäran.docx", "A 13029-2020")</f>
        <v/>
      </c>
      <c r="Y23">
        <f>HYPERLINK("https://klasma.github.io/Logging_1440/tillsynsmail/A 13029-2020 tillsynsbegäran mail.docx", "A 13029-2020")</f>
        <v/>
      </c>
    </row>
    <row r="24" ht="15" customHeight="1">
      <c r="A24" t="inlineStr">
        <is>
          <t>A 25432-2019</t>
        </is>
      </c>
      <c r="B24" s="1" t="n">
        <v>43606</v>
      </c>
      <c r="C24" s="1" t="n">
        <v>45584</v>
      </c>
      <c r="D24" t="inlineStr">
        <is>
          <t>VÄSTRA GÖTALANDS LÄN</t>
        </is>
      </c>
      <c r="E24" t="inlineStr">
        <is>
          <t>ALE</t>
        </is>
      </c>
      <c r="G24" t="n">
        <v>5</v>
      </c>
      <c r="H24" t="n">
        <v>0</v>
      </c>
      <c r="I24" t="n">
        <v>2</v>
      </c>
      <c r="J24" t="n">
        <v>0</v>
      </c>
      <c r="K24" t="n">
        <v>0</v>
      </c>
      <c r="L24" t="n">
        <v>0</v>
      </c>
      <c r="M24" t="n">
        <v>0</v>
      </c>
      <c r="N24" t="n">
        <v>0</v>
      </c>
      <c r="O24" t="n">
        <v>0</v>
      </c>
      <c r="P24" t="n">
        <v>0</v>
      </c>
      <c r="Q24" t="n">
        <v>2</v>
      </c>
      <c r="R24" s="2" t="inlineStr">
        <is>
          <t>Blåmossa
Klippfrullania</t>
        </is>
      </c>
      <c r="S24">
        <f>HYPERLINK("https://klasma.github.io/Logging_1440/artfynd/A 25432-2019 artfynd.xlsx", "A 25432-2019")</f>
        <v/>
      </c>
      <c r="T24">
        <f>HYPERLINK("https://klasma.github.io/Logging_1440/kartor/A 25432-2019 karta.png", "A 25432-2019")</f>
        <v/>
      </c>
      <c r="V24">
        <f>HYPERLINK("https://klasma.github.io/Logging_1440/klagomål/A 25432-2019 FSC-klagomål.docx", "A 25432-2019")</f>
        <v/>
      </c>
      <c r="W24">
        <f>HYPERLINK("https://klasma.github.io/Logging_1440/klagomålsmail/A 25432-2019 FSC-klagomål mail.docx", "A 25432-2019")</f>
        <v/>
      </c>
      <c r="X24">
        <f>HYPERLINK("https://klasma.github.io/Logging_1440/tillsyn/A 25432-2019 tillsynsbegäran.docx", "A 25432-2019")</f>
        <v/>
      </c>
      <c r="Y24">
        <f>HYPERLINK("https://klasma.github.io/Logging_1440/tillsynsmail/A 25432-2019 tillsynsbegäran mail.docx", "A 25432-2019")</f>
        <v/>
      </c>
    </row>
    <row r="25" ht="15" customHeight="1">
      <c r="A25" t="inlineStr">
        <is>
          <t>A 38382-2019</t>
        </is>
      </c>
      <c r="B25" s="1" t="n">
        <v>43685</v>
      </c>
      <c r="C25" s="1" t="n">
        <v>45584</v>
      </c>
      <c r="D25" t="inlineStr">
        <is>
          <t>VÄSTRA GÖTALANDS LÄN</t>
        </is>
      </c>
      <c r="E25" t="inlineStr">
        <is>
          <t>ALE</t>
        </is>
      </c>
      <c r="G25" t="n">
        <v>1.3</v>
      </c>
      <c r="H25" t="n">
        <v>2</v>
      </c>
      <c r="I25" t="n">
        <v>0</v>
      </c>
      <c r="J25" t="n">
        <v>1</v>
      </c>
      <c r="K25" t="n">
        <v>0</v>
      </c>
      <c r="L25" t="n">
        <v>0</v>
      </c>
      <c r="M25" t="n">
        <v>0</v>
      </c>
      <c r="N25" t="n">
        <v>0</v>
      </c>
      <c r="O25" t="n">
        <v>1</v>
      </c>
      <c r="P25" t="n">
        <v>0</v>
      </c>
      <c r="Q25" t="n">
        <v>2</v>
      </c>
      <c r="R25" s="2" t="inlineStr">
        <is>
          <t>Spillkråka
Revlummer</t>
        </is>
      </c>
      <c r="S25">
        <f>HYPERLINK("https://klasma.github.io/Logging_1440/artfynd/A 38382-2019 artfynd.xlsx", "A 38382-2019")</f>
        <v/>
      </c>
      <c r="T25">
        <f>HYPERLINK("https://klasma.github.io/Logging_1440/kartor/A 38382-2019 karta.png", "A 38382-2019")</f>
        <v/>
      </c>
      <c r="V25">
        <f>HYPERLINK("https://klasma.github.io/Logging_1440/klagomål/A 38382-2019 FSC-klagomål.docx", "A 38382-2019")</f>
        <v/>
      </c>
      <c r="W25">
        <f>HYPERLINK("https://klasma.github.io/Logging_1440/klagomålsmail/A 38382-2019 FSC-klagomål mail.docx", "A 38382-2019")</f>
        <v/>
      </c>
      <c r="X25">
        <f>HYPERLINK("https://klasma.github.io/Logging_1440/tillsyn/A 38382-2019 tillsynsbegäran.docx", "A 38382-2019")</f>
        <v/>
      </c>
      <c r="Y25">
        <f>HYPERLINK("https://klasma.github.io/Logging_1440/tillsynsmail/A 38382-2019 tillsynsbegäran mail.docx", "A 38382-2019")</f>
        <v/>
      </c>
      <c r="Z25">
        <f>HYPERLINK("https://klasma.github.io/Logging_1440/fåglar/A 38382-2019 prioriterade fågelarter.docx", "A 38382-2019")</f>
        <v/>
      </c>
    </row>
    <row r="26" ht="15" customHeight="1">
      <c r="A26" t="inlineStr">
        <is>
          <t>A 58954-2022</t>
        </is>
      </c>
      <c r="B26" s="1" t="n">
        <v>44903</v>
      </c>
      <c r="C26" s="1" t="n">
        <v>45584</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20586-2023</t>
        </is>
      </c>
      <c r="B27" s="1" t="n">
        <v>45057</v>
      </c>
      <c r="C27" s="1" t="n">
        <v>45584</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63569-2023</t>
        </is>
      </c>
      <c r="B28" s="1" t="n">
        <v>45275</v>
      </c>
      <c r="C28" s="1" t="n">
        <v>45584</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1503-2024</t>
        </is>
      </c>
      <c r="B29" s="1" t="n">
        <v>45306</v>
      </c>
      <c r="C29" s="1" t="n">
        <v>45584</v>
      </c>
      <c r="D29" t="inlineStr">
        <is>
          <t>VÄSTRA GÖTALANDS LÄN</t>
        </is>
      </c>
      <c r="E29" t="inlineStr">
        <is>
          <t>ALE</t>
        </is>
      </c>
      <c r="G29" t="n">
        <v>6.6</v>
      </c>
      <c r="H29" t="n">
        <v>2</v>
      </c>
      <c r="I29" t="n">
        <v>0</v>
      </c>
      <c r="J29" t="n">
        <v>1</v>
      </c>
      <c r="K29" t="n">
        <v>0</v>
      </c>
      <c r="L29" t="n">
        <v>0</v>
      </c>
      <c r="M29" t="n">
        <v>0</v>
      </c>
      <c r="N29" t="n">
        <v>0</v>
      </c>
      <c r="O29" t="n">
        <v>1</v>
      </c>
      <c r="P29" t="n">
        <v>0</v>
      </c>
      <c r="Q29" t="n">
        <v>2</v>
      </c>
      <c r="R29" s="2" t="inlineStr">
        <is>
          <t>Spillkråka
Revlummer</t>
        </is>
      </c>
      <c r="S29">
        <f>HYPERLINK("https://klasma.github.io/Logging_1440/artfynd/A 1503-2024 artfynd.xlsx", "A 1503-2024")</f>
        <v/>
      </c>
      <c r="T29">
        <f>HYPERLINK("https://klasma.github.io/Logging_1440/kartor/A 1503-2024 karta.png", "A 1503-2024")</f>
        <v/>
      </c>
      <c r="V29">
        <f>HYPERLINK("https://klasma.github.io/Logging_1440/klagomål/A 1503-2024 FSC-klagomål.docx", "A 1503-2024")</f>
        <v/>
      </c>
      <c r="W29">
        <f>HYPERLINK("https://klasma.github.io/Logging_1440/klagomålsmail/A 1503-2024 FSC-klagomål mail.docx", "A 1503-2024")</f>
        <v/>
      </c>
      <c r="X29">
        <f>HYPERLINK("https://klasma.github.io/Logging_1440/tillsyn/A 1503-2024 tillsynsbegäran.docx", "A 1503-2024")</f>
        <v/>
      </c>
      <c r="Y29">
        <f>HYPERLINK("https://klasma.github.io/Logging_1440/tillsynsmail/A 1503-2024 tillsynsbegäran mail.docx", "A 1503-2024")</f>
        <v/>
      </c>
      <c r="Z29">
        <f>HYPERLINK("https://klasma.github.io/Logging_1440/fåglar/A 1503-2024 prioriterade fågelarter.docx", "A 1503-2024")</f>
        <v/>
      </c>
    </row>
    <row r="30" ht="15" customHeight="1">
      <c r="A30" t="inlineStr">
        <is>
          <t>A 41294-2024</t>
        </is>
      </c>
      <c r="B30" s="1" t="n">
        <v>45559</v>
      </c>
      <c r="C30" s="1" t="n">
        <v>45584</v>
      </c>
      <c r="D30" t="inlineStr">
        <is>
          <t>VÄSTRA GÖTALANDS LÄN</t>
        </is>
      </c>
      <c r="E30" t="inlineStr">
        <is>
          <t>ALE</t>
        </is>
      </c>
      <c r="G30" t="n">
        <v>3</v>
      </c>
      <c r="H30" t="n">
        <v>2</v>
      </c>
      <c r="I30" t="n">
        <v>0</v>
      </c>
      <c r="J30" t="n">
        <v>1</v>
      </c>
      <c r="K30" t="n">
        <v>0</v>
      </c>
      <c r="L30" t="n">
        <v>0</v>
      </c>
      <c r="M30" t="n">
        <v>0</v>
      </c>
      <c r="N30" t="n">
        <v>0</v>
      </c>
      <c r="O30" t="n">
        <v>1</v>
      </c>
      <c r="P30" t="n">
        <v>0</v>
      </c>
      <c r="Q30" t="n">
        <v>2</v>
      </c>
      <c r="R30" s="2" t="inlineStr">
        <is>
          <t>Spillkråka
Revlummer</t>
        </is>
      </c>
      <c r="S30">
        <f>HYPERLINK("https://klasma.github.io/Logging_1440/artfynd/A 41294-2024 artfynd.xlsx", "A 41294-2024")</f>
        <v/>
      </c>
      <c r="T30">
        <f>HYPERLINK("https://klasma.github.io/Logging_1440/kartor/A 41294-2024 karta.png", "A 41294-2024")</f>
        <v/>
      </c>
      <c r="V30">
        <f>HYPERLINK("https://klasma.github.io/Logging_1440/klagomål/A 41294-2024 FSC-klagomål.docx", "A 41294-2024")</f>
        <v/>
      </c>
      <c r="W30">
        <f>HYPERLINK("https://klasma.github.io/Logging_1440/klagomålsmail/A 41294-2024 FSC-klagomål mail.docx", "A 41294-2024")</f>
        <v/>
      </c>
      <c r="X30">
        <f>HYPERLINK("https://klasma.github.io/Logging_1440/tillsyn/A 41294-2024 tillsynsbegäran.docx", "A 41294-2024")</f>
        <v/>
      </c>
      <c r="Y30">
        <f>HYPERLINK("https://klasma.github.io/Logging_1440/tillsynsmail/A 41294-2024 tillsynsbegäran mail.docx", "A 41294-2024")</f>
        <v/>
      </c>
      <c r="Z30">
        <f>HYPERLINK("https://klasma.github.io/Logging_1440/fåglar/A 41294-2024 prioriterade fågelarter.docx", "A 41294-2024")</f>
        <v/>
      </c>
    </row>
    <row r="31" ht="15" customHeight="1">
      <c r="A31" t="inlineStr">
        <is>
          <t>A 25391-2019</t>
        </is>
      </c>
      <c r="B31" s="1" t="n">
        <v>43606</v>
      </c>
      <c r="C31" s="1" t="n">
        <v>45584</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45584</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45584</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45584</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45584</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45584</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45584</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45584</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45584</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45584</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45584</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45584</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45584</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45584</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45584</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45584</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45584</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45584</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45584</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45584</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45584</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45584</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45584</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45584</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45584</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45584</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45584</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45584</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45584</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45584</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45584</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45584</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45584</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45584</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45584</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45584</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45584</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45584</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45584</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45584</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45584</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45584</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45584</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45584</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45584</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45584</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45584</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45584</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45584</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45584</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45584</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45584</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45584</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45584</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45584</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45584</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45584</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45584</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45584</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45584</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45584</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45584</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45584</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45584</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45584</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45584</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45584</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45584</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45584</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45584</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45584</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45584</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45584</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45584</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45584</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45584</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45584</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45584</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45584</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45584</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45584</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45584</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45584</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45584</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45584</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45584</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45584</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45584</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45584</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45584</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45584</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45584</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45584</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45584</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45584</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45584</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45584</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45584</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45584</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45584</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45584</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45584</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45584</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45584</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45584</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45584</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45584</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45584</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45584</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45584</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45584</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45584</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45584</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45584</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45584</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45584</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45584</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45584</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45584</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45584</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45584</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45584</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45584</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45584</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45584</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45584</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45584</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45584</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45584</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45584</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45584</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45584</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45584</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45584</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45584</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45584</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45584</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45584</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45584</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45584</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45584</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45584</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45584</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45584</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45584</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45584</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45584</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45584</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45584</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45584</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45584</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45584</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45584</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45584</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45584</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45584</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45584</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45584</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45584</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45584</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45584</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45584</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45584</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45584</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45584</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45584</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45584</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45584</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45584</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45584</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45584</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45584</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45584</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45584</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45584</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c r="A206" t="inlineStr">
        <is>
          <t>A 46797-2024</t>
        </is>
      </c>
      <c r="B206" s="1" t="n">
        <v>45583</v>
      </c>
      <c r="C206" s="1" t="n">
        <v>45584</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2024-10-19T12:21:51Z</dcterms:created>
  <dcterms:modified xmlns:dcterms="http://purl.org/dc/terms/" xmlns:xsi="http://www.w3.org/2001/XMLSchema-instance" xsi:type="dcterms:W3CDTF">2024-10-19T12:21:51Z</dcterms:modified>
</cp:coreProperties>
</file>