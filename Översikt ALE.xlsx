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45886</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45886</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45886</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45886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45886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45886</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45886</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45886</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45886</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45886</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45886</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45886</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19934-2025</t>
        </is>
      </c>
      <c r="B16" s="1" t="n">
        <v>45771</v>
      </c>
      <c r="C16" s="1" t="n">
        <v>45886</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45886</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8955-2025</t>
        </is>
      </c>
      <c r="B18" s="1" t="n">
        <v>45713.46528935185</v>
      </c>
      <c r="C18" s="1" t="n">
        <v>45886</v>
      </c>
      <c r="D18" t="inlineStr">
        <is>
          <t>VÄSTRA GÖTALANDS LÄN</t>
        </is>
      </c>
      <c r="E18" t="inlineStr">
        <is>
          <t>ALE</t>
        </is>
      </c>
      <c r="G18" t="n">
        <v>1</v>
      </c>
      <c r="H18" t="n">
        <v>2</v>
      </c>
      <c r="I18" t="n">
        <v>0</v>
      </c>
      <c r="J18" t="n">
        <v>1</v>
      </c>
      <c r="K18" t="n">
        <v>0</v>
      </c>
      <c r="L18" t="n">
        <v>0</v>
      </c>
      <c r="M18" t="n">
        <v>0</v>
      </c>
      <c r="N18" t="n">
        <v>0</v>
      </c>
      <c r="O18" t="n">
        <v>1</v>
      </c>
      <c r="P18" t="n">
        <v>0</v>
      </c>
      <c r="Q18" t="n">
        <v>2</v>
      </c>
      <c r="R18" s="2" t="inlineStr">
        <is>
          <t>Spillkråka
Revlummer</t>
        </is>
      </c>
      <c r="S18">
        <f>HYPERLINK("https://klasma.github.io/Logging_1440/artfynd/A 8955-2025 artfynd.xlsx", "A 8955-2025")</f>
        <v/>
      </c>
      <c r="T18">
        <f>HYPERLINK("https://klasma.github.io/Logging_1440/kartor/A 8955-2025 karta.png", "A 8955-2025")</f>
        <v/>
      </c>
      <c r="V18">
        <f>HYPERLINK("https://klasma.github.io/Logging_1440/klagomål/A 8955-2025 FSC-klagomål.docx", "A 8955-2025")</f>
        <v/>
      </c>
      <c r="W18">
        <f>HYPERLINK("https://klasma.github.io/Logging_1440/klagomålsmail/A 8955-2025 FSC-klagomål mail.docx", "A 8955-2025")</f>
        <v/>
      </c>
      <c r="X18">
        <f>HYPERLINK("https://klasma.github.io/Logging_1440/tillsyn/A 8955-2025 tillsynsbegäran.docx", "A 8955-2025")</f>
        <v/>
      </c>
      <c r="Y18">
        <f>HYPERLINK("https://klasma.github.io/Logging_1440/tillsynsmail/A 8955-2025 tillsynsbegäran mail.docx", "A 8955-2025")</f>
        <v/>
      </c>
      <c r="Z18">
        <f>HYPERLINK("https://klasma.github.io/Logging_1440/fåglar/A 8955-2025 prioriterade fågelarter.docx", "A 8955-2025")</f>
        <v/>
      </c>
    </row>
    <row r="19" ht="15" customHeight="1">
      <c r="A19" t="inlineStr">
        <is>
          <t>A 380-2025</t>
        </is>
      </c>
      <c r="B19" s="1" t="n">
        <v>45662.43456018518</v>
      </c>
      <c r="C19" s="1" t="n">
        <v>45886</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58954-2022</t>
        </is>
      </c>
      <c r="B20" s="1" t="n">
        <v>44903</v>
      </c>
      <c r="C20" s="1" t="n">
        <v>45886</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45886</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45886</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13380-2025</t>
        </is>
      </c>
      <c r="B23" s="1" t="n">
        <v>45735.6765162037</v>
      </c>
      <c r="C23" s="1" t="n">
        <v>45886</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20586-2023</t>
        </is>
      </c>
      <c r="B24" s="1" t="n">
        <v>45057</v>
      </c>
      <c r="C24" s="1" t="n">
        <v>45886</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16534-2025</t>
        </is>
      </c>
      <c r="B25" s="1" t="n">
        <v>45751.65315972222</v>
      </c>
      <c r="C25" s="1" t="n">
        <v>45886</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63569-2023</t>
        </is>
      </c>
      <c r="B26" s="1" t="n">
        <v>45275</v>
      </c>
      <c r="C26" s="1" t="n">
        <v>45886</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26493-2024</t>
        </is>
      </c>
      <c r="B27" s="1" t="n">
        <v>45469</v>
      </c>
      <c r="C27" s="1" t="n">
        <v>45886</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45886</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45886</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45886</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45886</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45886</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45886</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45886</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45886</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45886</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45886</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45886</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45886</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45886</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45886</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45886</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45886</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45886</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45886</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20285-2022</t>
        </is>
      </c>
      <c r="B46" s="1" t="n">
        <v>44698.76347222222</v>
      </c>
      <c r="C46" s="1" t="n">
        <v>45886</v>
      </c>
      <c r="D46" t="inlineStr">
        <is>
          <t>VÄSTRA GÖTALANDS LÄN</t>
        </is>
      </c>
      <c r="E46" t="inlineStr">
        <is>
          <t>ALE</t>
        </is>
      </c>
      <c r="G46" t="n">
        <v>1.8</v>
      </c>
      <c r="H46" t="n">
        <v>0</v>
      </c>
      <c r="I46" t="n">
        <v>0</v>
      </c>
      <c r="J46" t="n">
        <v>0</v>
      </c>
      <c r="K46" t="n">
        <v>0</v>
      </c>
      <c r="L46" t="n">
        <v>0</v>
      </c>
      <c r="M46" t="n">
        <v>0</v>
      </c>
      <c r="N46" t="n">
        <v>0</v>
      </c>
      <c r="O46" t="n">
        <v>0</v>
      </c>
      <c r="P46" t="n">
        <v>0</v>
      </c>
      <c r="Q46" t="n">
        <v>0</v>
      </c>
      <c r="R46" s="2" t="inlineStr"/>
    </row>
    <row r="47" ht="15" customHeight="1">
      <c r="A47" t="inlineStr">
        <is>
          <t>A 65222-2021</t>
        </is>
      </c>
      <c r="B47" s="1" t="n">
        <v>44515</v>
      </c>
      <c r="C47" s="1" t="n">
        <v>45886</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45886</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45886</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45886</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45886</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3293-2021</t>
        </is>
      </c>
      <c r="B52" s="1" t="n">
        <v>44217</v>
      </c>
      <c r="C52" s="1" t="n">
        <v>45886</v>
      </c>
      <c r="D52" t="inlineStr">
        <is>
          <t>VÄSTRA GÖTALANDS LÄN</t>
        </is>
      </c>
      <c r="E52" t="inlineStr">
        <is>
          <t>ALE</t>
        </is>
      </c>
      <c r="G52" t="n">
        <v>4.2</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45886</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12445-2022</t>
        </is>
      </c>
      <c r="B54" s="1" t="n">
        <v>44638</v>
      </c>
      <c r="C54" s="1" t="n">
        <v>45886</v>
      </c>
      <c r="D54" t="inlineStr">
        <is>
          <t>VÄSTRA GÖTALANDS LÄN</t>
        </is>
      </c>
      <c r="E54" t="inlineStr">
        <is>
          <t>ALE</t>
        </is>
      </c>
      <c r="G54" t="n">
        <v>1</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45886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45886</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45886</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45886</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57473-2022</t>
        </is>
      </c>
      <c r="B59" s="1" t="n">
        <v>44896</v>
      </c>
      <c r="C59" s="1" t="n">
        <v>45886</v>
      </c>
      <c r="D59" t="inlineStr">
        <is>
          <t>VÄSTRA GÖTALANDS LÄN</t>
        </is>
      </c>
      <c r="E59" t="inlineStr">
        <is>
          <t>ALE</t>
        </is>
      </c>
      <c r="G59" t="n">
        <v>0.7</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45886</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45886</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45886</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7807-2023</t>
        </is>
      </c>
      <c r="B63" s="1" t="n">
        <v>44973</v>
      </c>
      <c r="C63" s="1" t="n">
        <v>45886</v>
      </c>
      <c r="D63" t="inlineStr">
        <is>
          <t>VÄSTRA GÖTALANDS LÄN</t>
        </is>
      </c>
      <c r="E63" t="inlineStr">
        <is>
          <t>ALE</t>
        </is>
      </c>
      <c r="G63" t="n">
        <v>10.5</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45886</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55488-2022</t>
        </is>
      </c>
      <c r="B65" s="1" t="n">
        <v>44887</v>
      </c>
      <c r="C65" s="1" t="n">
        <v>45886</v>
      </c>
      <c r="D65" t="inlineStr">
        <is>
          <t>VÄSTRA GÖTALANDS LÄN</t>
        </is>
      </c>
      <c r="E65" t="inlineStr">
        <is>
          <t>ALE</t>
        </is>
      </c>
      <c r="G65" t="n">
        <v>2.5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45886</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45886</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42446-2023</t>
        </is>
      </c>
      <c r="B68" s="1" t="n">
        <v>45180</v>
      </c>
      <c r="C68" s="1" t="n">
        <v>45886</v>
      </c>
      <c r="D68" t="inlineStr">
        <is>
          <t>VÄSTRA GÖTALANDS LÄN</t>
        </is>
      </c>
      <c r="E68" t="inlineStr">
        <is>
          <t>ALE</t>
        </is>
      </c>
      <c r="G68" t="n">
        <v>0.8</v>
      </c>
      <c r="H68" t="n">
        <v>0</v>
      </c>
      <c r="I68" t="n">
        <v>0</v>
      </c>
      <c r="J68" t="n">
        <v>0</v>
      </c>
      <c r="K68" t="n">
        <v>0</v>
      </c>
      <c r="L68" t="n">
        <v>0</v>
      </c>
      <c r="M68" t="n">
        <v>0</v>
      </c>
      <c r="N68" t="n">
        <v>0</v>
      </c>
      <c r="O68" t="n">
        <v>0</v>
      </c>
      <c r="P68" t="n">
        <v>0</v>
      </c>
      <c r="Q68" t="n">
        <v>0</v>
      </c>
      <c r="R68" s="2" t="inlineStr"/>
    </row>
    <row r="69" ht="15" customHeight="1">
      <c r="A69" t="inlineStr">
        <is>
          <t>A 67160-2021</t>
        </is>
      </c>
      <c r="B69" s="1" t="n">
        <v>44523</v>
      </c>
      <c r="C69" s="1" t="n">
        <v>45886</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16344-2023</t>
        </is>
      </c>
      <c r="B70" s="1" t="n">
        <v>45028</v>
      </c>
      <c r="C70" s="1" t="n">
        <v>45886</v>
      </c>
      <c r="D70" t="inlineStr">
        <is>
          <t>VÄSTRA GÖTALANDS LÄN</t>
        </is>
      </c>
      <c r="E70" t="inlineStr">
        <is>
          <t>ALE</t>
        </is>
      </c>
      <c r="G70" t="n">
        <v>6.6</v>
      </c>
      <c r="H70" t="n">
        <v>0</v>
      </c>
      <c r="I70" t="n">
        <v>0</v>
      </c>
      <c r="J70" t="n">
        <v>0</v>
      </c>
      <c r="K70" t="n">
        <v>0</v>
      </c>
      <c r="L70" t="n">
        <v>0</v>
      </c>
      <c r="M70" t="n">
        <v>0</v>
      </c>
      <c r="N70" t="n">
        <v>0</v>
      </c>
      <c r="O70" t="n">
        <v>0</v>
      </c>
      <c r="P70" t="n">
        <v>0</v>
      </c>
      <c r="Q70" t="n">
        <v>0</v>
      </c>
      <c r="R70" s="2" t="inlineStr"/>
    </row>
    <row r="71" ht="15" customHeight="1">
      <c r="A71" t="inlineStr">
        <is>
          <t>A 32762-2023</t>
        </is>
      </c>
      <c r="B71" s="1" t="n">
        <v>45123.46649305556</v>
      </c>
      <c r="C71" s="1" t="n">
        <v>45886</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41598-2022</t>
        </is>
      </c>
      <c r="B72" s="1" t="n">
        <v>44827.4609837963</v>
      </c>
      <c r="C72" s="1" t="n">
        <v>45886</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14458-2024</t>
        </is>
      </c>
      <c r="B73" s="1" t="n">
        <v>45394</v>
      </c>
      <c r="C73" s="1" t="n">
        <v>45886</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53121-2024</t>
        </is>
      </c>
      <c r="B74" s="1" t="n">
        <v>45611</v>
      </c>
      <c r="C74" s="1" t="n">
        <v>45886</v>
      </c>
      <c r="D74" t="inlineStr">
        <is>
          <t>VÄSTRA GÖTALANDS LÄN</t>
        </is>
      </c>
      <c r="E74" t="inlineStr">
        <is>
          <t>ALE</t>
        </is>
      </c>
      <c r="G74" t="n">
        <v>3.4</v>
      </c>
      <c r="H74" t="n">
        <v>0</v>
      </c>
      <c r="I74" t="n">
        <v>0</v>
      </c>
      <c r="J74" t="n">
        <v>0</v>
      </c>
      <c r="K74" t="n">
        <v>0</v>
      </c>
      <c r="L74" t="n">
        <v>0</v>
      </c>
      <c r="M74" t="n">
        <v>0</v>
      </c>
      <c r="N74" t="n">
        <v>0</v>
      </c>
      <c r="O74" t="n">
        <v>0</v>
      </c>
      <c r="P74" t="n">
        <v>0</v>
      </c>
      <c r="Q74" t="n">
        <v>0</v>
      </c>
      <c r="R74" s="2" t="inlineStr"/>
    </row>
    <row r="75" ht="15" customHeight="1">
      <c r="A75" t="inlineStr">
        <is>
          <t>A 22946-2025</t>
        </is>
      </c>
      <c r="B75" s="1" t="n">
        <v>45790.48229166667</v>
      </c>
      <c r="C75" s="1" t="n">
        <v>45886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47087-2023</t>
        </is>
      </c>
      <c r="B76" s="1" t="n">
        <v>45196</v>
      </c>
      <c r="C76" s="1" t="n">
        <v>45886</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45886</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4971-2024</t>
        </is>
      </c>
      <c r="B78" s="1" t="n">
        <v>45329</v>
      </c>
      <c r="C78" s="1" t="n">
        <v>45886</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36763-2022</t>
        </is>
      </c>
      <c r="B79" s="1" t="n">
        <v>44805</v>
      </c>
      <c r="C79" s="1" t="n">
        <v>45886</v>
      </c>
      <c r="D79" t="inlineStr">
        <is>
          <t>VÄSTRA GÖTALANDS LÄN</t>
        </is>
      </c>
      <c r="E79" t="inlineStr">
        <is>
          <t>ALE</t>
        </is>
      </c>
      <c r="G79" t="n">
        <v>6.1</v>
      </c>
      <c r="H79" t="n">
        <v>0</v>
      </c>
      <c r="I79" t="n">
        <v>0</v>
      </c>
      <c r="J79" t="n">
        <v>0</v>
      </c>
      <c r="K79" t="n">
        <v>0</v>
      </c>
      <c r="L79" t="n">
        <v>0</v>
      </c>
      <c r="M79" t="n">
        <v>0</v>
      </c>
      <c r="N79" t="n">
        <v>0</v>
      </c>
      <c r="O79" t="n">
        <v>0</v>
      </c>
      <c r="P79" t="n">
        <v>0</v>
      </c>
      <c r="Q79" t="n">
        <v>0</v>
      </c>
      <c r="R79" s="2" t="inlineStr"/>
    </row>
    <row r="80" ht="15" customHeight="1">
      <c r="A80" t="inlineStr">
        <is>
          <t>A 37461-2024</t>
        </is>
      </c>
      <c r="B80" s="1" t="n">
        <v>45540.72516203704</v>
      </c>
      <c r="C80" s="1" t="n">
        <v>45886</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45886</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3520-2022</t>
        </is>
      </c>
      <c r="B82" s="1" t="n">
        <v>44585.72818287037</v>
      </c>
      <c r="C82" s="1" t="n">
        <v>45886</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45886</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33237-2024</t>
        </is>
      </c>
      <c r="B84" s="1" t="n">
        <v>45518.59173611111</v>
      </c>
      <c r="C84" s="1" t="n">
        <v>45886</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44429-2023</t>
        </is>
      </c>
      <c r="B85" s="1" t="n">
        <v>45189.35101851852</v>
      </c>
      <c r="C85" s="1" t="n">
        <v>45886</v>
      </c>
      <c r="D85" t="inlineStr">
        <is>
          <t>VÄSTRA GÖTALANDS LÄN</t>
        </is>
      </c>
      <c r="E85" t="inlineStr">
        <is>
          <t>ALE</t>
        </is>
      </c>
      <c r="G85" t="n">
        <v>0.1</v>
      </c>
      <c r="H85" t="n">
        <v>0</v>
      </c>
      <c r="I85" t="n">
        <v>0</v>
      </c>
      <c r="J85" t="n">
        <v>0</v>
      </c>
      <c r="K85" t="n">
        <v>0</v>
      </c>
      <c r="L85" t="n">
        <v>0</v>
      </c>
      <c r="M85" t="n">
        <v>0</v>
      </c>
      <c r="N85" t="n">
        <v>0</v>
      </c>
      <c r="O85" t="n">
        <v>0</v>
      </c>
      <c r="P85" t="n">
        <v>0</v>
      </c>
      <c r="Q85" t="n">
        <v>0</v>
      </c>
      <c r="R85" s="2" t="inlineStr"/>
    </row>
    <row r="86" ht="15" customHeight="1">
      <c r="A86" t="inlineStr">
        <is>
          <t>A 7892-2024</t>
        </is>
      </c>
      <c r="B86" s="1" t="n">
        <v>45350.40921296296</v>
      </c>
      <c r="C86" s="1" t="n">
        <v>45886</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25849-2025</t>
        </is>
      </c>
      <c r="B87" s="1" t="n">
        <v>45804</v>
      </c>
      <c r="C87" s="1" t="n">
        <v>45886</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25848-2025</t>
        </is>
      </c>
      <c r="B88" s="1" t="n">
        <v>45804</v>
      </c>
      <c r="C88" s="1" t="n">
        <v>45886</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51164-2024</t>
        </is>
      </c>
      <c r="B89" s="1" t="n">
        <v>45603.5830787037</v>
      </c>
      <c r="C89" s="1" t="n">
        <v>45886</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25840-2025</t>
        </is>
      </c>
      <c r="B90" s="1" t="n">
        <v>45804</v>
      </c>
      <c r="C90" s="1" t="n">
        <v>45886</v>
      </c>
      <c r="D90" t="inlineStr">
        <is>
          <t>VÄSTRA GÖTALANDS LÄN</t>
        </is>
      </c>
      <c r="E90" t="inlineStr">
        <is>
          <t>ALE</t>
        </is>
      </c>
      <c r="G90" t="n">
        <v>3.8</v>
      </c>
      <c r="H90" t="n">
        <v>0</v>
      </c>
      <c r="I90" t="n">
        <v>0</v>
      </c>
      <c r="J90" t="n">
        <v>0</v>
      </c>
      <c r="K90" t="n">
        <v>0</v>
      </c>
      <c r="L90" t="n">
        <v>0</v>
      </c>
      <c r="M90" t="n">
        <v>0</v>
      </c>
      <c r="N90" t="n">
        <v>0</v>
      </c>
      <c r="O90" t="n">
        <v>0</v>
      </c>
      <c r="P90" t="n">
        <v>0</v>
      </c>
      <c r="Q90" t="n">
        <v>0</v>
      </c>
      <c r="R90" s="2" t="inlineStr"/>
    </row>
    <row r="91" ht="15" customHeight="1">
      <c r="A91" t="inlineStr">
        <is>
          <t>A 4444-2024</t>
        </is>
      </c>
      <c r="B91" s="1" t="n">
        <v>45327</v>
      </c>
      <c r="C91" s="1" t="n">
        <v>45886</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72801-2021</t>
        </is>
      </c>
      <c r="B92" s="1" t="n">
        <v>44546</v>
      </c>
      <c r="C92" s="1" t="n">
        <v>45886</v>
      </c>
      <c r="D92" t="inlineStr">
        <is>
          <t>VÄSTRA GÖTALANDS LÄN</t>
        </is>
      </c>
      <c r="E92" t="inlineStr">
        <is>
          <t>ALE</t>
        </is>
      </c>
      <c r="F92" t="inlineStr">
        <is>
          <t>Naturvårdsverket</t>
        </is>
      </c>
      <c r="G92" t="n">
        <v>1.4</v>
      </c>
      <c r="H92" t="n">
        <v>0</v>
      </c>
      <c r="I92" t="n">
        <v>0</v>
      </c>
      <c r="J92" t="n">
        <v>0</v>
      </c>
      <c r="K92" t="n">
        <v>0</v>
      </c>
      <c r="L92" t="n">
        <v>0</v>
      </c>
      <c r="M92" t="n">
        <v>0</v>
      </c>
      <c r="N92" t="n">
        <v>0</v>
      </c>
      <c r="O92" t="n">
        <v>0</v>
      </c>
      <c r="P92" t="n">
        <v>0</v>
      </c>
      <c r="Q92" t="n">
        <v>0</v>
      </c>
      <c r="R92" s="2" t="inlineStr"/>
    </row>
    <row r="93" ht="15" customHeight="1">
      <c r="A93" t="inlineStr">
        <is>
          <t>A 56493-2021</t>
        </is>
      </c>
      <c r="B93" s="1" t="n">
        <v>44480.57173611111</v>
      </c>
      <c r="C93" s="1" t="n">
        <v>45886</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45988-2021</t>
        </is>
      </c>
      <c r="B94" s="1" t="n">
        <v>44441</v>
      </c>
      <c r="C94" s="1" t="n">
        <v>45886</v>
      </c>
      <c r="D94" t="inlineStr">
        <is>
          <t>VÄSTRA GÖTALANDS LÄN</t>
        </is>
      </c>
      <c r="E94" t="inlineStr">
        <is>
          <t>ALE</t>
        </is>
      </c>
      <c r="G94" t="n">
        <v>1.2</v>
      </c>
      <c r="H94" t="n">
        <v>0</v>
      </c>
      <c r="I94" t="n">
        <v>0</v>
      </c>
      <c r="J94" t="n">
        <v>0</v>
      </c>
      <c r="K94" t="n">
        <v>0</v>
      </c>
      <c r="L94" t="n">
        <v>0</v>
      </c>
      <c r="M94" t="n">
        <v>0</v>
      </c>
      <c r="N94" t="n">
        <v>0</v>
      </c>
      <c r="O94" t="n">
        <v>0</v>
      </c>
      <c r="P94" t="n">
        <v>0</v>
      </c>
      <c r="Q94" t="n">
        <v>0</v>
      </c>
      <c r="R94" s="2" t="inlineStr"/>
    </row>
    <row r="95" ht="15" customHeight="1">
      <c r="A95" t="inlineStr">
        <is>
          <t>A 5875-2023</t>
        </is>
      </c>
      <c r="B95" s="1" t="n">
        <v>44963</v>
      </c>
      <c r="C95" s="1" t="n">
        <v>45886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3407-2023</t>
        </is>
      </c>
      <c r="B96" s="1" t="n">
        <v>44949.54909722223</v>
      </c>
      <c r="C96" s="1" t="n">
        <v>45886</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8956-2025</t>
        </is>
      </c>
      <c r="B97" s="1" t="n">
        <v>45713.46825231481</v>
      </c>
      <c r="C97" s="1" t="n">
        <v>45886</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51564-2023</t>
        </is>
      </c>
      <c r="B98" s="1" t="n">
        <v>45222</v>
      </c>
      <c r="C98" s="1" t="n">
        <v>45886</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8659-2025</t>
        </is>
      </c>
      <c r="B99" s="1" t="n">
        <v>45712</v>
      </c>
      <c r="C99" s="1" t="n">
        <v>45886</v>
      </c>
      <c r="D99" t="inlineStr">
        <is>
          <t>VÄSTRA GÖTALANDS LÄN</t>
        </is>
      </c>
      <c r="E99" t="inlineStr">
        <is>
          <t>ALE</t>
        </is>
      </c>
      <c r="G99" t="n">
        <v>5.7</v>
      </c>
      <c r="H99" t="n">
        <v>0</v>
      </c>
      <c r="I99" t="n">
        <v>0</v>
      </c>
      <c r="J99" t="n">
        <v>0</v>
      </c>
      <c r="K99" t="n">
        <v>0</v>
      </c>
      <c r="L99" t="n">
        <v>0</v>
      </c>
      <c r="M99" t="n">
        <v>0</v>
      </c>
      <c r="N99" t="n">
        <v>0</v>
      </c>
      <c r="O99" t="n">
        <v>0</v>
      </c>
      <c r="P99" t="n">
        <v>0</v>
      </c>
      <c r="Q99" t="n">
        <v>0</v>
      </c>
      <c r="R99" s="2" t="inlineStr"/>
    </row>
    <row r="100" ht="15" customHeight="1">
      <c r="A100" t="inlineStr">
        <is>
          <t>A 5344-2024</t>
        </is>
      </c>
      <c r="B100" s="1" t="n">
        <v>45331</v>
      </c>
      <c r="C100" s="1" t="n">
        <v>45886</v>
      </c>
      <c r="D100" t="inlineStr">
        <is>
          <t>VÄSTRA GÖTALANDS LÄN</t>
        </is>
      </c>
      <c r="E100" t="inlineStr">
        <is>
          <t>ALE</t>
        </is>
      </c>
      <c r="G100" t="n">
        <v>2.5</v>
      </c>
      <c r="H100" t="n">
        <v>0</v>
      </c>
      <c r="I100" t="n">
        <v>0</v>
      </c>
      <c r="J100" t="n">
        <v>0</v>
      </c>
      <c r="K100" t="n">
        <v>0</v>
      </c>
      <c r="L100" t="n">
        <v>0</v>
      </c>
      <c r="M100" t="n">
        <v>0</v>
      </c>
      <c r="N100" t="n">
        <v>0</v>
      </c>
      <c r="O100" t="n">
        <v>0</v>
      </c>
      <c r="P100" t="n">
        <v>0</v>
      </c>
      <c r="Q100" t="n">
        <v>0</v>
      </c>
      <c r="R100" s="2" t="inlineStr"/>
    </row>
    <row r="101" ht="15" customHeight="1">
      <c r="A101" t="inlineStr">
        <is>
          <t>A 18637-2023</t>
        </is>
      </c>
      <c r="B101" s="1" t="n">
        <v>45043</v>
      </c>
      <c r="C101" s="1" t="n">
        <v>45886</v>
      </c>
      <c r="D101" t="inlineStr">
        <is>
          <t>VÄSTRA GÖTALANDS LÄN</t>
        </is>
      </c>
      <c r="E101" t="inlineStr">
        <is>
          <t>ALE</t>
        </is>
      </c>
      <c r="G101" t="n">
        <v>3.6</v>
      </c>
      <c r="H101" t="n">
        <v>0</v>
      </c>
      <c r="I101" t="n">
        <v>0</v>
      </c>
      <c r="J101" t="n">
        <v>0</v>
      </c>
      <c r="K101" t="n">
        <v>0</v>
      </c>
      <c r="L101" t="n">
        <v>0</v>
      </c>
      <c r="M101" t="n">
        <v>0</v>
      </c>
      <c r="N101" t="n">
        <v>0</v>
      </c>
      <c r="O101" t="n">
        <v>0</v>
      </c>
      <c r="P101" t="n">
        <v>0</v>
      </c>
      <c r="Q101" t="n">
        <v>0</v>
      </c>
      <c r="R101" s="2" t="inlineStr"/>
    </row>
    <row r="102" ht="15" customHeight="1">
      <c r="A102" t="inlineStr">
        <is>
          <t>A 59933-2023</t>
        </is>
      </c>
      <c r="B102" s="1" t="n">
        <v>45257</v>
      </c>
      <c r="C102" s="1" t="n">
        <v>45886</v>
      </c>
      <c r="D102" t="inlineStr">
        <is>
          <t>VÄSTRA GÖTALANDS LÄN</t>
        </is>
      </c>
      <c r="E102" t="inlineStr">
        <is>
          <t>ALE</t>
        </is>
      </c>
      <c r="G102" t="n">
        <v>2.7</v>
      </c>
      <c r="H102" t="n">
        <v>0</v>
      </c>
      <c r="I102" t="n">
        <v>0</v>
      </c>
      <c r="J102" t="n">
        <v>0</v>
      </c>
      <c r="K102" t="n">
        <v>0</v>
      </c>
      <c r="L102" t="n">
        <v>0</v>
      </c>
      <c r="M102" t="n">
        <v>0</v>
      </c>
      <c r="N102" t="n">
        <v>0</v>
      </c>
      <c r="O102" t="n">
        <v>0</v>
      </c>
      <c r="P102" t="n">
        <v>0</v>
      </c>
      <c r="Q102" t="n">
        <v>0</v>
      </c>
      <c r="R102" s="2" t="inlineStr"/>
    </row>
    <row r="103" ht="15" customHeight="1">
      <c r="A103" t="inlineStr">
        <is>
          <t>A 36403-2024</t>
        </is>
      </c>
      <c r="B103" s="1" t="n">
        <v>45535.69445601852</v>
      </c>
      <c r="C103" s="1" t="n">
        <v>45886</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60232-2024</t>
        </is>
      </c>
      <c r="B104" s="1" t="n">
        <v>45642</v>
      </c>
      <c r="C104" s="1" t="n">
        <v>45886</v>
      </c>
      <c r="D104" t="inlineStr">
        <is>
          <t>VÄSTRA GÖTALANDS LÄN</t>
        </is>
      </c>
      <c r="E104" t="inlineStr">
        <is>
          <t>ALE</t>
        </is>
      </c>
      <c r="G104" t="n">
        <v>5</v>
      </c>
      <c r="H104" t="n">
        <v>0</v>
      </c>
      <c r="I104" t="n">
        <v>0</v>
      </c>
      <c r="J104" t="n">
        <v>0</v>
      </c>
      <c r="K104" t="n">
        <v>0</v>
      </c>
      <c r="L104" t="n">
        <v>0</v>
      </c>
      <c r="M104" t="n">
        <v>0</v>
      </c>
      <c r="N104" t="n">
        <v>0</v>
      </c>
      <c r="O104" t="n">
        <v>0</v>
      </c>
      <c r="P104" t="n">
        <v>0</v>
      </c>
      <c r="Q104" t="n">
        <v>0</v>
      </c>
      <c r="R104" s="2" t="inlineStr"/>
    </row>
    <row r="105" ht="15" customHeight="1">
      <c r="A105" t="inlineStr">
        <is>
          <t>A 55405-2021</t>
        </is>
      </c>
      <c r="B105" s="1" t="n">
        <v>44475.53733796296</v>
      </c>
      <c r="C105" s="1" t="n">
        <v>45886</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1822-2024</t>
        </is>
      </c>
      <c r="B106" s="1" t="n">
        <v>45307.6205787037</v>
      </c>
      <c r="C106" s="1" t="n">
        <v>45886</v>
      </c>
      <c r="D106" t="inlineStr">
        <is>
          <t>VÄSTRA GÖTALANDS LÄN</t>
        </is>
      </c>
      <c r="E106" t="inlineStr">
        <is>
          <t>ALE</t>
        </is>
      </c>
      <c r="G106" t="n">
        <v>2</v>
      </c>
      <c r="H106" t="n">
        <v>0</v>
      </c>
      <c r="I106" t="n">
        <v>0</v>
      </c>
      <c r="J106" t="n">
        <v>0</v>
      </c>
      <c r="K106" t="n">
        <v>0</v>
      </c>
      <c r="L106" t="n">
        <v>0</v>
      </c>
      <c r="M106" t="n">
        <v>0</v>
      </c>
      <c r="N106" t="n">
        <v>0</v>
      </c>
      <c r="O106" t="n">
        <v>0</v>
      </c>
      <c r="P106" t="n">
        <v>0</v>
      </c>
      <c r="Q106" t="n">
        <v>0</v>
      </c>
      <c r="R106" s="2" t="inlineStr"/>
    </row>
    <row r="107" ht="15" customHeight="1">
      <c r="A107" t="inlineStr">
        <is>
          <t>A 9193-2025</t>
        </is>
      </c>
      <c r="B107" s="1" t="n">
        <v>45714</v>
      </c>
      <c r="C107" s="1" t="n">
        <v>45886</v>
      </c>
      <c r="D107" t="inlineStr">
        <is>
          <t>VÄSTRA GÖTALANDS LÄN</t>
        </is>
      </c>
      <c r="E107" t="inlineStr">
        <is>
          <t>ALE</t>
        </is>
      </c>
      <c r="G107" t="n">
        <v>7.1</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45886</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15241-2025</t>
        </is>
      </c>
      <c r="B109" s="1" t="n">
        <v>45744.61255787037</v>
      </c>
      <c r="C109" s="1" t="n">
        <v>45886</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45735.67928240741</v>
      </c>
      <c r="C110" s="1" t="n">
        <v>45886</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13426-2025</t>
        </is>
      </c>
      <c r="B111" s="1" t="n">
        <v>45736.32780092592</v>
      </c>
      <c r="C111" s="1" t="n">
        <v>45886</v>
      </c>
      <c r="D111" t="inlineStr">
        <is>
          <t>VÄSTRA GÖTALANDS LÄN</t>
        </is>
      </c>
      <c r="E111" t="inlineStr">
        <is>
          <t>ALE</t>
        </is>
      </c>
      <c r="G111" t="n">
        <v>1.5</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45737.63481481482</v>
      </c>
      <c r="C112" s="1" t="n">
        <v>45886</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6947-2024</t>
        </is>
      </c>
      <c r="B113" s="1" t="n">
        <v>45343</v>
      </c>
      <c r="C113" s="1" t="n">
        <v>45886</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37005-2025</t>
        </is>
      </c>
      <c r="B114" s="1" t="n">
        <v>45874.69311342593</v>
      </c>
      <c r="C114" s="1" t="n">
        <v>45886</v>
      </c>
      <c r="D114" t="inlineStr">
        <is>
          <t>VÄSTRA GÖTALANDS LÄN</t>
        </is>
      </c>
      <c r="E114" t="inlineStr">
        <is>
          <t>ALE</t>
        </is>
      </c>
      <c r="G114" t="n">
        <v>1.9</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45886</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45886</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45886</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45886</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44727.59578703704</v>
      </c>
      <c r="C119" s="1" t="n">
        <v>45886</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35905-2025</t>
        </is>
      </c>
      <c r="B120" s="1" t="n">
        <v>45862</v>
      </c>
      <c r="C120" s="1" t="n">
        <v>45886</v>
      </c>
      <c r="D120" t="inlineStr">
        <is>
          <t>VÄSTRA GÖTALANDS LÄN</t>
        </is>
      </c>
      <c r="E120" t="inlineStr">
        <is>
          <t>ALE</t>
        </is>
      </c>
      <c r="G120" t="n">
        <v>4.2</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45886</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34153-2024</t>
        </is>
      </c>
      <c r="B122" s="1" t="n">
        <v>45524.38400462963</v>
      </c>
      <c r="C122" s="1" t="n">
        <v>45886</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41309-2024</t>
        </is>
      </c>
      <c r="B123" s="1" t="n">
        <v>45559</v>
      </c>
      <c r="C123" s="1" t="n">
        <v>45886</v>
      </c>
      <c r="D123" t="inlineStr">
        <is>
          <t>VÄSTRA GÖTALANDS LÄN</t>
        </is>
      </c>
      <c r="E123" t="inlineStr">
        <is>
          <t>ALE</t>
        </is>
      </c>
      <c r="G123" t="n">
        <v>8.4</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45886</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26083-2023</t>
        </is>
      </c>
      <c r="B125" s="1" t="n">
        <v>45091</v>
      </c>
      <c r="C125" s="1" t="n">
        <v>45886</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45886</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63575-2023</t>
        </is>
      </c>
      <c r="B127" s="1" t="n">
        <v>45275.39715277778</v>
      </c>
      <c r="C127" s="1" t="n">
        <v>45886</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27314-2021</t>
        </is>
      </c>
      <c r="B128" s="1" t="n">
        <v>44351.36537037037</v>
      </c>
      <c r="C128" s="1" t="n">
        <v>45886</v>
      </c>
      <c r="D128" t="inlineStr">
        <is>
          <t>VÄSTRA GÖTALANDS LÄN</t>
        </is>
      </c>
      <c r="E128" t="inlineStr">
        <is>
          <t>ALE</t>
        </is>
      </c>
      <c r="G128" t="n">
        <v>11.3</v>
      </c>
      <c r="H128" t="n">
        <v>0</v>
      </c>
      <c r="I128" t="n">
        <v>0</v>
      </c>
      <c r="J128" t="n">
        <v>0</v>
      </c>
      <c r="K128" t="n">
        <v>0</v>
      </c>
      <c r="L128" t="n">
        <v>0</v>
      </c>
      <c r="M128" t="n">
        <v>0</v>
      </c>
      <c r="N128" t="n">
        <v>0</v>
      </c>
      <c r="O128" t="n">
        <v>0</v>
      </c>
      <c r="P128" t="n">
        <v>0</v>
      </c>
      <c r="Q128" t="n">
        <v>0</v>
      </c>
      <c r="R128" s="2" t="inlineStr"/>
    </row>
    <row r="129" ht="15" customHeight="1">
      <c r="A129" t="inlineStr">
        <is>
          <t>A 1960-2024</t>
        </is>
      </c>
      <c r="B129" s="1" t="n">
        <v>45308.50962962963</v>
      </c>
      <c r="C129" s="1" t="n">
        <v>45886</v>
      </c>
      <c r="D129" t="inlineStr">
        <is>
          <t>VÄSTRA GÖTALANDS LÄN</t>
        </is>
      </c>
      <c r="E129" t="inlineStr">
        <is>
          <t>ALE</t>
        </is>
      </c>
      <c r="G129" t="n">
        <v>1.9</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44949.56182870371</v>
      </c>
      <c r="C130" s="1" t="n">
        <v>45886</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45886</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60233-2024</t>
        </is>
      </c>
      <c r="B132" s="1" t="n">
        <v>45642.74851851852</v>
      </c>
      <c r="C132" s="1" t="n">
        <v>45886</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45886</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3457-2022</t>
        </is>
      </c>
      <c r="B134" s="1" t="n">
        <v>44585</v>
      </c>
      <c r="C134" s="1" t="n">
        <v>45886</v>
      </c>
      <c r="D134" t="inlineStr">
        <is>
          <t>VÄSTRA GÖTALANDS LÄN</t>
        </is>
      </c>
      <c r="E134" t="inlineStr">
        <is>
          <t>ALE</t>
        </is>
      </c>
      <c r="G134" t="n">
        <v>5.1</v>
      </c>
      <c r="H134" t="n">
        <v>0</v>
      </c>
      <c r="I134" t="n">
        <v>0</v>
      </c>
      <c r="J134" t="n">
        <v>0</v>
      </c>
      <c r="K134" t="n">
        <v>0</v>
      </c>
      <c r="L134" t="n">
        <v>0</v>
      </c>
      <c r="M134" t="n">
        <v>0</v>
      </c>
      <c r="N134" t="n">
        <v>0</v>
      </c>
      <c r="O134" t="n">
        <v>0</v>
      </c>
      <c r="P134" t="n">
        <v>0</v>
      </c>
      <c r="Q134" t="n">
        <v>0</v>
      </c>
      <c r="R134" s="2" t="inlineStr"/>
    </row>
    <row r="135" ht="15" customHeight="1">
      <c r="A135" t="inlineStr">
        <is>
          <t>A 69325-2020</t>
        </is>
      </c>
      <c r="B135" s="1" t="n">
        <v>44193</v>
      </c>
      <c r="C135" s="1" t="n">
        <v>45886</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35959-2022</t>
        </is>
      </c>
      <c r="B136" s="1" t="n">
        <v>44802.57002314815</v>
      </c>
      <c r="C136" s="1" t="n">
        <v>45886</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45886</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45886</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17044-2025</t>
        </is>
      </c>
      <c r="B139" s="1" t="n">
        <v>45755.58891203703</v>
      </c>
      <c r="C139" s="1" t="n">
        <v>45886</v>
      </c>
      <c r="D139" t="inlineStr">
        <is>
          <t>VÄSTRA GÖTALANDS LÄN</t>
        </is>
      </c>
      <c r="E139" t="inlineStr">
        <is>
          <t>ALE</t>
        </is>
      </c>
      <c r="G139" t="n">
        <v>1.5</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45886</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34104-2024</t>
        </is>
      </c>
      <c r="B141" s="1" t="n">
        <v>45523.79202546296</v>
      </c>
      <c r="C141" s="1" t="n">
        <v>45886</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45886</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18999-2021</t>
        </is>
      </c>
      <c r="B143" s="1" t="n">
        <v>44308</v>
      </c>
      <c r="C143" s="1" t="n">
        <v>45886</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16601-2025</t>
        </is>
      </c>
      <c r="B144" s="1" t="n">
        <v>45753.53189814815</v>
      </c>
      <c r="C144" s="1" t="n">
        <v>45886</v>
      </c>
      <c r="D144" t="inlineStr">
        <is>
          <t>VÄSTRA GÖTALANDS LÄN</t>
        </is>
      </c>
      <c r="E144" t="inlineStr">
        <is>
          <t>ALE</t>
        </is>
      </c>
      <c r="G144" t="n">
        <v>1.7</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45886</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1687-2024</t>
        </is>
      </c>
      <c r="B146" s="1" t="n">
        <v>45306</v>
      </c>
      <c r="C146" s="1" t="n">
        <v>45886</v>
      </c>
      <c r="D146" t="inlineStr">
        <is>
          <t>VÄSTRA GÖTALANDS LÄN</t>
        </is>
      </c>
      <c r="E146" t="inlineStr">
        <is>
          <t>ALE</t>
        </is>
      </c>
      <c r="G146" t="n">
        <v>3.4</v>
      </c>
      <c r="H146" t="n">
        <v>0</v>
      </c>
      <c r="I146" t="n">
        <v>0</v>
      </c>
      <c r="J146" t="n">
        <v>0</v>
      </c>
      <c r="K146" t="n">
        <v>0</v>
      </c>
      <c r="L146" t="n">
        <v>0</v>
      </c>
      <c r="M146" t="n">
        <v>0</v>
      </c>
      <c r="N146" t="n">
        <v>0</v>
      </c>
      <c r="O146" t="n">
        <v>0</v>
      </c>
      <c r="P146" t="n">
        <v>0</v>
      </c>
      <c r="Q146" t="n">
        <v>0</v>
      </c>
      <c r="R146" s="2" t="inlineStr"/>
    </row>
    <row r="147" ht="15" customHeight="1">
      <c r="A147" t="inlineStr">
        <is>
          <t>A 50451-2024</t>
        </is>
      </c>
      <c r="B147" s="1" t="n">
        <v>45601.44248842593</v>
      </c>
      <c r="C147" s="1" t="n">
        <v>45886</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49680-2024</t>
        </is>
      </c>
      <c r="B148" s="1" t="n">
        <v>45596.66880787037</v>
      </c>
      <c r="C148" s="1" t="n">
        <v>45886</v>
      </c>
      <c r="D148" t="inlineStr">
        <is>
          <t>VÄSTRA GÖTALANDS LÄN</t>
        </is>
      </c>
      <c r="E148" t="inlineStr">
        <is>
          <t>ALE</t>
        </is>
      </c>
      <c r="G148" t="n">
        <v>3.7</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45886</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6916-2023</t>
        </is>
      </c>
      <c r="B150" s="1" t="n">
        <v>44967.53349537037</v>
      </c>
      <c r="C150" s="1" t="n">
        <v>45886</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c r="A151" t="inlineStr">
        <is>
          <t>A 64199-2021</t>
        </is>
      </c>
      <c r="B151" s="1" t="n">
        <v>44510</v>
      </c>
      <c r="C151" s="1" t="n">
        <v>45886</v>
      </c>
      <c r="D151" t="inlineStr">
        <is>
          <t>VÄSTRA GÖTALANDS LÄN</t>
        </is>
      </c>
      <c r="E151" t="inlineStr">
        <is>
          <t>ALE</t>
        </is>
      </c>
      <c r="G151" t="n">
        <v>5.7</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2025-08-17T08:27:08Z</dcterms:created>
  <dcterms:modified xmlns:dcterms="http://purl.org/dc/terms/" xmlns:xsi="http://www.w3.org/2001/XMLSchema-instance" xsi:type="dcterms:W3CDTF">2025-08-17T08:27:08Z</dcterms:modified>
</cp:coreProperties>
</file>