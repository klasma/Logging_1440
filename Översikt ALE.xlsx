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433-2026</t>
        </is>
      </c>
      <c r="B2" t="inlineStr">
        <is>
          <t>samrådsanmälan</t>
        </is>
      </c>
      <c r="C2" t="inlineStr">
        <is>
          <t>Annan skogsbruksåtgärd</t>
        </is>
      </c>
      <c r="D2" s="1" t="n">
        <v>46070</v>
      </c>
      <c r="E2" s="1" t="n">
        <v>46221</v>
      </c>
      <c r="F2" t="inlineStr">
        <is>
          <t>VÄSTRA GÖTALANDS LÄN</t>
        </is>
      </c>
      <c r="G2" t="inlineStr">
        <is>
          <t>ALE</t>
        </is>
      </c>
      <c r="I2" t="n">
        <v>10.3</v>
      </c>
      <c r="J2" t="n">
        <v>15</v>
      </c>
      <c r="K2" t="n">
        <v>12</v>
      </c>
      <c r="L2" t="n">
        <v>7</v>
      </c>
      <c r="M2" t="n">
        <v>2</v>
      </c>
      <c r="N2" t="n">
        <v>1</v>
      </c>
      <c r="O2" t="n">
        <v>0</v>
      </c>
      <c r="P2" t="n">
        <v>0</v>
      </c>
      <c r="Q2" t="n">
        <v>10</v>
      </c>
      <c r="R2" t="n">
        <v>3</v>
      </c>
      <c r="S2" t="n">
        <v>31</v>
      </c>
      <c r="T2" t="n">
        <v>104</v>
      </c>
      <c r="U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V2">
        <f>HYPERLINK("https://klasma.github.io/Logging_1440/artfynd/S 433-2026 artfynd.xlsx", "S 433-2026")</f>
        <v/>
      </c>
      <c r="W2">
        <f>HYPERLINK("https://klasma.github.io/Logging_1440/kartor/S 433-2026 karta.png", "S 433-2026")</f>
        <v/>
      </c>
      <c r="X2">
        <f>HYPERLINK("https://klasma.github.io/Logging_1440/knärot/S 433-2026 karta knärot.png", "S 433-2026")</f>
        <v/>
      </c>
      <c r="Y2">
        <f>HYPERLINK("https://klasma.github.io/Logging_1440/klagomål/S 433-2026 FSC-klagomål.docx", "S 433-2026")</f>
        <v/>
      </c>
      <c r="Z2">
        <f>HYPERLINK("https://klasma.github.io/Logging_1440/klagomålsmail/S 433-2026 FSC-klagomål mail.docx", "S 433-2026")</f>
        <v/>
      </c>
      <c r="AA2">
        <f>HYPERLINK("https://klasma.github.io/Logging_1440/tillsyn/S 433-2026 tillsynsbegäran.docx", "S 433-2026")</f>
        <v/>
      </c>
      <c r="AB2">
        <f>HYPERLINK("https://klasma.github.io/Logging_1440/tillsynsmail/S 433-2026 tillsynsbegäran mail.docx", "S 433-2026")</f>
        <v/>
      </c>
      <c r="AC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46221</v>
      </c>
      <c r="F3" t="inlineStr">
        <is>
          <t>VÄSTRA GÖTALANDS LÄN</t>
        </is>
      </c>
      <c r="G3" t="inlineStr">
        <is>
          <t>ALE</t>
        </is>
      </c>
      <c r="I3" t="n">
        <v>6.2</v>
      </c>
      <c r="J3" t="n">
        <v>7</v>
      </c>
      <c r="K3" t="n">
        <v>13</v>
      </c>
      <c r="L3" t="n">
        <v>5</v>
      </c>
      <c r="M3" t="n">
        <v>2</v>
      </c>
      <c r="N3" t="n">
        <v>1</v>
      </c>
      <c r="O3" t="n">
        <v>0</v>
      </c>
      <c r="P3" t="n">
        <v>0</v>
      </c>
      <c r="Q3" t="n">
        <v>8</v>
      </c>
      <c r="R3" t="n">
        <v>3</v>
      </c>
      <c r="S3" t="n">
        <v>27</v>
      </c>
      <c r="T3" t="n">
        <v>87</v>
      </c>
      <c r="U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V3">
        <f>HYPERLINK("https://klasma.github.io/Logging_1440/artfynd/A 36673-2023 artfynd.xlsx", "A 36673-2023")</f>
        <v/>
      </c>
      <c r="W3">
        <f>HYPERLINK("https://klasma.github.io/Logging_1440/kartor/A 36673-2023 karta.png", "A 36673-2023")</f>
        <v/>
      </c>
      <c r="Y3">
        <f>HYPERLINK("https://klasma.github.io/Logging_1440/klagomål/A 36673-2023 FSC-klagomål.docx", "A 36673-2023")</f>
        <v/>
      </c>
      <c r="Z3">
        <f>HYPERLINK("https://klasma.github.io/Logging_1440/klagomålsmail/A 36673-2023 FSC-klagomål mail.docx", "A 36673-2023")</f>
        <v/>
      </c>
      <c r="AA3">
        <f>HYPERLINK("https://klasma.github.io/Logging_1440/tillsyn/A 36673-2023 tillsynsbegäran.docx", "A 36673-2023")</f>
        <v/>
      </c>
      <c r="AB3">
        <f>HYPERLINK("https://klasma.github.io/Logging_1440/tillsynsmail/A 36673-2023 tillsynsbegäran mail.docx", "A 36673-2023")</f>
        <v/>
      </c>
      <c r="AC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46221</v>
      </c>
      <c r="F4" t="inlineStr">
        <is>
          <t>VÄSTRA GÖTALANDS LÄN</t>
        </is>
      </c>
      <c r="G4" t="inlineStr">
        <is>
          <t>ALE</t>
        </is>
      </c>
      <c r="I4" t="n">
        <v>9.1</v>
      </c>
      <c r="J4" t="n">
        <v>9</v>
      </c>
      <c r="K4" t="n">
        <v>7</v>
      </c>
      <c r="L4" t="n">
        <v>4</v>
      </c>
      <c r="M4" t="n">
        <v>0</v>
      </c>
      <c r="N4" t="n">
        <v>0</v>
      </c>
      <c r="O4" t="n">
        <v>0</v>
      </c>
      <c r="P4" t="n">
        <v>0</v>
      </c>
      <c r="Q4" t="n">
        <v>4</v>
      </c>
      <c r="R4" t="n">
        <v>0</v>
      </c>
      <c r="S4" t="n">
        <v>17</v>
      </c>
      <c r="T4" t="n">
        <v>91</v>
      </c>
      <c r="U4" s="2" t="inlineStr">
        <is>
          <t>Bivråk
Grönhjon
Sparvuggla
Talltita
Björksplintborre
Blåmossa
Bronshjon
Klippfrullania
Stor revmossa
Västlig hakmossa
Vågbandad barkbock
Spillkråka
Tjäder
Grönsiska
Kungsfågel
Orre
Skogsödla</t>
        </is>
      </c>
      <c r="V4">
        <f>HYPERLINK("https://klasma.github.io/Logging_1440/artfynd/A 9045-2024 artfynd.xlsx", "A 9045-2024")</f>
        <v/>
      </c>
      <c r="W4">
        <f>HYPERLINK("https://klasma.github.io/Logging_1440/kartor/A 9045-2024 karta.png", "A 9045-2024")</f>
        <v/>
      </c>
      <c r="Y4">
        <f>HYPERLINK("https://klasma.github.io/Logging_1440/klagomål/A 9045-2024 FSC-klagomål.docx", "A 9045-2024")</f>
        <v/>
      </c>
      <c r="Z4">
        <f>HYPERLINK("https://klasma.github.io/Logging_1440/klagomålsmail/A 9045-2024 FSC-klagomål mail.docx", "A 9045-2024")</f>
        <v/>
      </c>
      <c r="AA4">
        <f>HYPERLINK("https://klasma.github.io/Logging_1440/tillsyn/A 9045-2024 tillsynsbegäran.docx", "A 9045-2024")</f>
        <v/>
      </c>
      <c r="AB4">
        <f>HYPERLINK("https://klasma.github.io/Logging_1440/tillsynsmail/A 9045-2024 tillsynsbegäran mail.docx", "A 9045-2024")</f>
        <v/>
      </c>
      <c r="AC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46221</v>
      </c>
      <c r="F5" t="inlineStr">
        <is>
          <t>VÄSTRA GÖTALANDS LÄN</t>
        </is>
      </c>
      <c r="G5" t="inlineStr">
        <is>
          <t>ALE</t>
        </is>
      </c>
      <c r="I5" t="n">
        <v>3</v>
      </c>
      <c r="J5" t="n">
        <v>6</v>
      </c>
      <c r="K5" t="n">
        <v>6</v>
      </c>
      <c r="L5" t="n">
        <v>1</v>
      </c>
      <c r="M5" t="n">
        <v>0</v>
      </c>
      <c r="N5" t="n">
        <v>0</v>
      </c>
      <c r="O5" t="n">
        <v>0</v>
      </c>
      <c r="P5" t="n">
        <v>0</v>
      </c>
      <c r="Q5" t="n">
        <v>1</v>
      </c>
      <c r="R5" t="n">
        <v>0</v>
      </c>
      <c r="S5" t="n">
        <v>12</v>
      </c>
      <c r="T5" t="n">
        <v>23</v>
      </c>
      <c r="U5" s="2" t="inlineStr">
        <is>
          <t>Talltita
Björksplintborre
Grönpyrola
Kornknutmossa
Smal svampklubba
Stor revmossa
Västlig hakmossa
Spillkråka
Tjäder
Grönsiska
Kungsfågel
Revlummer</t>
        </is>
      </c>
      <c r="V5">
        <f>HYPERLINK("https://klasma.github.io/Logging_1440/artfynd/A 41294-2024 artfynd.xlsx", "A 41294-2024")</f>
        <v/>
      </c>
      <c r="W5">
        <f>HYPERLINK("https://klasma.github.io/Logging_1440/kartor/A 41294-2024 karta.png", "A 41294-2024")</f>
        <v/>
      </c>
      <c r="Y5">
        <f>HYPERLINK("https://klasma.github.io/Logging_1440/klagomål/A 41294-2024 FSC-klagomål.docx", "A 41294-2024")</f>
        <v/>
      </c>
      <c r="Z5">
        <f>HYPERLINK("https://klasma.github.io/Logging_1440/klagomålsmail/A 41294-2024 FSC-klagomål mail.docx", "A 41294-2024")</f>
        <v/>
      </c>
      <c r="AA5">
        <f>HYPERLINK("https://klasma.github.io/Logging_1440/tillsyn/A 41294-2024 tillsynsbegäran.docx", "A 41294-2024")</f>
        <v/>
      </c>
      <c r="AB5">
        <f>HYPERLINK("https://klasma.github.io/Logging_1440/tillsynsmail/A 41294-2024 tillsynsbegäran mail.docx", "A 41294-2024")</f>
        <v/>
      </c>
      <c r="AC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46221</v>
      </c>
      <c r="F6" t="inlineStr">
        <is>
          <t>VÄSTRA GÖTALANDS LÄN</t>
        </is>
      </c>
      <c r="G6" t="inlineStr">
        <is>
          <t>ALE</t>
        </is>
      </c>
      <c r="I6" t="n">
        <v>5.6</v>
      </c>
      <c r="J6" t="n">
        <v>4</v>
      </c>
      <c r="K6" t="n">
        <v>6</v>
      </c>
      <c r="L6" t="n">
        <v>2</v>
      </c>
      <c r="M6" t="n">
        <v>0</v>
      </c>
      <c r="N6" t="n">
        <v>0</v>
      </c>
      <c r="O6" t="n">
        <v>0</v>
      </c>
      <c r="P6" t="n">
        <v>0</v>
      </c>
      <c r="Q6" t="n">
        <v>2</v>
      </c>
      <c r="R6" t="n">
        <v>0</v>
      </c>
      <c r="S6" t="n">
        <v>12</v>
      </c>
      <c r="T6" t="n">
        <v>41</v>
      </c>
      <c r="U6" s="2" t="inlineStr">
        <is>
          <t>Dropptaggsvamp
Motaggsvamp
Blåmossa
Kornknutmossa
Sotriska
Stor revmossa
Stubbspretmossa
Västlig hakmossa
Spillkråka
Kungsfågel
Vanlig groda
Revlummer</t>
        </is>
      </c>
      <c r="V6">
        <f>HYPERLINK("https://klasma.github.io/Logging_1440/artfynd/A 32849-2023 artfynd.xlsx", "A 32849-2023")</f>
        <v/>
      </c>
      <c r="W6">
        <f>HYPERLINK("https://klasma.github.io/Logging_1440/kartor/A 32849-2023 karta.png", "A 32849-2023")</f>
        <v/>
      </c>
      <c r="Y6">
        <f>HYPERLINK("https://klasma.github.io/Logging_1440/klagomål/A 32849-2023 FSC-klagomål.docx", "A 32849-2023")</f>
        <v/>
      </c>
      <c r="Z6">
        <f>HYPERLINK("https://klasma.github.io/Logging_1440/klagomålsmail/A 32849-2023 FSC-klagomål mail.docx", "A 32849-2023")</f>
        <v/>
      </c>
      <c r="AA6">
        <f>HYPERLINK("https://klasma.github.io/Logging_1440/tillsyn/A 32849-2023 tillsynsbegäran.docx", "A 32849-2023")</f>
        <v/>
      </c>
      <c r="AB6">
        <f>HYPERLINK("https://klasma.github.io/Logging_1440/tillsynsmail/A 32849-2023 tillsynsbegäran mail.docx", "A 32849-2023")</f>
        <v/>
      </c>
      <c r="AC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46221</v>
      </c>
      <c r="F7" t="inlineStr">
        <is>
          <t>VÄSTRA GÖTALANDS LÄN</t>
        </is>
      </c>
      <c r="G7" t="inlineStr">
        <is>
          <t>ALE</t>
        </is>
      </c>
      <c r="I7" t="n">
        <v>0.8</v>
      </c>
      <c r="J7" t="n">
        <v>4</v>
      </c>
      <c r="K7" t="n">
        <v>4</v>
      </c>
      <c r="L7" t="n">
        <v>3</v>
      </c>
      <c r="M7" t="n">
        <v>0</v>
      </c>
      <c r="N7" t="n">
        <v>0</v>
      </c>
      <c r="O7" t="n">
        <v>0</v>
      </c>
      <c r="P7" t="n">
        <v>0</v>
      </c>
      <c r="Q7" t="n">
        <v>3</v>
      </c>
      <c r="R7" t="n">
        <v>0</v>
      </c>
      <c r="S7" t="n">
        <v>10</v>
      </c>
      <c r="T7" t="n">
        <v>19</v>
      </c>
      <c r="U7" s="2" t="inlineStr">
        <is>
          <t>Brunpudrad nållav
Kattfotslav
Talltita
Björksplintborre
Kornig nållav
Stor revmossa
Vågbandad barkbock
Spillkråka
Tjäder
Kungsfågel</t>
        </is>
      </c>
      <c r="V7">
        <f>HYPERLINK("https://klasma.github.io/Logging_1440/artfynd/A 8113-2026 artfynd.xlsx", "A 8113-2026")</f>
        <v/>
      </c>
      <c r="W7">
        <f>HYPERLINK("https://klasma.github.io/Logging_1440/kartor/A 8113-2026 karta.png", "A 8113-2026")</f>
        <v/>
      </c>
      <c r="Y7">
        <f>HYPERLINK("https://klasma.github.io/Logging_1440/klagomål/A 8113-2026 FSC-klagomål.docx", "A 8113-2026")</f>
        <v/>
      </c>
      <c r="Z7">
        <f>HYPERLINK("https://klasma.github.io/Logging_1440/klagomålsmail/A 8113-2026 FSC-klagomål mail.docx", "A 8113-2026")</f>
        <v/>
      </c>
      <c r="AA7">
        <f>HYPERLINK("https://klasma.github.io/Logging_1440/tillsyn/A 8113-2026 tillsynsbegäran.docx", "A 8113-2026")</f>
        <v/>
      </c>
      <c r="AB7">
        <f>HYPERLINK("https://klasma.github.io/Logging_1440/tillsynsmail/A 8113-2026 tillsynsbegäran mail.docx", "A 8113-2026")</f>
        <v/>
      </c>
      <c r="AC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46221</v>
      </c>
      <c r="F8" t="inlineStr">
        <is>
          <t>VÄSTRA GÖTALANDS LÄN</t>
        </is>
      </c>
      <c r="G8" t="inlineStr">
        <is>
          <t>ALE</t>
        </is>
      </c>
      <c r="I8" t="n">
        <v>4.2</v>
      </c>
      <c r="J8" t="n">
        <v>5</v>
      </c>
      <c r="K8" t="n">
        <v>3</v>
      </c>
      <c r="L8" t="n">
        <v>2</v>
      </c>
      <c r="M8" t="n">
        <v>0</v>
      </c>
      <c r="N8" t="n">
        <v>0</v>
      </c>
      <c r="O8" t="n">
        <v>0</v>
      </c>
      <c r="P8" t="n">
        <v>0</v>
      </c>
      <c r="Q8" t="n">
        <v>2</v>
      </c>
      <c r="R8" t="n">
        <v>0</v>
      </c>
      <c r="S8" t="n">
        <v>8</v>
      </c>
      <c r="T8" t="n">
        <v>20</v>
      </c>
      <c r="U8" s="2" t="inlineStr">
        <is>
          <t>Entita
Talltita
Björksplintborre
Guldlockmossa
Platt fjädermossa
Spillkråka
Kungsfågel
Vanlig snok</t>
        </is>
      </c>
      <c r="V8">
        <f>HYPERLINK("https://klasma.github.io/Logging_1440/artfynd/A 7903-2024 artfynd.xlsx", "A 7903-2024")</f>
        <v/>
      </c>
      <c r="W8">
        <f>HYPERLINK("https://klasma.github.io/Logging_1440/kartor/A 7903-2024 karta.png", "A 7903-2024")</f>
        <v/>
      </c>
      <c r="Y8">
        <f>HYPERLINK("https://klasma.github.io/Logging_1440/klagomål/A 7903-2024 FSC-klagomål.docx", "A 7903-2024")</f>
        <v/>
      </c>
      <c r="Z8">
        <f>HYPERLINK("https://klasma.github.io/Logging_1440/klagomålsmail/A 7903-2024 FSC-klagomål mail.docx", "A 7903-2024")</f>
        <v/>
      </c>
      <c r="AA8">
        <f>HYPERLINK("https://klasma.github.io/Logging_1440/tillsyn/A 7903-2024 tillsynsbegäran.docx", "A 7903-2024")</f>
        <v/>
      </c>
      <c r="AB8">
        <f>HYPERLINK("https://klasma.github.io/Logging_1440/tillsynsmail/A 7903-2024 tillsynsbegäran mail.docx", "A 7903-2024")</f>
        <v/>
      </c>
      <c r="AC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46221</v>
      </c>
      <c r="F9" t="inlineStr">
        <is>
          <t>VÄSTRA GÖTALANDS LÄN</t>
        </is>
      </c>
      <c r="G9" t="inlineStr">
        <is>
          <t>ALE</t>
        </is>
      </c>
      <c r="I9" t="n">
        <v>6.1</v>
      </c>
      <c r="J9" t="n">
        <v>6</v>
      </c>
      <c r="K9" t="n">
        <v>1</v>
      </c>
      <c r="L9" t="n">
        <v>2</v>
      </c>
      <c r="M9" t="n">
        <v>0</v>
      </c>
      <c r="N9" t="n">
        <v>0</v>
      </c>
      <c r="O9" t="n">
        <v>0</v>
      </c>
      <c r="P9" t="n">
        <v>0</v>
      </c>
      <c r="Q9" t="n">
        <v>2</v>
      </c>
      <c r="R9" t="n">
        <v>0</v>
      </c>
      <c r="S9" t="n">
        <v>8</v>
      </c>
      <c r="T9" t="n">
        <v>10</v>
      </c>
      <c r="U9" s="2" t="inlineStr">
        <is>
          <t>Gulsparv
Talltita
Björksplintborre
Spillkråka
Späd frullania
Kungsfågel
Lopplummer (aggregat)
Revlummer</t>
        </is>
      </c>
      <c r="V9">
        <f>HYPERLINK("https://klasma.github.io/Logging_1440/artfynd/A 15890-2026 artfynd.xlsx", "A 15890-2026")</f>
        <v/>
      </c>
      <c r="W9">
        <f>HYPERLINK("https://klasma.github.io/Logging_1440/kartor/A 15890-2026 karta.png", "A 15890-2026")</f>
        <v/>
      </c>
      <c r="Y9">
        <f>HYPERLINK("https://klasma.github.io/Logging_1440/klagomål/A 15890-2026 FSC-klagomål.docx", "A 15890-2026")</f>
        <v/>
      </c>
      <c r="Z9">
        <f>HYPERLINK("https://klasma.github.io/Logging_1440/klagomålsmail/A 15890-2026 FSC-klagomål mail.docx", "A 15890-2026")</f>
        <v/>
      </c>
      <c r="AA9">
        <f>HYPERLINK("https://klasma.github.io/Logging_1440/tillsyn/A 15890-2026 tillsynsbegäran.docx", "A 15890-2026")</f>
        <v/>
      </c>
      <c r="AB9">
        <f>HYPERLINK("https://klasma.github.io/Logging_1440/tillsynsmail/A 15890-2026 tillsynsbegäran mail.docx", "A 15890-2026")</f>
        <v/>
      </c>
      <c r="AC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46221</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s="2" t="inlineStr">
        <is>
          <t>Gropticka
Talltita
Blåmossa
Spillkråka
Tjäder
Grönsiska
Trana
Revlummer</t>
        </is>
      </c>
      <c r="V10">
        <f>HYPERLINK("https://klasma.github.io/Logging_1440/artfynd/A 40059-2025 artfynd.xlsx", "A 40059-2025")</f>
        <v/>
      </c>
      <c r="W10">
        <f>HYPERLINK("https://klasma.github.io/Logging_1440/kartor/A 40059-2025 karta.png", "A 40059-2025")</f>
        <v/>
      </c>
      <c r="Y10">
        <f>HYPERLINK("https://klasma.github.io/Logging_1440/klagomål/A 40059-2025 FSC-klagomål.docx", "A 40059-2025")</f>
        <v/>
      </c>
      <c r="Z10">
        <f>HYPERLINK("https://klasma.github.io/Logging_1440/klagomålsmail/A 40059-2025 FSC-klagomål mail.docx", "A 40059-2025")</f>
        <v/>
      </c>
      <c r="AA10">
        <f>HYPERLINK("https://klasma.github.io/Logging_1440/tillsyn/A 40059-2025 tillsynsbegäran.docx", "A 40059-2025")</f>
        <v/>
      </c>
      <c r="AB10">
        <f>HYPERLINK("https://klasma.github.io/Logging_1440/tillsynsmail/A 40059-2025 tillsynsbegäran mail.docx", "A 40059-2025")</f>
        <v/>
      </c>
      <c r="AC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46221</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s="2" t="inlineStr">
        <is>
          <t>Duvhök
Entita
Fällmossa
Sotlav
Spillkråka
Grönsiska
Kungsfågel
Grönvit nattviol</t>
        </is>
      </c>
      <c r="V11">
        <f>HYPERLINK("https://klasma.github.io/Logging_1440/artfynd/S 1613-2024 artfynd.xlsx", "S 1613-2024")</f>
        <v/>
      </c>
      <c r="W11">
        <f>HYPERLINK("https://klasma.github.io/Logging_1440/kartor/S 1613-2024 karta.png", "S 1613-2024")</f>
        <v/>
      </c>
      <c r="Y11">
        <f>HYPERLINK("https://klasma.github.io/Logging_1440/klagomål/S 1613-2024 FSC-klagomål.docx", "S 1613-2024")</f>
        <v/>
      </c>
      <c r="Z11">
        <f>HYPERLINK("https://klasma.github.io/Logging_1440/klagomålsmail/S 1613-2024 FSC-klagomål mail.docx", "S 1613-2024")</f>
        <v/>
      </c>
      <c r="AA11">
        <f>HYPERLINK("https://klasma.github.io/Logging_1440/tillsyn/S 1613-2024 tillsynsbegäran.docx", "S 1613-2024")</f>
        <v/>
      </c>
      <c r="AB11">
        <f>HYPERLINK("https://klasma.github.io/Logging_1440/tillsynsmail/S 1613-2024 tillsynsbegäran mail.docx", "S 1613-2024")</f>
        <v/>
      </c>
      <c r="AC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46221</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s="2" t="inlineStr">
        <is>
          <t>Blåmossa
Bronshjon
Havstulpanlav
Vågbandad barkbock
Spillkråka
Lopplummer (aggregat)
Revlummer</t>
        </is>
      </c>
      <c r="V12">
        <f>HYPERLINK("https://klasma.github.io/Logging_1440/artfynd/A 17684-2026 artfynd.xlsx", "A 17684-2026")</f>
        <v/>
      </c>
      <c r="W12">
        <f>HYPERLINK("https://klasma.github.io/Logging_1440/kartor/A 17684-2026 karta.png", "A 17684-2026")</f>
        <v/>
      </c>
      <c r="Y12">
        <f>HYPERLINK("https://klasma.github.io/Logging_1440/klagomål/A 17684-2026 FSC-klagomål.docx", "A 17684-2026")</f>
        <v/>
      </c>
      <c r="Z12">
        <f>HYPERLINK("https://klasma.github.io/Logging_1440/klagomålsmail/A 17684-2026 FSC-klagomål mail.docx", "A 17684-2026")</f>
        <v/>
      </c>
      <c r="AA12">
        <f>HYPERLINK("https://klasma.github.io/Logging_1440/tillsyn/A 17684-2026 tillsynsbegäran.docx", "A 17684-2026")</f>
        <v/>
      </c>
      <c r="AB12">
        <f>HYPERLINK("https://klasma.github.io/Logging_1440/tillsynsmail/A 17684-2026 tillsynsbegäran mail.docx", "A 17684-2026")</f>
        <v/>
      </c>
      <c r="AC12">
        <f>HYPERLINK("https://klasma.github.io/Logging_1440/fåglar/A 17684-2026 prioriterade fågelarter.docx", "A 17684-2026")</f>
        <v/>
      </c>
    </row>
    <row r="13" ht="15" customHeight="1">
      <c r="A13" t="inlineStr">
        <is>
          <t>A 60293-2025</t>
        </is>
      </c>
      <c r="B13" t="inlineStr">
        <is>
          <t>avverkningsanmälan</t>
        </is>
      </c>
      <c r="C13" t="inlineStr">
        <is>
          <t>Föryngringsavverkning</t>
        </is>
      </c>
      <c r="D13" s="1" t="n">
        <v>45994</v>
      </c>
      <c r="E13" s="1" t="n">
        <v>46221</v>
      </c>
      <c r="F13" t="inlineStr">
        <is>
          <t>VÄSTRA GÖTALANDS LÄN</t>
        </is>
      </c>
      <c r="G13" t="inlineStr">
        <is>
          <t>ALE</t>
        </is>
      </c>
      <c r="I13" t="n">
        <v>1.9</v>
      </c>
      <c r="J13" t="n">
        <v>3</v>
      </c>
      <c r="K13" t="n">
        <v>3</v>
      </c>
      <c r="L13" t="n">
        <v>3</v>
      </c>
      <c r="M13" t="n">
        <v>0</v>
      </c>
      <c r="N13" t="n">
        <v>0</v>
      </c>
      <c r="O13" t="n">
        <v>0</v>
      </c>
      <c r="P13" t="n">
        <v>0</v>
      </c>
      <c r="Q13" t="n">
        <v>3</v>
      </c>
      <c r="R13" t="n">
        <v>0</v>
      </c>
      <c r="S13" t="n">
        <v>7</v>
      </c>
      <c r="T13" t="n">
        <v>10</v>
      </c>
      <c r="U13" s="2" t="inlineStr">
        <is>
          <t>Entita
Rödvingetrast
Stor sotdyna
Björksplintborre
Gulnål
Rostfläck
Stjärtmes</t>
        </is>
      </c>
      <c r="V13">
        <f>HYPERLINK("https://klasma.github.io/Logging_1440/artfynd/A 60293-2025 artfynd.xlsx", "A 60293-2025")</f>
        <v/>
      </c>
      <c r="W13">
        <f>HYPERLINK("https://klasma.github.io/Logging_1440/kartor/A 60293-2025 karta.png", "A 60293-2025")</f>
        <v/>
      </c>
      <c r="Y13">
        <f>HYPERLINK("https://klasma.github.io/Logging_1440/klagomål/A 60293-2025 FSC-klagomål.docx", "A 60293-2025")</f>
        <v/>
      </c>
      <c r="Z13">
        <f>HYPERLINK("https://klasma.github.io/Logging_1440/klagomålsmail/A 60293-2025 FSC-klagomål mail.docx", "A 60293-2025")</f>
        <v/>
      </c>
      <c r="AA13">
        <f>HYPERLINK("https://klasma.github.io/Logging_1440/tillsyn/A 60293-2025 tillsynsbegäran.docx", "A 60293-2025")</f>
        <v/>
      </c>
      <c r="AB13">
        <f>HYPERLINK("https://klasma.github.io/Logging_1440/tillsynsmail/A 60293-2025 tillsynsbegäran mail.docx", "A 60293-2025")</f>
        <v/>
      </c>
      <c r="AC13">
        <f>HYPERLINK("https://klasma.github.io/Logging_1440/fåglar/A 60293-2025 prioriterade fågelarter.docx", "A 60293-2025")</f>
        <v/>
      </c>
    </row>
    <row r="14" ht="15" customHeight="1">
      <c r="A14" t="inlineStr">
        <is>
          <t>A 24162-2025</t>
        </is>
      </c>
      <c r="B14" t="inlineStr">
        <is>
          <t>avverkningsanmälan</t>
        </is>
      </c>
      <c r="C14" t="inlineStr">
        <is>
          <t>Föryngringsavverkning</t>
        </is>
      </c>
      <c r="D14" s="1" t="n">
        <v>45796</v>
      </c>
      <c r="E14" s="1" t="n">
        <v>46221</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s="2" t="inlineStr">
        <is>
          <t>Grönsångare
Blanksvart trämyra
Blåmossa
Spillkråka
Kungsfågel
Trana
Revlummer</t>
        </is>
      </c>
      <c r="V14">
        <f>HYPERLINK("https://klasma.github.io/Logging_1440/artfynd/A 24162-2025 artfynd.xlsx", "A 24162-2025")</f>
        <v/>
      </c>
      <c r="W14">
        <f>HYPERLINK("https://klasma.github.io/Logging_1440/kartor/A 24162-2025 karta.png", "A 24162-2025")</f>
        <v/>
      </c>
      <c r="Y14">
        <f>HYPERLINK("https://klasma.github.io/Logging_1440/klagomål/A 24162-2025 FSC-klagomål.docx", "A 24162-2025")</f>
        <v/>
      </c>
      <c r="Z14">
        <f>HYPERLINK("https://klasma.github.io/Logging_1440/klagomålsmail/A 24162-2025 FSC-klagomål mail.docx", "A 24162-2025")</f>
        <v/>
      </c>
      <c r="AA14">
        <f>HYPERLINK("https://klasma.github.io/Logging_1440/tillsyn/A 24162-2025 tillsynsbegäran.docx", "A 24162-2025")</f>
        <v/>
      </c>
      <c r="AB14">
        <f>HYPERLINK("https://klasma.github.io/Logging_1440/tillsynsmail/A 24162-2025 tillsynsbegäran mail.docx", "A 24162-2025")</f>
        <v/>
      </c>
      <c r="AC14">
        <f>HYPERLINK("https://klasma.github.io/Logging_1440/fåglar/A 24162-2025 prioriterade fågelarter.docx", "A 24162-2025")</f>
        <v/>
      </c>
    </row>
    <row r="15" ht="15" customHeight="1">
      <c r="A15" t="inlineStr">
        <is>
          <t>A 26491-2024</t>
        </is>
      </c>
      <c r="B15" t="inlineStr">
        <is>
          <t>avverkningsanmälan</t>
        </is>
      </c>
      <c r="C15" t="inlineStr">
        <is>
          <t>Avverkning för annat ändamål</t>
        </is>
      </c>
      <c r="D15" s="1" t="n">
        <v>45469</v>
      </c>
      <c r="E15" s="1" t="n">
        <v>46221</v>
      </c>
      <c r="F15" t="inlineStr">
        <is>
          <t>VÄSTRA GÖTALANDS LÄN</t>
        </is>
      </c>
      <c r="G15" t="inlineStr">
        <is>
          <t>ALE</t>
        </is>
      </c>
      <c r="I15" t="n">
        <v>5.3</v>
      </c>
      <c r="J15" t="n">
        <v>2</v>
      </c>
      <c r="K15" t="n">
        <v>3</v>
      </c>
      <c r="L15" t="n">
        <v>1</v>
      </c>
      <c r="M15" t="n">
        <v>0</v>
      </c>
      <c r="N15" t="n">
        <v>0</v>
      </c>
      <c r="O15" t="n">
        <v>0</v>
      </c>
      <c r="P15" t="n">
        <v>0</v>
      </c>
      <c r="Q15" t="n">
        <v>1</v>
      </c>
      <c r="R15" t="n">
        <v>0</v>
      </c>
      <c r="S15" t="n">
        <v>5</v>
      </c>
      <c r="T15" t="n">
        <v>8</v>
      </c>
      <c r="U15" s="2" t="inlineStr">
        <is>
          <t>Duvhök
Gulpudrad spiklav
Rostfläck
Sotlav
Spillkråka</t>
        </is>
      </c>
      <c r="V15">
        <f>HYPERLINK("https://klasma.github.io/Logging_1440/artfynd/A 26491-2024 artfynd.xlsx", "A 26491-2024")</f>
        <v/>
      </c>
      <c r="W15">
        <f>HYPERLINK("https://klasma.github.io/Logging_1440/kartor/A 26491-2024 karta.png", "A 26491-2024")</f>
        <v/>
      </c>
      <c r="Y15">
        <f>HYPERLINK("https://klasma.github.io/Logging_1440/klagomål/A 26491-2024 FSC-klagomål.docx", "A 26491-2024")</f>
        <v/>
      </c>
      <c r="Z15">
        <f>HYPERLINK("https://klasma.github.io/Logging_1440/klagomålsmail/A 26491-2024 FSC-klagomål mail.docx", "A 26491-2024")</f>
        <v/>
      </c>
      <c r="AA15">
        <f>HYPERLINK("https://klasma.github.io/Logging_1440/tillsyn/A 26491-2024 tillsynsbegäran.docx", "A 26491-2024")</f>
        <v/>
      </c>
      <c r="AB15">
        <f>HYPERLINK("https://klasma.github.io/Logging_1440/tillsynsmail/A 26491-2024 tillsynsbegäran mail.docx", "A 26491-2024")</f>
        <v/>
      </c>
      <c r="AC15">
        <f>HYPERLINK("https://klasma.github.io/Logging_1440/fåglar/A 26491-2024 prioriterade fågelarter.docx", "A 26491-2024")</f>
        <v/>
      </c>
    </row>
    <row r="16" ht="15" customHeight="1">
      <c r="A16" t="inlineStr">
        <is>
          <t>A 63575-2023</t>
        </is>
      </c>
      <c r="B16" t="inlineStr">
        <is>
          <t>avverkningsanmälan</t>
        </is>
      </c>
      <c r="C16" t="inlineStr">
        <is>
          <t>Föryngringsavverkning</t>
        </is>
      </c>
      <c r="D16" s="1" t="n">
        <v>45275</v>
      </c>
      <c r="E16" s="1" t="n">
        <v>46221</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s="2" t="inlineStr">
        <is>
          <t>Gulsparv
Talltita
Stor revmossa
Vågbandad barkbock
Spillkråka</t>
        </is>
      </c>
      <c r="V16">
        <f>HYPERLINK("https://klasma.github.io/Logging_1440/artfynd/A 63575-2023 artfynd.xlsx", "A 63575-2023")</f>
        <v/>
      </c>
      <c r="W16">
        <f>HYPERLINK("https://klasma.github.io/Logging_1440/kartor/A 63575-2023 karta.png", "A 63575-2023")</f>
        <v/>
      </c>
      <c r="Y16">
        <f>HYPERLINK("https://klasma.github.io/Logging_1440/klagomål/A 63575-2023 FSC-klagomål.docx", "A 63575-2023")</f>
        <v/>
      </c>
      <c r="Z16">
        <f>HYPERLINK("https://klasma.github.io/Logging_1440/klagomålsmail/A 63575-2023 FSC-klagomål mail.docx", "A 63575-2023")</f>
        <v/>
      </c>
      <c r="AA16">
        <f>HYPERLINK("https://klasma.github.io/Logging_1440/tillsyn/A 63575-2023 tillsynsbegäran.docx", "A 63575-2023")</f>
        <v/>
      </c>
      <c r="AB16">
        <f>HYPERLINK("https://klasma.github.io/Logging_1440/tillsynsmail/A 63575-2023 tillsynsbegäran mail.docx", "A 63575-2023")</f>
        <v/>
      </c>
      <c r="AC16">
        <f>HYPERLINK("https://klasma.github.io/Logging_1440/fåglar/A 63575-2023 prioriterade fågelarter.docx", "A 63575-2023")</f>
        <v/>
      </c>
    </row>
    <row r="17" ht="15" customHeight="1">
      <c r="A17" t="inlineStr">
        <is>
          <t>A 12084-2025</t>
        </is>
      </c>
      <c r="B17" t="inlineStr">
        <is>
          <t>avverkningsanmälan</t>
        </is>
      </c>
      <c r="C17" t="inlineStr">
        <is>
          <t>Föryngringsavverkning</t>
        </is>
      </c>
      <c r="D17" s="1" t="n">
        <v>45728</v>
      </c>
      <c r="E17" s="1" t="n">
        <v>46221</v>
      </c>
      <c r="F17" t="inlineStr">
        <is>
          <t>VÄSTRA GÖTALANDS LÄN</t>
        </is>
      </c>
      <c r="G17" t="inlineStr">
        <is>
          <t>ALE</t>
        </is>
      </c>
      <c r="I17" t="n">
        <v>2.4</v>
      </c>
      <c r="J17" t="n">
        <v>4</v>
      </c>
      <c r="K17" t="n">
        <v>1</v>
      </c>
      <c r="L17" t="n">
        <v>0</v>
      </c>
      <c r="M17" t="n">
        <v>0</v>
      </c>
      <c r="N17" t="n">
        <v>0</v>
      </c>
      <c r="O17" t="n">
        <v>0</v>
      </c>
      <c r="P17" t="n">
        <v>0</v>
      </c>
      <c r="Q17" t="n">
        <v>0</v>
      </c>
      <c r="R17" t="n">
        <v>0</v>
      </c>
      <c r="S17" t="n">
        <v>5</v>
      </c>
      <c r="T17" t="n">
        <v>6</v>
      </c>
      <c r="U17" s="2" t="inlineStr">
        <is>
          <t>Västlig hakmossa
Spillkråka
Kungsfågel
Lopplummer (aggregat)
Äkta lopplummer</t>
        </is>
      </c>
      <c r="V17">
        <f>HYPERLINK("https://klasma.github.io/Logging_1440/artfynd/A 12084-2025 artfynd.xlsx", "A 12084-2025")</f>
        <v/>
      </c>
      <c r="W17">
        <f>HYPERLINK("https://klasma.github.io/Logging_1440/kartor/A 12084-2025 karta.png", "A 12084-2025")</f>
        <v/>
      </c>
      <c r="Y17">
        <f>HYPERLINK("https://klasma.github.io/Logging_1440/klagomål/A 12084-2025 FSC-klagomål.docx", "A 12084-2025")</f>
        <v/>
      </c>
      <c r="Z17">
        <f>HYPERLINK("https://klasma.github.io/Logging_1440/klagomålsmail/A 12084-2025 FSC-klagomål mail.docx", "A 12084-2025")</f>
        <v/>
      </c>
      <c r="AA17">
        <f>HYPERLINK("https://klasma.github.io/Logging_1440/tillsyn/A 12084-2025 tillsynsbegäran.docx", "A 12084-2025")</f>
        <v/>
      </c>
      <c r="AB17">
        <f>HYPERLINK("https://klasma.github.io/Logging_1440/tillsynsmail/A 12084-2025 tillsynsbegäran mail.docx", "A 12084-2025")</f>
        <v/>
      </c>
      <c r="AC17">
        <f>HYPERLINK("https://klasma.github.io/Logging_1440/fåglar/A 12084-2025 prioriterade fågelarter.docx", "A 12084-2025")</f>
        <v/>
      </c>
    </row>
    <row r="18" ht="15" customHeight="1">
      <c r="A18" t="inlineStr">
        <is>
          <t>S 3236-2024</t>
        </is>
      </c>
      <c r="B18" t="inlineStr">
        <is>
          <t>samrådsanmälan</t>
        </is>
      </c>
      <c r="C18" t="inlineStr">
        <is>
          <t>Annan skogsbruksåtgärd</t>
        </is>
      </c>
      <c r="D18" s="1" t="n">
        <v>45525</v>
      </c>
      <c r="E18" s="1" t="n">
        <v>46221</v>
      </c>
      <c r="F18" t="inlineStr">
        <is>
          <t>VÄSTRA GÖTALANDS LÄN</t>
        </is>
      </c>
      <c r="G18" t="inlineStr">
        <is>
          <t>ALE</t>
        </is>
      </c>
      <c r="I18" t="n">
        <v>2.3</v>
      </c>
      <c r="J18" t="n">
        <v>5</v>
      </c>
      <c r="K18" t="n">
        <v>0</v>
      </c>
      <c r="L18" t="n">
        <v>3</v>
      </c>
      <c r="M18" t="n">
        <v>0</v>
      </c>
      <c r="N18" t="n">
        <v>0</v>
      </c>
      <c r="O18" t="n">
        <v>0</v>
      </c>
      <c r="P18" t="n">
        <v>0</v>
      </c>
      <c r="Q18" t="n">
        <v>3</v>
      </c>
      <c r="R18" t="n">
        <v>0</v>
      </c>
      <c r="S18" t="n">
        <v>5</v>
      </c>
      <c r="T18" t="n">
        <v>5</v>
      </c>
      <c r="U18" s="2" t="inlineStr">
        <is>
          <t>Entita
Grönsångare
Ladusvala
Kråka
Svartvit flugsnappare</t>
        </is>
      </c>
      <c r="V18">
        <f>HYPERLINK("https://klasma.github.io/Logging_1440/artfynd/S 3236-2024 artfynd.xlsx", "S 3236-2024")</f>
        <v/>
      </c>
      <c r="W18">
        <f>HYPERLINK("https://klasma.github.io/Logging_1440/kartor/S 3236-2024 karta.png", "S 3236-2024")</f>
        <v/>
      </c>
      <c r="Y18">
        <f>HYPERLINK("https://klasma.github.io/Logging_1440/klagomål/S 3236-2024 FSC-klagomål.docx", "S 3236-2024")</f>
        <v/>
      </c>
      <c r="Z18">
        <f>HYPERLINK("https://klasma.github.io/Logging_1440/klagomålsmail/S 3236-2024 FSC-klagomål mail.docx", "S 3236-2024")</f>
        <v/>
      </c>
      <c r="AA18">
        <f>HYPERLINK("https://klasma.github.io/Logging_1440/tillsyn/S 3236-2024 tillsynsbegäran.docx", "S 3236-2024")</f>
        <v/>
      </c>
      <c r="AB18">
        <f>HYPERLINK("https://klasma.github.io/Logging_1440/tillsynsmail/S 3236-2024 tillsynsbegäran mail.docx", "S 3236-2024")</f>
        <v/>
      </c>
      <c r="AC18">
        <f>HYPERLINK("https://klasma.github.io/Logging_1440/fåglar/S 3236-2024 prioriterade fågelarter.docx", "S 3236-2024")</f>
        <v/>
      </c>
    </row>
    <row r="19" ht="15" customHeight="1">
      <c r="A19" t="inlineStr">
        <is>
          <t>A 58954-2022</t>
        </is>
      </c>
      <c r="B19" t="inlineStr">
        <is>
          <t>avverkningsanmälan</t>
        </is>
      </c>
      <c r="C19" t="inlineStr">
        <is>
          <t>Föryngringsavverkning</t>
        </is>
      </c>
      <c r="D19" s="1" t="n">
        <v>44903</v>
      </c>
      <c r="E19" s="1" t="n">
        <v>46221</v>
      </c>
      <c r="F19" t="inlineStr">
        <is>
          <t>VÄSTRA GÖTALANDS LÄN</t>
        </is>
      </c>
      <c r="G19" t="inlineStr">
        <is>
          <t>ALE</t>
        </is>
      </c>
      <c r="I19" t="n">
        <v>2.3</v>
      </c>
      <c r="J19" t="n">
        <v>1</v>
      </c>
      <c r="K19" t="n">
        <v>2</v>
      </c>
      <c r="L19" t="n">
        <v>1</v>
      </c>
      <c r="M19" t="n">
        <v>0</v>
      </c>
      <c r="N19" t="n">
        <v>0</v>
      </c>
      <c r="O19" t="n">
        <v>0</v>
      </c>
      <c r="P19" t="n">
        <v>0</v>
      </c>
      <c r="Q19" t="n">
        <v>1</v>
      </c>
      <c r="R19" t="n">
        <v>0</v>
      </c>
      <c r="S19" t="n">
        <v>4</v>
      </c>
      <c r="T19" t="n">
        <v>9</v>
      </c>
      <c r="U19" s="2" t="inlineStr">
        <is>
          <t>Dropptaggsvamp
Blåmossa
Västlig hakmossa
Spillkråka</t>
        </is>
      </c>
      <c r="V19">
        <f>HYPERLINK("https://klasma.github.io/Logging_1440/artfynd/A 58954-2022 artfynd.xlsx", "A 58954-2022")</f>
        <v/>
      </c>
      <c r="W19">
        <f>HYPERLINK("https://klasma.github.io/Logging_1440/kartor/A 58954-2022 karta.png", "A 58954-2022")</f>
        <v/>
      </c>
      <c r="Y19">
        <f>HYPERLINK("https://klasma.github.io/Logging_1440/klagomål/A 58954-2022 FSC-klagomål.docx", "A 58954-2022")</f>
        <v/>
      </c>
      <c r="Z19">
        <f>HYPERLINK("https://klasma.github.io/Logging_1440/klagomålsmail/A 58954-2022 FSC-klagomål mail.docx", "A 58954-2022")</f>
        <v/>
      </c>
      <c r="AA19">
        <f>HYPERLINK("https://klasma.github.io/Logging_1440/tillsyn/A 58954-2022 tillsynsbegäran.docx", "A 58954-2022")</f>
        <v/>
      </c>
      <c r="AB19">
        <f>HYPERLINK("https://klasma.github.io/Logging_1440/tillsynsmail/A 58954-2022 tillsynsbegäran mail.docx", "A 58954-2022")</f>
        <v/>
      </c>
      <c r="AC19">
        <f>HYPERLINK("https://klasma.github.io/Logging_1440/fåglar/A 58954-2022 prioriterade fågelarter.docx", "A 58954-2022")</f>
        <v/>
      </c>
    </row>
    <row r="20" ht="15" customHeight="1">
      <c r="A20" t="inlineStr">
        <is>
          <t>A 11516-2026</t>
        </is>
      </c>
      <c r="B20" t="inlineStr">
        <is>
          <t>avverkningsanmälan</t>
        </is>
      </c>
      <c r="C20" t="inlineStr">
        <is>
          <t>Föryngringsavverkning</t>
        </is>
      </c>
      <c r="D20" s="1" t="n">
        <v>46083</v>
      </c>
      <c r="E20" s="1" t="n">
        <v>46221</v>
      </c>
      <c r="F20" t="inlineStr">
        <is>
          <t>VÄSTRA GÖTALANDS LÄN</t>
        </is>
      </c>
      <c r="G20" t="inlineStr">
        <is>
          <t>ALE</t>
        </is>
      </c>
      <c r="I20" t="n">
        <v>1.2</v>
      </c>
      <c r="J20" t="n">
        <v>3</v>
      </c>
      <c r="K20" t="n">
        <v>0</v>
      </c>
      <c r="L20" t="n">
        <v>0</v>
      </c>
      <c r="M20" t="n">
        <v>0</v>
      </c>
      <c r="N20" t="n">
        <v>0</v>
      </c>
      <c r="O20" t="n">
        <v>0</v>
      </c>
      <c r="P20" t="n">
        <v>0</v>
      </c>
      <c r="Q20" t="n">
        <v>0</v>
      </c>
      <c r="R20" t="n">
        <v>0</v>
      </c>
      <c r="S20" t="n">
        <v>4</v>
      </c>
      <c r="T20" t="n">
        <v>6</v>
      </c>
      <c r="U20" s="2" t="inlineStr">
        <is>
          <t>Spillkråka
Tofsmes
Vildkaprifol
Revlummer</t>
        </is>
      </c>
      <c r="V20">
        <f>HYPERLINK("https://klasma.github.io/Logging_1440/artfynd/A 11516-2026 artfynd.xlsx", "A 11516-2026")</f>
        <v/>
      </c>
      <c r="W20">
        <f>HYPERLINK("https://klasma.github.io/Logging_1440/kartor/A 11516-2026 karta.png", "A 11516-2026")</f>
        <v/>
      </c>
      <c r="Y20">
        <f>HYPERLINK("https://klasma.github.io/Logging_1440/klagomål/A 11516-2026 FSC-klagomål.docx", "A 11516-2026")</f>
        <v/>
      </c>
      <c r="Z20">
        <f>HYPERLINK("https://klasma.github.io/Logging_1440/klagomålsmail/A 11516-2026 FSC-klagomål mail.docx", "A 11516-2026")</f>
        <v/>
      </c>
      <c r="AA20">
        <f>HYPERLINK("https://klasma.github.io/Logging_1440/tillsyn/A 11516-2026 tillsynsbegäran.docx", "A 11516-2026")</f>
        <v/>
      </c>
      <c r="AB20">
        <f>HYPERLINK("https://klasma.github.io/Logging_1440/tillsynsmail/A 11516-2026 tillsynsbegäran mail.docx", "A 11516-2026")</f>
        <v/>
      </c>
      <c r="AC20">
        <f>HYPERLINK("https://klasma.github.io/Logging_1440/fåglar/A 11516-2026 prioriterade fågelarter.docx", "A 11516-2026")</f>
        <v/>
      </c>
    </row>
    <row r="21" ht="15" customHeight="1">
      <c r="A21" t="inlineStr">
        <is>
          <t>A 47330-2025</t>
        </is>
      </c>
      <c r="B21" t="inlineStr">
        <is>
          <t>avverkningsanmälan</t>
        </is>
      </c>
      <c r="C21" t="inlineStr">
        <is>
          <t>Föryngringsavverkning</t>
        </is>
      </c>
      <c r="D21" s="1" t="n">
        <v>45930</v>
      </c>
      <c r="E21" s="1" t="n">
        <v>46221</v>
      </c>
      <c r="F21" t="inlineStr">
        <is>
          <t>VÄSTRA GÖTALANDS LÄN</t>
        </is>
      </c>
      <c r="G21" t="inlineStr">
        <is>
          <t>ALE</t>
        </is>
      </c>
      <c r="I21" t="n">
        <v>3.7</v>
      </c>
      <c r="J21" t="n">
        <v>3</v>
      </c>
      <c r="K21" t="n">
        <v>0</v>
      </c>
      <c r="L21" t="n">
        <v>2</v>
      </c>
      <c r="M21" t="n">
        <v>0</v>
      </c>
      <c r="N21" t="n">
        <v>0</v>
      </c>
      <c r="O21" t="n">
        <v>0</v>
      </c>
      <c r="P21" t="n">
        <v>0</v>
      </c>
      <c r="Q21" t="n">
        <v>2</v>
      </c>
      <c r="R21" t="n">
        <v>0</v>
      </c>
      <c r="S21" t="n">
        <v>4</v>
      </c>
      <c r="T21" t="n">
        <v>7</v>
      </c>
      <c r="U21" s="2" t="inlineStr">
        <is>
          <t>Grönsångare
Älg
Spillkråka
Revlummer</t>
        </is>
      </c>
      <c r="V21">
        <f>HYPERLINK("https://klasma.github.io/Logging_1440/artfynd/A 47330-2025 artfynd.xlsx", "A 47330-2025")</f>
        <v/>
      </c>
      <c r="W21">
        <f>HYPERLINK("https://klasma.github.io/Logging_1440/kartor/A 47330-2025 karta.png", "A 47330-2025")</f>
        <v/>
      </c>
      <c r="Y21">
        <f>HYPERLINK("https://klasma.github.io/Logging_1440/klagomål/A 47330-2025 FSC-klagomål.docx", "A 47330-2025")</f>
        <v/>
      </c>
      <c r="Z21">
        <f>HYPERLINK("https://klasma.github.io/Logging_1440/klagomålsmail/A 47330-2025 FSC-klagomål mail.docx", "A 47330-2025")</f>
        <v/>
      </c>
      <c r="AA21">
        <f>HYPERLINK("https://klasma.github.io/Logging_1440/tillsyn/A 47330-2025 tillsynsbegäran.docx", "A 47330-2025")</f>
        <v/>
      </c>
      <c r="AB21">
        <f>HYPERLINK("https://klasma.github.io/Logging_1440/tillsynsmail/A 47330-2025 tillsynsbegäran mail.docx", "A 47330-2025")</f>
        <v/>
      </c>
      <c r="AC21">
        <f>HYPERLINK("https://klasma.github.io/Logging_1440/fåglar/A 47330-2025 prioriterade fågelarter.docx", "A 47330-2025")</f>
        <v/>
      </c>
    </row>
    <row r="22" ht="15" customHeight="1">
      <c r="A22" t="inlineStr">
        <is>
          <t>S 2406-2023</t>
        </is>
      </c>
      <c r="B22" t="inlineStr">
        <is>
          <t>samrådsanmälan</t>
        </is>
      </c>
      <c r="C22" t="inlineStr">
        <is>
          <t>Annan skogsbruksåtgärd</t>
        </is>
      </c>
      <c r="D22" s="1" t="n">
        <v>45123</v>
      </c>
      <c r="E22" s="1" t="n">
        <v>46221</v>
      </c>
      <c r="F22" t="inlineStr">
        <is>
          <t>VÄSTRA GÖTALANDS LÄN</t>
        </is>
      </c>
      <c r="G22" t="inlineStr">
        <is>
          <t>ALE</t>
        </is>
      </c>
      <c r="I22" t="n">
        <v>1.4</v>
      </c>
      <c r="J22" t="n">
        <v>2</v>
      </c>
      <c r="K22" t="n">
        <v>2</v>
      </c>
      <c r="L22" t="n">
        <v>0</v>
      </c>
      <c r="M22" t="n">
        <v>0</v>
      </c>
      <c r="N22" t="n">
        <v>0</v>
      </c>
      <c r="O22" t="n">
        <v>0</v>
      </c>
      <c r="P22" t="n">
        <v>0</v>
      </c>
      <c r="Q22" t="n">
        <v>0</v>
      </c>
      <c r="R22" t="n">
        <v>0</v>
      </c>
      <c r="S22" t="n">
        <v>4</v>
      </c>
      <c r="T22" t="n">
        <v>5</v>
      </c>
      <c r="U22" s="2" t="inlineStr">
        <is>
          <t>Rödgul trumpetsvamp
Stor revmossa
Spillkråka
Sångsvan</t>
        </is>
      </c>
      <c r="V22">
        <f>HYPERLINK("https://klasma.github.io/Logging_1440/artfynd/S 2406-2023 artfynd.xlsx", "S 2406-2023")</f>
        <v/>
      </c>
      <c r="W22">
        <f>HYPERLINK("https://klasma.github.io/Logging_1440/kartor/S 2406-2023 karta.png", "S 2406-2023")</f>
        <v/>
      </c>
      <c r="Y22">
        <f>HYPERLINK("https://klasma.github.io/Logging_1440/klagomål/S 2406-2023 FSC-klagomål.docx", "S 2406-2023")</f>
        <v/>
      </c>
      <c r="Z22">
        <f>HYPERLINK("https://klasma.github.io/Logging_1440/klagomålsmail/S 2406-2023 FSC-klagomål mail.docx", "S 2406-2023")</f>
        <v/>
      </c>
      <c r="AA22">
        <f>HYPERLINK("https://klasma.github.io/Logging_1440/tillsyn/S 2406-2023 tillsynsbegäran.docx", "S 2406-2023")</f>
        <v/>
      </c>
      <c r="AB22">
        <f>HYPERLINK("https://klasma.github.io/Logging_1440/tillsynsmail/S 2406-2023 tillsynsbegäran mail.docx", "S 2406-2023")</f>
        <v/>
      </c>
      <c r="AC22">
        <f>HYPERLINK("https://klasma.github.io/Logging_1440/fåglar/S 2406-2023 prioriterade fågelarter.docx", "S 2406-2023")</f>
        <v/>
      </c>
    </row>
    <row r="23" ht="15" customHeight="1">
      <c r="A23" t="inlineStr">
        <is>
          <t>A 40931-2025</t>
        </is>
      </c>
      <c r="B23" t="inlineStr">
        <is>
          <t>avverkningsanmälan</t>
        </is>
      </c>
      <c r="C23" t="inlineStr">
        <is>
          <t>Föryngringsavverkning</t>
        </is>
      </c>
      <c r="D23" s="1" t="n">
        <v>45897</v>
      </c>
      <c r="E23" s="1" t="n">
        <v>46221</v>
      </c>
      <c r="F23" t="inlineStr">
        <is>
          <t>VÄSTRA GÖTALANDS LÄN</t>
        </is>
      </c>
      <c r="G23" t="inlineStr">
        <is>
          <t>ALE</t>
        </is>
      </c>
      <c r="I23" t="n">
        <v>4.3</v>
      </c>
      <c r="J23" t="n">
        <v>2</v>
      </c>
      <c r="K23" t="n">
        <v>1</v>
      </c>
      <c r="L23" t="n">
        <v>0</v>
      </c>
      <c r="M23" t="n">
        <v>0</v>
      </c>
      <c r="N23" t="n">
        <v>0</v>
      </c>
      <c r="O23" t="n">
        <v>0</v>
      </c>
      <c r="P23" t="n">
        <v>0</v>
      </c>
      <c r="Q23" t="n">
        <v>0</v>
      </c>
      <c r="R23" t="n">
        <v>0</v>
      </c>
      <c r="S23" t="n">
        <v>3</v>
      </c>
      <c r="T23" t="n">
        <v>5</v>
      </c>
      <c r="U23" s="2" t="inlineStr">
        <is>
          <t>Blåmossa
Spillkråka
Revlummer</t>
        </is>
      </c>
      <c r="V23">
        <f>HYPERLINK("https://klasma.github.io/Logging_1440/artfynd/A 40931-2025 artfynd.xlsx", "A 40931-2025")</f>
        <v/>
      </c>
      <c r="W23">
        <f>HYPERLINK("https://klasma.github.io/Logging_1440/kartor/A 40931-2025 karta.png", "A 40931-2025")</f>
        <v/>
      </c>
      <c r="Y23">
        <f>HYPERLINK("https://klasma.github.io/Logging_1440/klagomål/A 40931-2025 FSC-klagomål.docx", "A 40931-2025")</f>
        <v/>
      </c>
      <c r="Z23">
        <f>HYPERLINK("https://klasma.github.io/Logging_1440/klagomålsmail/A 40931-2025 FSC-klagomål mail.docx", "A 40931-2025")</f>
        <v/>
      </c>
      <c r="AA23">
        <f>HYPERLINK("https://klasma.github.io/Logging_1440/tillsyn/A 40931-2025 tillsynsbegäran.docx", "A 40931-2025")</f>
        <v/>
      </c>
      <c r="AB23">
        <f>HYPERLINK("https://klasma.github.io/Logging_1440/tillsynsmail/A 40931-2025 tillsynsbegäran mail.docx", "A 40931-2025")</f>
        <v/>
      </c>
      <c r="AC23">
        <f>HYPERLINK("https://klasma.github.io/Logging_1440/fåglar/A 40931-2025 prioriterade fågelarter.docx", "A 40931-2025")</f>
        <v/>
      </c>
    </row>
    <row r="24" ht="15" customHeight="1">
      <c r="A24" t="inlineStr">
        <is>
          <t>A 14048-2026</t>
        </is>
      </c>
      <c r="B24" t="inlineStr">
        <is>
          <t>avverkningsanmälan</t>
        </is>
      </c>
      <c r="C24" t="inlineStr">
        <is>
          <t>Föryngringsavverkning</t>
        </is>
      </c>
      <c r="D24" s="1" t="n">
        <v>46099</v>
      </c>
      <c r="E24" s="1" t="n">
        <v>46221</v>
      </c>
      <c r="F24" t="inlineStr">
        <is>
          <t>VÄSTRA GÖTALANDS LÄN</t>
        </is>
      </c>
      <c r="G24" t="inlineStr">
        <is>
          <t>ALE</t>
        </is>
      </c>
      <c r="I24" t="n">
        <v>1.5</v>
      </c>
      <c r="J24" t="n">
        <v>1</v>
      </c>
      <c r="K24" t="n">
        <v>2</v>
      </c>
      <c r="L24" t="n">
        <v>0</v>
      </c>
      <c r="M24" t="n">
        <v>0</v>
      </c>
      <c r="N24" t="n">
        <v>0</v>
      </c>
      <c r="O24" t="n">
        <v>0</v>
      </c>
      <c r="P24" t="n">
        <v>0</v>
      </c>
      <c r="Q24" t="n">
        <v>0</v>
      </c>
      <c r="R24" t="n">
        <v>0</v>
      </c>
      <c r="S24" t="n">
        <v>3</v>
      </c>
      <c r="T24" t="n">
        <v>3</v>
      </c>
      <c r="U24" s="2" t="inlineStr">
        <is>
          <t>Klippfrullania
Västlig hakmossa
Spillkråka</t>
        </is>
      </c>
      <c r="V24">
        <f>HYPERLINK("https://klasma.github.io/Logging_1440/artfynd/A 14048-2026 artfynd.xlsx", "A 14048-2026")</f>
        <v/>
      </c>
      <c r="W24">
        <f>HYPERLINK("https://klasma.github.io/Logging_1440/kartor/A 14048-2026 karta.png", "A 14048-2026")</f>
        <v/>
      </c>
      <c r="Y24">
        <f>HYPERLINK("https://klasma.github.io/Logging_1440/klagomål/A 14048-2026 FSC-klagomål.docx", "A 14048-2026")</f>
        <v/>
      </c>
      <c r="Z24">
        <f>HYPERLINK("https://klasma.github.io/Logging_1440/klagomålsmail/A 14048-2026 FSC-klagomål mail.docx", "A 14048-2026")</f>
        <v/>
      </c>
      <c r="AA24">
        <f>HYPERLINK("https://klasma.github.io/Logging_1440/tillsyn/A 14048-2026 tillsynsbegäran.docx", "A 14048-2026")</f>
        <v/>
      </c>
      <c r="AB24">
        <f>HYPERLINK("https://klasma.github.io/Logging_1440/tillsynsmail/A 14048-2026 tillsynsbegäran mail.docx", "A 14048-2026")</f>
        <v/>
      </c>
      <c r="AC24">
        <f>HYPERLINK("https://klasma.github.io/Logging_1440/fåglar/A 14048-2026 prioriterade fågelarter.docx", "A 14048-2026")</f>
        <v/>
      </c>
    </row>
    <row r="25" ht="15" customHeight="1">
      <c r="A25" t="inlineStr">
        <is>
          <t>A 37461-2024</t>
        </is>
      </c>
      <c r="B25" t="inlineStr">
        <is>
          <t>avverkningsanmälan</t>
        </is>
      </c>
      <c r="C25" t="inlineStr">
        <is>
          <t>Föryngringsavverkning</t>
        </is>
      </c>
      <c r="D25" s="1" t="n">
        <v>45540</v>
      </c>
      <c r="E25" s="1" t="n">
        <v>46221</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s="2" t="inlineStr">
        <is>
          <t>Björksplintborre
Gulnål
Spillkråka</t>
        </is>
      </c>
      <c r="V25">
        <f>HYPERLINK("https://klasma.github.io/Logging_1440/artfynd/A 37461-2024 artfynd.xlsx", "A 37461-2024")</f>
        <v/>
      </c>
      <c r="W25">
        <f>HYPERLINK("https://klasma.github.io/Logging_1440/kartor/A 37461-2024 karta.png", "A 37461-2024")</f>
        <v/>
      </c>
      <c r="Y25">
        <f>HYPERLINK("https://klasma.github.io/Logging_1440/klagomål/A 37461-2024 FSC-klagomål.docx", "A 37461-2024")</f>
        <v/>
      </c>
      <c r="Z25">
        <f>HYPERLINK("https://klasma.github.io/Logging_1440/klagomålsmail/A 37461-2024 FSC-klagomål mail.docx", "A 37461-2024")</f>
        <v/>
      </c>
      <c r="AA25">
        <f>HYPERLINK("https://klasma.github.io/Logging_1440/tillsyn/A 37461-2024 tillsynsbegäran.docx", "A 37461-2024")</f>
        <v/>
      </c>
      <c r="AB25">
        <f>HYPERLINK("https://klasma.github.io/Logging_1440/tillsynsmail/A 37461-2024 tillsynsbegäran mail.docx", "A 37461-2024")</f>
        <v/>
      </c>
      <c r="AC25">
        <f>HYPERLINK("https://klasma.github.io/Logging_1440/fåglar/A 37461-2024 prioriterade fågelarter.docx", "A 37461-2024")</f>
        <v/>
      </c>
    </row>
    <row r="26" ht="15" customHeight="1">
      <c r="A26" t="inlineStr">
        <is>
          <t>A 45986-2021</t>
        </is>
      </c>
      <c r="B26" t="inlineStr">
        <is>
          <t>avverkningsanmälan</t>
        </is>
      </c>
      <c r="C26" t="inlineStr">
        <is>
          <t>Föryngringsavverkning</t>
        </is>
      </c>
      <c r="D26" s="1" t="n">
        <v>44441</v>
      </c>
      <c r="E26" s="1" t="n">
        <v>46221</v>
      </c>
      <c r="F26" t="inlineStr">
        <is>
          <t>VÄSTRA GÖTALANDS LÄN</t>
        </is>
      </c>
      <c r="G26" t="inlineStr">
        <is>
          <t>ALE</t>
        </is>
      </c>
      <c r="I26" t="n">
        <v>1.4</v>
      </c>
      <c r="J26" t="n">
        <v>0</v>
      </c>
      <c r="K26" t="n">
        <v>2</v>
      </c>
      <c r="L26" t="n">
        <v>0</v>
      </c>
      <c r="M26" t="n">
        <v>0</v>
      </c>
      <c r="N26" t="n">
        <v>0</v>
      </c>
      <c r="O26" t="n">
        <v>0</v>
      </c>
      <c r="P26" t="n">
        <v>0</v>
      </c>
      <c r="Q26" t="n">
        <v>0</v>
      </c>
      <c r="R26" t="n">
        <v>0</v>
      </c>
      <c r="S26" t="n">
        <v>2</v>
      </c>
      <c r="T26" t="n">
        <v>2</v>
      </c>
      <c r="U26" s="2" t="inlineStr">
        <is>
          <t>Fällmossa
Västlig hakmossa</t>
        </is>
      </c>
      <c r="V26">
        <f>HYPERLINK("https://klasma.github.io/Logging_1440/artfynd/A 45986-2021 artfynd.xlsx", "A 45986-2021")</f>
        <v/>
      </c>
      <c r="W26">
        <f>HYPERLINK("https://klasma.github.io/Logging_1440/kartor/A 45986-2021 karta.png", "A 45986-2021")</f>
        <v/>
      </c>
      <c r="Y26">
        <f>HYPERLINK("https://klasma.github.io/Logging_1440/klagomål/A 45986-2021 FSC-klagomål.docx", "A 45986-2021")</f>
        <v/>
      </c>
      <c r="Z26">
        <f>HYPERLINK("https://klasma.github.io/Logging_1440/klagomålsmail/A 45986-2021 FSC-klagomål mail.docx", "A 45986-2021")</f>
        <v/>
      </c>
      <c r="AA26">
        <f>HYPERLINK("https://klasma.github.io/Logging_1440/tillsyn/A 45986-2021 tillsynsbegäran.docx", "A 45986-2021")</f>
        <v/>
      </c>
      <c r="AB26">
        <f>HYPERLINK("https://klasma.github.io/Logging_1440/tillsynsmail/A 45986-2021 tillsynsbegäran mail.docx", "A 45986-2021")</f>
        <v/>
      </c>
    </row>
    <row r="27" ht="15" customHeight="1">
      <c r="A27" t="inlineStr">
        <is>
          <t>A 2270-2025</t>
        </is>
      </c>
      <c r="B27" t="inlineStr">
        <is>
          <t>avverkningsanmälan</t>
        </is>
      </c>
      <c r="C27" t="inlineStr">
        <is>
          <t>Föryngringsavverkning</t>
        </is>
      </c>
      <c r="D27" s="1" t="n">
        <v>45673</v>
      </c>
      <c r="E27" s="1" t="n">
        <v>46221</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s="2" t="inlineStr">
        <is>
          <t>Spillkråka
Revlummer</t>
        </is>
      </c>
      <c r="V27">
        <f>HYPERLINK("https://klasma.github.io/Logging_1440/artfynd/A 2270-2025 artfynd.xlsx", "A 2270-2025")</f>
        <v/>
      </c>
      <c r="W27">
        <f>HYPERLINK("https://klasma.github.io/Logging_1440/kartor/A 2270-2025 karta.png", "A 2270-2025")</f>
        <v/>
      </c>
      <c r="Y27">
        <f>HYPERLINK("https://klasma.github.io/Logging_1440/klagomål/A 2270-2025 FSC-klagomål.docx", "A 2270-2025")</f>
        <v/>
      </c>
      <c r="Z27">
        <f>HYPERLINK("https://klasma.github.io/Logging_1440/klagomålsmail/A 2270-2025 FSC-klagomål mail.docx", "A 2270-2025")</f>
        <v/>
      </c>
      <c r="AA27">
        <f>HYPERLINK("https://klasma.github.io/Logging_1440/tillsyn/A 2270-2025 tillsynsbegäran.docx", "A 2270-2025")</f>
        <v/>
      </c>
      <c r="AB27">
        <f>HYPERLINK("https://klasma.github.io/Logging_1440/tillsynsmail/A 2270-2025 tillsynsbegäran mail.docx", "A 2270-2025")</f>
        <v/>
      </c>
      <c r="AC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46221</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s="2" t="inlineStr">
        <is>
          <t>Spillkråka
Revlummer</t>
        </is>
      </c>
      <c r="V28">
        <f>HYPERLINK("https://klasma.github.io/Logging_1440/artfynd/A 1503-2024 artfynd.xlsx", "A 1503-2024")</f>
        <v/>
      </c>
      <c r="W28">
        <f>HYPERLINK("https://klasma.github.io/Logging_1440/kartor/A 1503-2024 karta.png", "A 1503-2024")</f>
        <v/>
      </c>
      <c r="Y28">
        <f>HYPERLINK("https://klasma.github.io/Logging_1440/klagomål/A 1503-2024 FSC-klagomål.docx", "A 1503-2024")</f>
        <v/>
      </c>
      <c r="Z28">
        <f>HYPERLINK("https://klasma.github.io/Logging_1440/klagomålsmail/A 1503-2024 FSC-klagomål mail.docx", "A 1503-2024")</f>
        <v/>
      </c>
      <c r="AA28">
        <f>HYPERLINK("https://klasma.github.io/Logging_1440/tillsyn/A 1503-2024 tillsynsbegäran.docx", "A 1503-2024")</f>
        <v/>
      </c>
      <c r="AB28">
        <f>HYPERLINK("https://klasma.github.io/Logging_1440/tillsynsmail/A 1503-2024 tillsynsbegäran mail.docx", "A 1503-2024")</f>
        <v/>
      </c>
      <c r="AC28">
        <f>HYPERLINK("https://klasma.github.io/Logging_1440/fåglar/A 1503-2024 prioriterade fågelarter.docx", "A 1503-2024")</f>
        <v/>
      </c>
    </row>
    <row r="29" ht="15" customHeight="1">
      <c r="A29" t="inlineStr">
        <is>
          <t>A 13380-2025</t>
        </is>
      </c>
      <c r="B29" t="inlineStr">
        <is>
          <t>avverkningsanmälan</t>
        </is>
      </c>
      <c r="C29" t="inlineStr">
        <is>
          <t>Föryngringsavverkning</t>
        </is>
      </c>
      <c r="D29" s="1" t="n">
        <v>45735</v>
      </c>
      <c r="E29" s="1" t="n">
        <v>46221</v>
      </c>
      <c r="F29" t="inlineStr">
        <is>
          <t>VÄSTRA GÖTALANDS LÄN</t>
        </is>
      </c>
      <c r="G29" t="inlineStr">
        <is>
          <t>ALE</t>
        </is>
      </c>
      <c r="I29" t="n">
        <v>1.8</v>
      </c>
      <c r="J29" t="n">
        <v>2</v>
      </c>
      <c r="K29" t="n">
        <v>0</v>
      </c>
      <c r="L29" t="n">
        <v>1</v>
      </c>
      <c r="M29" t="n">
        <v>0</v>
      </c>
      <c r="N29" t="n">
        <v>0</v>
      </c>
      <c r="O29" t="n">
        <v>0</v>
      </c>
      <c r="P29" t="n">
        <v>0</v>
      </c>
      <c r="Q29" t="n">
        <v>1</v>
      </c>
      <c r="R29" t="n">
        <v>0</v>
      </c>
      <c r="S29" t="n">
        <v>2</v>
      </c>
      <c r="T29" t="n">
        <v>5</v>
      </c>
      <c r="U29" s="2" t="inlineStr">
        <is>
          <t>Entita
Spillkråka</t>
        </is>
      </c>
      <c r="V29">
        <f>HYPERLINK("https://klasma.github.io/Logging_1440/artfynd/A 13380-2025 artfynd.xlsx", "A 13380-2025")</f>
        <v/>
      </c>
      <c r="W29">
        <f>HYPERLINK("https://klasma.github.io/Logging_1440/kartor/A 13380-2025 karta.png", "A 13380-2025")</f>
        <v/>
      </c>
      <c r="Y29">
        <f>HYPERLINK("https://klasma.github.io/Logging_1440/klagomål/A 13380-2025 FSC-klagomål.docx", "A 13380-2025")</f>
        <v/>
      </c>
      <c r="Z29">
        <f>HYPERLINK("https://klasma.github.io/Logging_1440/klagomålsmail/A 13380-2025 FSC-klagomål mail.docx", "A 13380-2025")</f>
        <v/>
      </c>
      <c r="AA29">
        <f>HYPERLINK("https://klasma.github.io/Logging_1440/tillsyn/A 13380-2025 tillsynsbegäran.docx", "A 13380-2025")</f>
        <v/>
      </c>
      <c r="AB29">
        <f>HYPERLINK("https://klasma.github.io/Logging_1440/tillsynsmail/A 13380-2025 tillsynsbegäran mail.docx", "A 13380-2025")</f>
        <v/>
      </c>
      <c r="AC29">
        <f>HYPERLINK("https://klasma.github.io/Logging_1440/fåglar/A 13380-2025 prioriterade fågelarter.docx", "A 13380-2025")</f>
        <v/>
      </c>
    </row>
    <row r="30" ht="15" customHeight="1">
      <c r="A30" t="inlineStr">
        <is>
          <t>A 16534-2025</t>
        </is>
      </c>
      <c r="B30" t="inlineStr">
        <is>
          <t>avverkningsanmälan</t>
        </is>
      </c>
      <c r="C30" t="inlineStr">
        <is>
          <t>Föryngringsavverkning</t>
        </is>
      </c>
      <c r="D30" s="1" t="n">
        <v>45751</v>
      </c>
      <c r="E30" s="1" t="n">
        <v>46221</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s="2" t="inlineStr">
        <is>
          <t>Entita
Västlig hakmossa</t>
        </is>
      </c>
      <c r="V30">
        <f>HYPERLINK("https://klasma.github.io/Logging_1440/artfynd/A 16534-2025 artfynd.xlsx", "A 16534-2025")</f>
        <v/>
      </c>
      <c r="W30">
        <f>HYPERLINK("https://klasma.github.io/Logging_1440/kartor/A 16534-2025 karta.png", "A 16534-2025")</f>
        <v/>
      </c>
      <c r="Y30">
        <f>HYPERLINK("https://klasma.github.io/Logging_1440/klagomål/A 16534-2025 FSC-klagomål.docx", "A 16534-2025")</f>
        <v/>
      </c>
      <c r="Z30">
        <f>HYPERLINK("https://klasma.github.io/Logging_1440/klagomålsmail/A 16534-2025 FSC-klagomål mail.docx", "A 16534-2025")</f>
        <v/>
      </c>
      <c r="AA30">
        <f>HYPERLINK("https://klasma.github.io/Logging_1440/tillsyn/A 16534-2025 tillsynsbegäran.docx", "A 16534-2025")</f>
        <v/>
      </c>
      <c r="AB30">
        <f>HYPERLINK("https://klasma.github.io/Logging_1440/tillsynsmail/A 16534-2025 tillsynsbegäran mail.docx", "A 16534-2025")</f>
        <v/>
      </c>
      <c r="AC30">
        <f>HYPERLINK("https://klasma.github.io/Logging_1440/fåglar/A 16534-2025 prioriterade fågelarter.docx", "A 16534-2025")</f>
        <v/>
      </c>
    </row>
    <row r="31" ht="15" customHeight="1">
      <c r="A31" t="inlineStr">
        <is>
          <t>A 20586-2023</t>
        </is>
      </c>
      <c r="B31" t="inlineStr">
        <is>
          <t>avverkningsanmälan</t>
        </is>
      </c>
      <c r="C31" t="inlineStr">
        <is>
          <t>Föryngringsavverkning</t>
        </is>
      </c>
      <c r="D31" s="1" t="n">
        <v>45057</v>
      </c>
      <c r="E31" s="1" t="n">
        <v>46221</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s="2" t="inlineStr">
        <is>
          <t>Entita
Västlig hakmossa</t>
        </is>
      </c>
      <c r="V31">
        <f>HYPERLINK("https://klasma.github.io/Logging_1440/artfynd/A 20586-2023 artfynd.xlsx", "A 20586-2023")</f>
        <v/>
      </c>
      <c r="W31">
        <f>HYPERLINK("https://klasma.github.io/Logging_1440/kartor/A 20586-2023 karta.png", "A 20586-2023")</f>
        <v/>
      </c>
      <c r="Y31">
        <f>HYPERLINK("https://klasma.github.io/Logging_1440/klagomål/A 20586-2023 FSC-klagomål.docx", "A 20586-2023")</f>
        <v/>
      </c>
      <c r="Z31">
        <f>HYPERLINK("https://klasma.github.io/Logging_1440/klagomålsmail/A 20586-2023 FSC-klagomål mail.docx", "A 20586-2023")</f>
        <v/>
      </c>
      <c r="AA31">
        <f>HYPERLINK("https://klasma.github.io/Logging_1440/tillsyn/A 20586-2023 tillsynsbegäran.docx", "A 20586-2023")</f>
        <v/>
      </c>
      <c r="AB31">
        <f>HYPERLINK("https://klasma.github.io/Logging_1440/tillsynsmail/A 20586-2023 tillsynsbegäran mail.docx", "A 20586-2023")</f>
        <v/>
      </c>
      <c r="AC31">
        <f>HYPERLINK("https://klasma.github.io/Logging_1440/fåglar/A 20586-2023 prioriterade fågelarter.docx", "A 20586-2023")</f>
        <v/>
      </c>
    </row>
    <row r="32" ht="15" customHeight="1">
      <c r="A32" t="inlineStr">
        <is>
          <t>A 380-2025</t>
        </is>
      </c>
      <c r="B32" t="inlineStr">
        <is>
          <t>avverkningsanmälan</t>
        </is>
      </c>
      <c r="C32" t="inlineStr">
        <is>
          <t>Föryngringsavverkning</t>
        </is>
      </c>
      <c r="D32" s="1" t="n">
        <v>45662</v>
      </c>
      <c r="E32" s="1" t="n">
        <v>46221</v>
      </c>
      <c r="F32" t="inlineStr">
        <is>
          <t>VÄSTRA GÖTALANDS LÄN</t>
        </is>
      </c>
      <c r="G32" t="inlineStr">
        <is>
          <t>ALE</t>
        </is>
      </c>
      <c r="I32" t="n">
        <v>8.6</v>
      </c>
      <c r="J32" t="n">
        <v>1</v>
      </c>
      <c r="K32" t="n">
        <v>1</v>
      </c>
      <c r="L32" t="n">
        <v>0</v>
      </c>
      <c r="M32" t="n">
        <v>0</v>
      </c>
      <c r="N32" t="n">
        <v>0</v>
      </c>
      <c r="O32" t="n">
        <v>0</v>
      </c>
      <c r="P32" t="n">
        <v>0</v>
      </c>
      <c r="Q32" t="n">
        <v>0</v>
      </c>
      <c r="R32" t="n">
        <v>0</v>
      </c>
      <c r="S32" t="n">
        <v>2</v>
      </c>
      <c r="T32" t="n">
        <v>2</v>
      </c>
      <c r="U32" s="2" t="inlineStr">
        <is>
          <t>Blåmossa
Spillkråka</t>
        </is>
      </c>
      <c r="V32">
        <f>HYPERLINK("https://klasma.github.io/Logging_1440/artfynd/A 380-2025 artfynd.xlsx", "A 380-2025")</f>
        <v/>
      </c>
      <c r="W32">
        <f>HYPERLINK("https://klasma.github.io/Logging_1440/kartor/A 380-2025 karta.png", "A 380-2025")</f>
        <v/>
      </c>
      <c r="Y32">
        <f>HYPERLINK("https://klasma.github.io/Logging_1440/klagomål/A 380-2025 FSC-klagomål.docx", "A 380-2025")</f>
        <v/>
      </c>
      <c r="Z32">
        <f>HYPERLINK("https://klasma.github.io/Logging_1440/klagomålsmail/A 380-2025 FSC-klagomål mail.docx", "A 380-2025")</f>
        <v/>
      </c>
      <c r="AA32">
        <f>HYPERLINK("https://klasma.github.io/Logging_1440/tillsyn/A 380-2025 tillsynsbegäran.docx", "A 380-2025")</f>
        <v/>
      </c>
      <c r="AB32">
        <f>HYPERLINK("https://klasma.github.io/Logging_1440/tillsynsmail/A 380-2025 tillsynsbegäran mail.docx", "A 380-2025")</f>
        <v/>
      </c>
      <c r="AC32">
        <f>HYPERLINK("https://klasma.github.io/Logging_1440/fåglar/A 380-2025 prioriterade fågelarter.docx", "A 380-2025")</f>
        <v/>
      </c>
    </row>
    <row r="33" ht="15" customHeight="1">
      <c r="A33" t="inlineStr">
        <is>
          <t>A 13306-2026</t>
        </is>
      </c>
      <c r="B33" t="inlineStr">
        <is>
          <t>avverkningsanmälan</t>
        </is>
      </c>
      <c r="C33" t="inlineStr">
        <is>
          <t>Föryngringsavverkning</t>
        </is>
      </c>
      <c r="D33" s="1" t="n">
        <v>46094</v>
      </c>
      <c r="E33" s="1" t="n">
        <v>46221</v>
      </c>
      <c r="F33" t="inlineStr">
        <is>
          <t>VÄSTRA GÖTALANDS LÄN</t>
        </is>
      </c>
      <c r="G33" t="inlineStr">
        <is>
          <t>ALE</t>
        </is>
      </c>
      <c r="I33" t="n">
        <v>9.699999999999999</v>
      </c>
      <c r="J33" t="n">
        <v>2</v>
      </c>
      <c r="K33" t="n">
        <v>0</v>
      </c>
      <c r="L33" t="n">
        <v>0</v>
      </c>
      <c r="M33" t="n">
        <v>0</v>
      </c>
      <c r="N33" t="n">
        <v>0</v>
      </c>
      <c r="O33" t="n">
        <v>0</v>
      </c>
      <c r="P33" t="n">
        <v>0</v>
      </c>
      <c r="Q33" t="n">
        <v>0</v>
      </c>
      <c r="R33" t="n">
        <v>0</v>
      </c>
      <c r="S33" t="n">
        <v>2</v>
      </c>
      <c r="T33" t="n">
        <v>2</v>
      </c>
      <c r="U33" s="2" t="inlineStr">
        <is>
          <t>Större vattensalamander
Åkergroda</t>
        </is>
      </c>
      <c r="V33">
        <f>HYPERLINK("https://klasma.github.io/Logging_1440/artfynd/A 13306-2026 artfynd.xlsx", "A 13306-2026")</f>
        <v/>
      </c>
      <c r="W33">
        <f>HYPERLINK("https://klasma.github.io/Logging_1440/kartor/A 13306-2026 karta.png", "A 13306-2026")</f>
        <v/>
      </c>
      <c r="Y33">
        <f>HYPERLINK("https://klasma.github.io/Logging_1440/klagomål/A 13306-2026 FSC-klagomål.docx", "A 13306-2026")</f>
        <v/>
      </c>
      <c r="Z33">
        <f>HYPERLINK("https://klasma.github.io/Logging_1440/klagomålsmail/A 13306-2026 FSC-klagomål mail.docx", "A 13306-2026")</f>
        <v/>
      </c>
      <c r="AA33">
        <f>HYPERLINK("https://klasma.github.io/Logging_1440/tillsyn/A 13306-2026 tillsynsbegäran.docx", "A 13306-2026")</f>
        <v/>
      </c>
      <c r="AB33">
        <f>HYPERLINK("https://klasma.github.io/Logging_1440/tillsynsmail/A 13306-2026 tillsynsbegäran mail.docx", "A 13306-2026")</f>
        <v/>
      </c>
    </row>
    <row r="34" ht="15" customHeight="1">
      <c r="A34" t="inlineStr">
        <is>
          <t>A 63569-2023</t>
        </is>
      </c>
      <c r="B34" t="inlineStr">
        <is>
          <t>avverkningsanmälan</t>
        </is>
      </c>
      <c r="C34" t="inlineStr">
        <is>
          <t>Föryngringsavverkning</t>
        </is>
      </c>
      <c r="D34" s="1" t="n">
        <v>45275</v>
      </c>
      <c r="E34" s="1" t="n">
        <v>46221</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s="2" t="inlineStr">
        <is>
          <t>Talltita
Spillkråka</t>
        </is>
      </c>
      <c r="V34">
        <f>HYPERLINK("https://klasma.github.io/Logging_1440/artfynd/A 63569-2023 artfynd.xlsx", "A 63569-2023")</f>
        <v/>
      </c>
      <c r="W34">
        <f>HYPERLINK("https://klasma.github.io/Logging_1440/kartor/A 63569-2023 karta.png", "A 63569-2023")</f>
        <v/>
      </c>
      <c r="Y34">
        <f>HYPERLINK("https://klasma.github.io/Logging_1440/klagomål/A 63569-2023 FSC-klagomål.docx", "A 63569-2023")</f>
        <v/>
      </c>
      <c r="Z34">
        <f>HYPERLINK("https://klasma.github.io/Logging_1440/klagomålsmail/A 63569-2023 FSC-klagomål mail.docx", "A 63569-2023")</f>
        <v/>
      </c>
      <c r="AA34">
        <f>HYPERLINK("https://klasma.github.io/Logging_1440/tillsyn/A 63569-2023 tillsynsbegäran.docx", "A 63569-2023")</f>
        <v/>
      </c>
      <c r="AB34">
        <f>HYPERLINK("https://klasma.github.io/Logging_1440/tillsynsmail/A 63569-2023 tillsynsbegäran mail.docx", "A 63569-2023")</f>
        <v/>
      </c>
      <c r="AC34">
        <f>HYPERLINK("https://klasma.github.io/Logging_1440/fåglar/A 63569-2023 prioriterade fågelarter.docx", "A 63569-2023")</f>
        <v/>
      </c>
    </row>
    <row r="35" ht="15" customHeight="1">
      <c r="A35" t="inlineStr">
        <is>
          <t>A 3413-2023</t>
        </is>
      </c>
      <c r="B35" t="inlineStr">
        <is>
          <t>avverkningsanmälan</t>
        </is>
      </c>
      <c r="C35" t="inlineStr">
        <is>
          <t>Föryngringsavverkning</t>
        </is>
      </c>
      <c r="D35" s="1" t="n">
        <v>44949</v>
      </c>
      <c r="E35" s="1" t="n">
        <v>46221</v>
      </c>
      <c r="F35" t="inlineStr">
        <is>
          <t>VÄSTRA GÖTALANDS LÄN</t>
        </is>
      </c>
      <c r="G35" t="inlineStr">
        <is>
          <t>ALE</t>
        </is>
      </c>
      <c r="I35" t="n">
        <v>2.3</v>
      </c>
      <c r="J35" t="n">
        <v>2</v>
      </c>
      <c r="K35" t="n">
        <v>0</v>
      </c>
      <c r="L35" t="n">
        <v>0</v>
      </c>
      <c r="M35" t="n">
        <v>0</v>
      </c>
      <c r="N35" t="n">
        <v>0</v>
      </c>
      <c r="O35" t="n">
        <v>0</v>
      </c>
      <c r="P35" t="n">
        <v>0</v>
      </c>
      <c r="Q35" t="n">
        <v>0</v>
      </c>
      <c r="R35" t="n">
        <v>0</v>
      </c>
      <c r="S35" t="n">
        <v>2</v>
      </c>
      <c r="T35" t="n">
        <v>3</v>
      </c>
      <c r="U35" s="2" t="inlineStr">
        <is>
          <t>Vanlig padda
Revlummer</t>
        </is>
      </c>
      <c r="V35">
        <f>HYPERLINK("https://klasma.github.io/Logging_1440/artfynd/A 3413-2023 artfynd.xlsx", "A 3413-2023")</f>
        <v/>
      </c>
      <c r="W35">
        <f>HYPERLINK("https://klasma.github.io/Logging_1440/kartor/A 3413-2023 karta.png", "A 3413-2023")</f>
        <v/>
      </c>
      <c r="Y35">
        <f>HYPERLINK("https://klasma.github.io/Logging_1440/klagomål/A 3413-2023 FSC-klagomål.docx", "A 3413-2023")</f>
        <v/>
      </c>
      <c r="Z35">
        <f>HYPERLINK("https://klasma.github.io/Logging_1440/klagomålsmail/A 3413-2023 FSC-klagomål mail.docx", "A 3413-2023")</f>
        <v/>
      </c>
      <c r="AA35">
        <f>HYPERLINK("https://klasma.github.io/Logging_1440/tillsyn/A 3413-2023 tillsynsbegäran.docx", "A 3413-2023")</f>
        <v/>
      </c>
      <c r="AB35">
        <f>HYPERLINK("https://klasma.github.io/Logging_1440/tillsynsmail/A 3413-2023 tillsynsbegäran mail.docx", "A 3413-2023")</f>
        <v/>
      </c>
    </row>
    <row r="36" ht="15" customHeight="1">
      <c r="A36" t="inlineStr">
        <is>
          <t>A 12982-2024</t>
        </is>
      </c>
      <c r="B36" t="inlineStr">
        <is>
          <t>avverkningsanmälan</t>
        </is>
      </c>
      <c r="C36" t="inlineStr">
        <is>
          <t>Föryngringsavverkning</t>
        </is>
      </c>
      <c r="D36" s="1" t="n">
        <v>45385</v>
      </c>
      <c r="E36" s="1" t="n">
        <v>46221</v>
      </c>
      <c r="F36" t="inlineStr">
        <is>
          <t>VÄSTRA GÖTALANDS LÄN</t>
        </is>
      </c>
      <c r="G36" t="inlineStr">
        <is>
          <t>ALE</t>
        </is>
      </c>
      <c r="I36" t="n">
        <v>3.3</v>
      </c>
      <c r="J36" t="n">
        <v>2</v>
      </c>
      <c r="K36" t="n">
        <v>0</v>
      </c>
      <c r="L36" t="n">
        <v>0</v>
      </c>
      <c r="M36" t="n">
        <v>0</v>
      </c>
      <c r="N36" t="n">
        <v>0</v>
      </c>
      <c r="O36" t="n">
        <v>0</v>
      </c>
      <c r="P36" t="n">
        <v>0</v>
      </c>
      <c r="Q36" t="n">
        <v>0</v>
      </c>
      <c r="R36" t="n">
        <v>0</v>
      </c>
      <c r="S36" t="n">
        <v>2</v>
      </c>
      <c r="T36" t="n">
        <v>2</v>
      </c>
      <c r="U36" s="2" t="inlineStr">
        <is>
          <t>Orre
Revlummer</t>
        </is>
      </c>
      <c r="V36">
        <f>HYPERLINK("https://klasma.github.io/Logging_1440/artfynd/A 12982-2024 artfynd.xlsx", "A 12982-2024")</f>
        <v/>
      </c>
      <c r="W36">
        <f>HYPERLINK("https://klasma.github.io/Logging_1440/kartor/A 12982-2024 karta.png", "A 12982-2024")</f>
        <v/>
      </c>
      <c r="Y36">
        <f>HYPERLINK("https://klasma.github.io/Logging_1440/klagomål/A 12982-2024 FSC-klagomål.docx", "A 12982-2024")</f>
        <v/>
      </c>
      <c r="Z36">
        <f>HYPERLINK("https://klasma.github.io/Logging_1440/klagomålsmail/A 12982-2024 FSC-klagomål mail.docx", "A 12982-2024")</f>
        <v/>
      </c>
      <c r="AA36">
        <f>HYPERLINK("https://klasma.github.io/Logging_1440/tillsyn/A 12982-2024 tillsynsbegäran.docx", "A 12982-2024")</f>
        <v/>
      </c>
      <c r="AB36">
        <f>HYPERLINK("https://klasma.github.io/Logging_1440/tillsynsmail/A 12982-2024 tillsynsbegäran mail.docx", "A 12982-2024")</f>
        <v/>
      </c>
      <c r="AC36">
        <f>HYPERLINK("https://klasma.github.io/Logging_1440/fåglar/A 12982-2024 prioriterade fågelarter.docx", "A 12982-2024")</f>
        <v/>
      </c>
    </row>
    <row r="37" ht="15" customHeight="1">
      <c r="A37" t="inlineStr">
        <is>
          <t>S 4485-2024</t>
        </is>
      </c>
      <c r="B37" t="inlineStr">
        <is>
          <t>samrådsanmälan</t>
        </is>
      </c>
      <c r="C37" t="inlineStr">
        <is>
          <t>Annan skogsbruksåtgärd</t>
        </is>
      </c>
      <c r="D37" s="1" t="n">
        <v>45595</v>
      </c>
      <c r="E37" s="1" t="n">
        <v>46221</v>
      </c>
      <c r="F37" t="inlineStr">
        <is>
          <t>VÄSTRA GÖTALANDS LÄN</t>
        </is>
      </c>
      <c r="G37" t="inlineStr">
        <is>
          <t>ALE</t>
        </is>
      </c>
      <c r="I37" t="n">
        <v>4</v>
      </c>
      <c r="J37" t="n">
        <v>0</v>
      </c>
      <c r="K37" t="n">
        <v>2</v>
      </c>
      <c r="L37" t="n">
        <v>0</v>
      </c>
      <c r="M37" t="n">
        <v>0</v>
      </c>
      <c r="N37" t="n">
        <v>0</v>
      </c>
      <c r="O37" t="n">
        <v>0</v>
      </c>
      <c r="P37" t="n">
        <v>0</v>
      </c>
      <c r="Q37" t="n">
        <v>0</v>
      </c>
      <c r="R37" t="n">
        <v>0</v>
      </c>
      <c r="S37" t="n">
        <v>2</v>
      </c>
      <c r="T37" t="n">
        <v>6</v>
      </c>
      <c r="U37" s="2" t="inlineStr">
        <is>
          <t>Guldlockmossa
Trädporella</t>
        </is>
      </c>
      <c r="V37">
        <f>HYPERLINK("https://klasma.github.io/Logging_1440/artfynd/S 4485-2024 artfynd.xlsx", "S 4485-2024")</f>
        <v/>
      </c>
      <c r="W37">
        <f>HYPERLINK("https://klasma.github.io/Logging_1440/kartor/S 4485-2024 karta.png", "S 4485-2024")</f>
        <v/>
      </c>
      <c r="Y37">
        <f>HYPERLINK("https://klasma.github.io/Logging_1440/klagomål/S 4485-2024 FSC-klagomål.docx", "S 4485-2024")</f>
        <v/>
      </c>
      <c r="Z37">
        <f>HYPERLINK("https://klasma.github.io/Logging_1440/klagomålsmail/S 4485-2024 FSC-klagomål mail.docx", "S 4485-2024")</f>
        <v/>
      </c>
      <c r="AA37">
        <f>HYPERLINK("https://klasma.github.io/Logging_1440/tillsyn/S 4485-2024 tillsynsbegäran.docx", "S 4485-2024")</f>
        <v/>
      </c>
      <c r="AB37">
        <f>HYPERLINK("https://klasma.github.io/Logging_1440/tillsynsmail/S 4485-2024 tillsynsbegäran mail.docx", "S 4485-2024")</f>
        <v/>
      </c>
    </row>
    <row r="38" ht="15" customHeight="1">
      <c r="A38" t="inlineStr">
        <is>
          <t>A 41607-2022</t>
        </is>
      </c>
      <c r="B38" t="inlineStr">
        <is>
          <t>avverkningsanmälan</t>
        </is>
      </c>
      <c r="C38" t="inlineStr">
        <is>
          <t>Föryngringsavverkning</t>
        </is>
      </c>
      <c r="D38" s="1" t="n">
        <v>44827</v>
      </c>
      <c r="E38" s="1" t="n">
        <v>46221</v>
      </c>
      <c r="F38" t="inlineStr">
        <is>
          <t>VÄSTRA GÖTALANDS LÄN</t>
        </is>
      </c>
      <c r="G38" t="inlineStr">
        <is>
          <t>ALE</t>
        </is>
      </c>
      <c r="I38" t="n">
        <v>3.6</v>
      </c>
      <c r="J38" t="n">
        <v>1</v>
      </c>
      <c r="K38" t="n">
        <v>0</v>
      </c>
      <c r="L38" t="n">
        <v>0</v>
      </c>
      <c r="M38" t="n">
        <v>0</v>
      </c>
      <c r="N38" t="n">
        <v>0</v>
      </c>
      <c r="O38" t="n">
        <v>0</v>
      </c>
      <c r="P38" t="n">
        <v>0</v>
      </c>
      <c r="Q38" t="n">
        <v>0</v>
      </c>
      <c r="R38" t="n">
        <v>0</v>
      </c>
      <c r="S38" t="n">
        <v>1</v>
      </c>
      <c r="T38" t="n">
        <v>1</v>
      </c>
      <c r="U38" s="2" t="inlineStr">
        <is>
          <t>Spillkråka</t>
        </is>
      </c>
      <c r="V38">
        <f>HYPERLINK("https://klasma.github.io/Logging_1440/artfynd/A 41607-2022 artfynd.xlsx", "A 41607-2022")</f>
        <v/>
      </c>
      <c r="W38">
        <f>HYPERLINK("https://klasma.github.io/Logging_1440/kartor/A 41607-2022 karta.png", "A 41607-2022")</f>
        <v/>
      </c>
      <c r="Y38">
        <f>HYPERLINK("https://klasma.github.io/Logging_1440/klagomål/A 41607-2022 FSC-klagomål.docx", "A 41607-2022")</f>
        <v/>
      </c>
      <c r="Z38">
        <f>HYPERLINK("https://klasma.github.io/Logging_1440/klagomålsmail/A 41607-2022 FSC-klagomål mail.docx", "A 41607-2022")</f>
        <v/>
      </c>
      <c r="AA38">
        <f>HYPERLINK("https://klasma.github.io/Logging_1440/tillsyn/A 41607-2022 tillsynsbegäran.docx", "A 41607-2022")</f>
        <v/>
      </c>
      <c r="AB38">
        <f>HYPERLINK("https://klasma.github.io/Logging_1440/tillsynsmail/A 41607-2022 tillsynsbegäran mail.docx", "A 41607-2022")</f>
        <v/>
      </c>
      <c r="AC38">
        <f>HYPERLINK("https://klasma.github.io/Logging_1440/fåglar/A 41607-2022 prioriterade fågelarter.docx", "A 41607-2022")</f>
        <v/>
      </c>
    </row>
    <row r="39" ht="15" customHeight="1">
      <c r="A39" t="inlineStr">
        <is>
          <t>A 14493-2024</t>
        </is>
      </c>
      <c r="B39" t="inlineStr">
        <is>
          <t>avverkningsanmälan</t>
        </is>
      </c>
      <c r="C39" t="inlineStr">
        <is>
          <t>Föryngringsavverkning</t>
        </is>
      </c>
      <c r="D39" s="1" t="n">
        <v>45394</v>
      </c>
      <c r="E39" s="1" t="n">
        <v>46221</v>
      </c>
      <c r="F39" t="inlineStr">
        <is>
          <t>VÄSTRA GÖTALANDS LÄN</t>
        </is>
      </c>
      <c r="G39" t="inlineStr">
        <is>
          <t>ALE</t>
        </is>
      </c>
      <c r="I39" t="n">
        <v>2.3</v>
      </c>
      <c r="J39" t="n">
        <v>1</v>
      </c>
      <c r="K39" t="n">
        <v>0</v>
      </c>
      <c r="L39" t="n">
        <v>0</v>
      </c>
      <c r="M39" t="n">
        <v>0</v>
      </c>
      <c r="N39" t="n">
        <v>0</v>
      </c>
      <c r="O39" t="n">
        <v>0</v>
      </c>
      <c r="P39" t="n">
        <v>0</v>
      </c>
      <c r="Q39" t="n">
        <v>0</v>
      </c>
      <c r="R39" t="n">
        <v>0</v>
      </c>
      <c r="S39" t="n">
        <v>1</v>
      </c>
      <c r="T39" t="n">
        <v>1</v>
      </c>
      <c r="U39" s="2" t="inlineStr">
        <is>
          <t>Orre</t>
        </is>
      </c>
      <c r="V39">
        <f>HYPERLINK("https://klasma.github.io/Logging_1440/artfynd/A 14493-2024 artfynd.xlsx", "A 14493-2024")</f>
        <v/>
      </c>
      <c r="W39">
        <f>HYPERLINK("https://klasma.github.io/Logging_1440/kartor/A 14493-2024 karta.png", "A 14493-2024")</f>
        <v/>
      </c>
      <c r="Y39">
        <f>HYPERLINK("https://klasma.github.io/Logging_1440/klagomål/A 14493-2024 FSC-klagomål.docx", "A 14493-2024")</f>
        <v/>
      </c>
      <c r="Z39">
        <f>HYPERLINK("https://klasma.github.io/Logging_1440/klagomålsmail/A 14493-2024 FSC-klagomål mail.docx", "A 14493-2024")</f>
        <v/>
      </c>
      <c r="AA39">
        <f>HYPERLINK("https://klasma.github.io/Logging_1440/tillsyn/A 14493-2024 tillsynsbegäran.docx", "A 14493-2024")</f>
        <v/>
      </c>
      <c r="AB39">
        <f>HYPERLINK("https://klasma.github.io/Logging_1440/tillsynsmail/A 14493-2024 tillsynsbegäran mail.docx", "A 14493-2024")</f>
        <v/>
      </c>
      <c r="AC39">
        <f>HYPERLINK("https://klasma.github.io/Logging_1440/fåglar/A 14493-2024 prioriterade fågelarter.docx", "A 14493-2024")</f>
        <v/>
      </c>
    </row>
    <row r="40" ht="15" customHeight="1">
      <c r="A40" t="inlineStr">
        <is>
          <t>A 26677-2025</t>
        </is>
      </c>
      <c r="B40" t="inlineStr">
        <is>
          <t>avverkningsanmälan</t>
        </is>
      </c>
      <c r="C40" t="inlineStr">
        <is>
          <t>Föryngringsavverkning</t>
        </is>
      </c>
      <c r="D40" s="1" t="n">
        <v>45810</v>
      </c>
      <c r="E40" s="1" t="n">
        <v>46221</v>
      </c>
      <c r="F40" t="inlineStr">
        <is>
          <t>VÄSTRA GÖTALANDS LÄN</t>
        </is>
      </c>
      <c r="G40" t="inlineStr">
        <is>
          <t>ALE</t>
        </is>
      </c>
      <c r="I40" t="n">
        <v>1.2</v>
      </c>
      <c r="J40" t="n">
        <v>0</v>
      </c>
      <c r="K40" t="n">
        <v>1</v>
      </c>
      <c r="L40" t="n">
        <v>0</v>
      </c>
      <c r="M40" t="n">
        <v>0</v>
      </c>
      <c r="N40" t="n">
        <v>0</v>
      </c>
      <c r="O40" t="n">
        <v>0</v>
      </c>
      <c r="P40" t="n">
        <v>0</v>
      </c>
      <c r="Q40" t="n">
        <v>0</v>
      </c>
      <c r="R40" t="n">
        <v>0</v>
      </c>
      <c r="S40" t="n">
        <v>1</v>
      </c>
      <c r="T40" t="n">
        <v>1</v>
      </c>
      <c r="U40" s="2" t="inlineStr">
        <is>
          <t>Västlig hakmossa</t>
        </is>
      </c>
      <c r="V40">
        <f>HYPERLINK("https://klasma.github.io/Logging_1440/artfynd/A 26677-2025 artfynd.xlsx", "A 26677-2025")</f>
        <v/>
      </c>
      <c r="W40">
        <f>HYPERLINK("https://klasma.github.io/Logging_1440/kartor/A 26677-2025 karta.png", "A 26677-2025")</f>
        <v/>
      </c>
      <c r="Y40">
        <f>HYPERLINK("https://klasma.github.io/Logging_1440/klagomål/A 26677-2025 FSC-klagomål.docx", "A 26677-2025")</f>
        <v/>
      </c>
      <c r="Z40">
        <f>HYPERLINK("https://klasma.github.io/Logging_1440/klagomålsmail/A 26677-2025 FSC-klagomål mail.docx", "A 26677-2025")</f>
        <v/>
      </c>
      <c r="AA40">
        <f>HYPERLINK("https://klasma.github.io/Logging_1440/tillsyn/A 26677-2025 tillsynsbegäran.docx", "A 26677-2025")</f>
        <v/>
      </c>
      <c r="AB40">
        <f>HYPERLINK("https://klasma.github.io/Logging_1440/tillsynsmail/A 26677-2025 tillsynsbegäran mail.docx", "A 26677-2025")</f>
        <v/>
      </c>
    </row>
    <row r="41" ht="15" customHeight="1">
      <c r="A41" t="inlineStr">
        <is>
          <t>A 5344-2024</t>
        </is>
      </c>
      <c r="B41" t="inlineStr">
        <is>
          <t>avverkningsanmälan</t>
        </is>
      </c>
      <c r="C41" t="inlineStr">
        <is>
          <t>Föryngringsavverkning</t>
        </is>
      </c>
      <c r="D41" s="1" t="n">
        <v>45331</v>
      </c>
      <c r="E41" s="1" t="n">
        <v>46221</v>
      </c>
      <c r="F41" t="inlineStr">
        <is>
          <t>VÄSTRA GÖTALANDS LÄN</t>
        </is>
      </c>
      <c r="G41" t="inlineStr">
        <is>
          <t>ALE</t>
        </is>
      </c>
      <c r="I41" t="n">
        <v>2.5</v>
      </c>
      <c r="J41" t="n">
        <v>0</v>
      </c>
      <c r="K41" t="n">
        <v>1</v>
      </c>
      <c r="L41" t="n">
        <v>0</v>
      </c>
      <c r="M41" t="n">
        <v>0</v>
      </c>
      <c r="N41" t="n">
        <v>0</v>
      </c>
      <c r="O41" t="n">
        <v>0</v>
      </c>
      <c r="P41" t="n">
        <v>0</v>
      </c>
      <c r="Q41" t="n">
        <v>0</v>
      </c>
      <c r="R41" t="n">
        <v>0</v>
      </c>
      <c r="S41" t="n">
        <v>1</v>
      </c>
      <c r="T41" t="n">
        <v>1</v>
      </c>
      <c r="U41" s="2" t="inlineStr">
        <is>
          <t>Blåmossa</t>
        </is>
      </c>
      <c r="V41">
        <f>HYPERLINK("https://klasma.github.io/Logging_1440/artfynd/A 5344-2024 artfynd.xlsx", "A 5344-2024")</f>
        <v/>
      </c>
      <c r="W41">
        <f>HYPERLINK("https://klasma.github.io/Logging_1440/kartor/A 5344-2024 karta.png", "A 5344-2024")</f>
        <v/>
      </c>
      <c r="Y41">
        <f>HYPERLINK("https://klasma.github.io/Logging_1440/klagomål/A 5344-2024 FSC-klagomål.docx", "A 5344-2024")</f>
        <v/>
      </c>
      <c r="Z41">
        <f>HYPERLINK("https://klasma.github.io/Logging_1440/klagomålsmail/A 5344-2024 FSC-klagomål mail.docx", "A 5344-2024")</f>
        <v/>
      </c>
      <c r="AA41">
        <f>HYPERLINK("https://klasma.github.io/Logging_1440/tillsyn/A 5344-2024 tillsynsbegäran.docx", "A 5344-2024")</f>
        <v/>
      </c>
      <c r="AB41">
        <f>HYPERLINK("https://klasma.github.io/Logging_1440/tillsynsmail/A 5344-2024 tillsynsbegäran mail.docx", "A 5344-2024")</f>
        <v/>
      </c>
    </row>
    <row r="42" ht="15" customHeight="1">
      <c r="A42" t="inlineStr">
        <is>
          <t>A 13902-2025</t>
        </is>
      </c>
      <c r="B42" t="inlineStr">
        <is>
          <t>avverkningsanmälan</t>
        </is>
      </c>
      <c r="C42" t="inlineStr">
        <is>
          <t>Föryngringsavverkning</t>
        </is>
      </c>
      <c r="D42" s="1" t="n">
        <v>45737</v>
      </c>
      <c r="E42" s="1" t="n">
        <v>46221</v>
      </c>
      <c r="F42" t="inlineStr">
        <is>
          <t>VÄSTRA GÖTALANDS LÄN</t>
        </is>
      </c>
      <c r="G42" t="inlineStr">
        <is>
          <t>ALE</t>
        </is>
      </c>
      <c r="I42" t="n">
        <v>1.4</v>
      </c>
      <c r="J42" t="n">
        <v>1</v>
      </c>
      <c r="K42" t="n">
        <v>0</v>
      </c>
      <c r="L42" t="n">
        <v>0</v>
      </c>
      <c r="M42" t="n">
        <v>0</v>
      </c>
      <c r="N42" t="n">
        <v>0</v>
      </c>
      <c r="O42" t="n">
        <v>0</v>
      </c>
      <c r="P42" t="n">
        <v>0</v>
      </c>
      <c r="Q42" t="n">
        <v>0</v>
      </c>
      <c r="R42" t="n">
        <v>0</v>
      </c>
      <c r="S42" t="n">
        <v>1</v>
      </c>
      <c r="T42" t="n">
        <v>1</v>
      </c>
      <c r="U42" s="2" t="inlineStr">
        <is>
          <t>Svartvit flugsnappare</t>
        </is>
      </c>
      <c r="V42">
        <f>HYPERLINK("https://klasma.github.io/Logging_1440/artfynd/A 13902-2025 artfynd.xlsx", "A 13902-2025")</f>
        <v/>
      </c>
      <c r="W42">
        <f>HYPERLINK("https://klasma.github.io/Logging_1440/kartor/A 13902-2025 karta.png", "A 13902-2025")</f>
        <v/>
      </c>
      <c r="Y42">
        <f>HYPERLINK("https://klasma.github.io/Logging_1440/klagomål/A 13902-2025 FSC-klagomål.docx", "A 13902-2025")</f>
        <v/>
      </c>
      <c r="Z42">
        <f>HYPERLINK("https://klasma.github.io/Logging_1440/klagomålsmail/A 13902-2025 FSC-klagomål mail.docx", "A 13902-2025")</f>
        <v/>
      </c>
      <c r="AA42">
        <f>HYPERLINK("https://klasma.github.io/Logging_1440/tillsyn/A 13902-2025 tillsynsbegäran.docx", "A 13902-2025")</f>
        <v/>
      </c>
      <c r="AB42">
        <f>HYPERLINK("https://klasma.github.io/Logging_1440/tillsynsmail/A 13902-2025 tillsynsbegäran mail.docx", "A 13902-2025")</f>
        <v/>
      </c>
    </row>
    <row r="43" ht="15" customHeight="1">
      <c r="A43" t="inlineStr">
        <is>
          <t>A 200-2022</t>
        </is>
      </c>
      <c r="B43" t="inlineStr">
        <is>
          <t>avverkningsanmälan</t>
        </is>
      </c>
      <c r="C43" t="inlineStr">
        <is>
          <t>Föryngringsavverkning</t>
        </is>
      </c>
      <c r="D43" s="1" t="n">
        <v>44564</v>
      </c>
      <c r="E43" s="1" t="n">
        <v>46221</v>
      </c>
      <c r="F43" t="inlineStr">
        <is>
          <t>VÄSTRA GÖTALANDS LÄN</t>
        </is>
      </c>
      <c r="G43" t="inlineStr">
        <is>
          <t>ALE</t>
        </is>
      </c>
      <c r="I43" t="n">
        <v>6.8</v>
      </c>
      <c r="J43" t="n">
        <v>1</v>
      </c>
      <c r="K43" t="n">
        <v>0</v>
      </c>
      <c r="L43" t="n">
        <v>0</v>
      </c>
      <c r="M43" t="n">
        <v>0</v>
      </c>
      <c r="N43" t="n">
        <v>0</v>
      </c>
      <c r="O43" t="n">
        <v>0</v>
      </c>
      <c r="P43" t="n">
        <v>0</v>
      </c>
      <c r="Q43" t="n">
        <v>0</v>
      </c>
      <c r="R43" t="n">
        <v>0</v>
      </c>
      <c r="S43" t="n">
        <v>1</v>
      </c>
      <c r="T43" t="n">
        <v>1</v>
      </c>
      <c r="U43" s="2" t="inlineStr">
        <is>
          <t>Spillkråka</t>
        </is>
      </c>
      <c r="V43">
        <f>HYPERLINK("https://klasma.github.io/Logging_1440/artfynd/A 200-2022 artfynd.xlsx", "A 200-2022")</f>
        <v/>
      </c>
      <c r="W43">
        <f>HYPERLINK("https://klasma.github.io/Logging_1440/kartor/A 200-2022 karta.png", "A 200-2022")</f>
        <v/>
      </c>
      <c r="Y43">
        <f>HYPERLINK("https://klasma.github.io/Logging_1440/klagomål/A 200-2022 FSC-klagomål.docx", "A 200-2022")</f>
        <v/>
      </c>
      <c r="Z43">
        <f>HYPERLINK("https://klasma.github.io/Logging_1440/klagomålsmail/A 200-2022 FSC-klagomål mail.docx", "A 200-2022")</f>
        <v/>
      </c>
      <c r="AA43">
        <f>HYPERLINK("https://klasma.github.io/Logging_1440/tillsyn/A 200-2022 tillsynsbegäran.docx", "A 200-2022")</f>
        <v/>
      </c>
      <c r="AB43">
        <f>HYPERLINK("https://klasma.github.io/Logging_1440/tillsynsmail/A 200-2022 tillsynsbegäran mail.docx", "A 200-2022")</f>
        <v/>
      </c>
      <c r="AC43">
        <f>HYPERLINK("https://klasma.github.io/Logging_1440/fåglar/A 200-2022 prioriterade fågelarter.docx", "A 200-2022")</f>
        <v/>
      </c>
    </row>
    <row r="44" ht="15" customHeight="1">
      <c r="A44" t="inlineStr">
        <is>
          <t>A 52423-2025</t>
        </is>
      </c>
      <c r="B44" t="inlineStr">
        <is>
          <t>avverkningsanmälan</t>
        </is>
      </c>
      <c r="C44" t="inlineStr">
        <is>
          <t>Föryngringsavverkning</t>
        </is>
      </c>
      <c r="D44" s="1" t="n">
        <v>45954</v>
      </c>
      <c r="E44" s="1" t="n">
        <v>46221</v>
      </c>
      <c r="F44" t="inlineStr">
        <is>
          <t>VÄSTRA GÖTALANDS LÄN</t>
        </is>
      </c>
      <c r="G44" t="inlineStr">
        <is>
          <t>ALE</t>
        </is>
      </c>
      <c r="I44" t="n">
        <v>4.1</v>
      </c>
      <c r="J44" t="n">
        <v>1</v>
      </c>
      <c r="K44" t="n">
        <v>0</v>
      </c>
      <c r="L44" t="n">
        <v>0</v>
      </c>
      <c r="M44" t="n">
        <v>0</v>
      </c>
      <c r="N44" t="n">
        <v>0</v>
      </c>
      <c r="O44" t="n">
        <v>0</v>
      </c>
      <c r="P44" t="n">
        <v>0</v>
      </c>
      <c r="Q44" t="n">
        <v>0</v>
      </c>
      <c r="R44" t="n">
        <v>0</v>
      </c>
      <c r="S44" t="n">
        <v>1</v>
      </c>
      <c r="T44" t="n">
        <v>1</v>
      </c>
      <c r="U44" s="2" t="inlineStr">
        <is>
          <t>Trana</t>
        </is>
      </c>
      <c r="V44">
        <f>HYPERLINK("https://klasma.github.io/Logging_1440/artfynd/A 52423-2025 artfynd.xlsx", "A 52423-2025")</f>
        <v/>
      </c>
      <c r="W44">
        <f>HYPERLINK("https://klasma.github.io/Logging_1440/kartor/A 52423-2025 karta.png", "A 52423-2025")</f>
        <v/>
      </c>
      <c r="Y44">
        <f>HYPERLINK("https://klasma.github.io/Logging_1440/klagomål/A 52423-2025 FSC-klagomål.docx", "A 52423-2025")</f>
        <v/>
      </c>
      <c r="Z44">
        <f>HYPERLINK("https://klasma.github.io/Logging_1440/klagomålsmail/A 52423-2025 FSC-klagomål mail.docx", "A 52423-2025")</f>
        <v/>
      </c>
      <c r="AA44">
        <f>HYPERLINK("https://klasma.github.io/Logging_1440/tillsyn/A 52423-2025 tillsynsbegäran.docx", "A 52423-2025")</f>
        <v/>
      </c>
      <c r="AB44">
        <f>HYPERLINK("https://klasma.github.io/Logging_1440/tillsynsmail/A 52423-2025 tillsynsbegäran mail.docx", "A 52423-2025")</f>
        <v/>
      </c>
      <c r="AC44">
        <f>HYPERLINK("https://klasma.github.io/Logging_1440/fåglar/A 52423-2025 prioriterade fågelarter.docx", "A 52423-2025")</f>
        <v/>
      </c>
    </row>
    <row r="45" ht="15" customHeight="1">
      <c r="A45" t="inlineStr">
        <is>
          <t>A 9783-2026</t>
        </is>
      </c>
      <c r="B45" t="inlineStr">
        <is>
          <t>avverkningsanmälan</t>
        </is>
      </c>
      <c r="C45" t="inlineStr">
        <is>
          <t>Föryngringsavverkning</t>
        </is>
      </c>
      <c r="D45" s="1" t="n">
        <v>46072</v>
      </c>
      <c r="E45" s="1" t="n">
        <v>46221</v>
      </c>
      <c r="F45" t="inlineStr">
        <is>
          <t>VÄSTRA GÖTALANDS LÄN</t>
        </is>
      </c>
      <c r="G45" t="inlineStr">
        <is>
          <t>ALE</t>
        </is>
      </c>
      <c r="I45" t="n">
        <v>4.9</v>
      </c>
      <c r="J45" t="n">
        <v>1</v>
      </c>
      <c r="K45" t="n">
        <v>0</v>
      </c>
      <c r="L45" t="n">
        <v>0</v>
      </c>
      <c r="M45" t="n">
        <v>0</v>
      </c>
      <c r="N45" t="n">
        <v>0</v>
      </c>
      <c r="O45" t="n">
        <v>0</v>
      </c>
      <c r="P45" t="n">
        <v>0</v>
      </c>
      <c r="Q45" t="n">
        <v>0</v>
      </c>
      <c r="R45" t="n">
        <v>0</v>
      </c>
      <c r="S45" t="n">
        <v>1</v>
      </c>
      <c r="T45" t="n">
        <v>1</v>
      </c>
      <c r="U45" s="2" t="inlineStr">
        <is>
          <t>Lopplummer (aggregat)</t>
        </is>
      </c>
      <c r="V45">
        <f>HYPERLINK("https://klasma.github.io/Logging_1440/artfynd/A 9783-2026 artfynd.xlsx", "A 9783-2026")</f>
        <v/>
      </c>
      <c r="W45">
        <f>HYPERLINK("https://klasma.github.io/Logging_1440/kartor/A 9783-2026 karta.png", "A 9783-2026")</f>
        <v/>
      </c>
      <c r="Y45">
        <f>HYPERLINK("https://klasma.github.io/Logging_1440/klagomål/A 9783-2026 FSC-klagomål.docx", "A 9783-2026")</f>
        <v/>
      </c>
      <c r="Z45">
        <f>HYPERLINK("https://klasma.github.io/Logging_1440/klagomålsmail/A 9783-2026 FSC-klagomål mail.docx", "A 9783-2026")</f>
        <v/>
      </c>
      <c r="AA45">
        <f>HYPERLINK("https://klasma.github.io/Logging_1440/tillsyn/A 9783-2026 tillsynsbegäran.docx", "A 9783-2026")</f>
        <v/>
      </c>
      <c r="AB45">
        <f>HYPERLINK("https://klasma.github.io/Logging_1440/tillsynsmail/A 9783-2026 tillsynsbegäran mail.docx", "A 9783-2026")</f>
        <v/>
      </c>
    </row>
    <row r="46" ht="15" customHeight="1">
      <c r="A46" t="inlineStr">
        <is>
          <t>A 62524-2025</t>
        </is>
      </c>
      <c r="B46" t="inlineStr">
        <is>
          <t>avverkningsanmälan</t>
        </is>
      </c>
      <c r="C46" t="inlineStr">
        <is>
          <t>Föryngringsavverkning</t>
        </is>
      </c>
      <c r="D46" s="1" t="n">
        <v>46007</v>
      </c>
      <c r="E46" s="1" t="n">
        <v>46221</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s="2" t="inlineStr">
        <is>
          <t>Revlummer</t>
        </is>
      </c>
      <c r="V46">
        <f>HYPERLINK("https://klasma.github.io/Logging_1440/artfynd/A 62524-2025 artfynd.xlsx", "A 62524-2025")</f>
        <v/>
      </c>
      <c r="W46">
        <f>HYPERLINK("https://klasma.github.io/Logging_1440/kartor/A 62524-2025 karta.png", "A 62524-2025")</f>
        <v/>
      </c>
      <c r="Y46">
        <f>HYPERLINK("https://klasma.github.io/Logging_1440/klagomål/A 62524-2025 FSC-klagomål.docx", "A 62524-2025")</f>
        <v/>
      </c>
      <c r="Z46">
        <f>HYPERLINK("https://klasma.github.io/Logging_1440/klagomålsmail/A 62524-2025 FSC-klagomål mail.docx", "A 62524-2025")</f>
        <v/>
      </c>
      <c r="AA46">
        <f>HYPERLINK("https://klasma.github.io/Logging_1440/tillsyn/A 62524-2025 tillsynsbegäran.docx", "A 62524-2025")</f>
        <v/>
      </c>
      <c r="AB46">
        <f>HYPERLINK("https://klasma.github.io/Logging_1440/tillsynsmail/A 62524-2025 tillsynsbegäran mail.docx", "A 62524-2025")</f>
        <v/>
      </c>
    </row>
    <row r="47" ht="15" customHeight="1">
      <c r="A47" t="inlineStr">
        <is>
          <t>A 8659-2025</t>
        </is>
      </c>
      <c r="B47" t="inlineStr">
        <is>
          <t>avverkningsanmälan</t>
        </is>
      </c>
      <c r="C47" t="inlineStr">
        <is>
          <t>Föryngringsavverkning</t>
        </is>
      </c>
      <c r="D47" s="1" t="n">
        <v>45712</v>
      </c>
      <c r="E47" s="1" t="n">
        <v>46221</v>
      </c>
      <c r="F47" t="inlineStr">
        <is>
          <t>VÄSTRA GÖTALANDS LÄN</t>
        </is>
      </c>
      <c r="G47" t="inlineStr">
        <is>
          <t>ALE</t>
        </is>
      </c>
      <c r="I47" t="n">
        <v>5.7</v>
      </c>
      <c r="J47" t="n">
        <v>1</v>
      </c>
      <c r="K47" t="n">
        <v>0</v>
      </c>
      <c r="L47" t="n">
        <v>0</v>
      </c>
      <c r="M47" t="n">
        <v>0</v>
      </c>
      <c r="N47" t="n">
        <v>0</v>
      </c>
      <c r="O47" t="n">
        <v>0</v>
      </c>
      <c r="P47" t="n">
        <v>0</v>
      </c>
      <c r="Q47" t="n">
        <v>0</v>
      </c>
      <c r="R47" t="n">
        <v>0</v>
      </c>
      <c r="S47" t="n">
        <v>1</v>
      </c>
      <c r="T47" t="n">
        <v>1</v>
      </c>
      <c r="U47" s="2" t="inlineStr">
        <is>
          <t>Kungsfågel</t>
        </is>
      </c>
      <c r="V47">
        <f>HYPERLINK("https://klasma.github.io/Logging_1440/artfynd/A 8659-2025 artfynd.xlsx", "A 8659-2025")</f>
        <v/>
      </c>
      <c r="W47">
        <f>HYPERLINK("https://klasma.github.io/Logging_1440/kartor/A 8659-2025 karta.png", "A 8659-2025")</f>
        <v/>
      </c>
      <c r="Y47">
        <f>HYPERLINK("https://klasma.github.io/Logging_1440/klagomål/A 8659-2025 FSC-klagomål.docx", "A 8659-2025")</f>
        <v/>
      </c>
      <c r="Z47">
        <f>HYPERLINK("https://klasma.github.io/Logging_1440/klagomålsmail/A 8659-2025 FSC-klagomål mail.docx", "A 8659-2025")</f>
        <v/>
      </c>
      <c r="AA47">
        <f>HYPERLINK("https://klasma.github.io/Logging_1440/tillsyn/A 8659-2025 tillsynsbegäran.docx", "A 8659-2025")</f>
        <v/>
      </c>
      <c r="AB47">
        <f>HYPERLINK("https://klasma.github.io/Logging_1440/tillsynsmail/A 8659-2025 tillsynsbegäran mail.docx", "A 8659-2025")</f>
        <v/>
      </c>
    </row>
    <row r="48" ht="15" customHeight="1">
      <c r="A48" t="inlineStr">
        <is>
          <t>A 41598-2022</t>
        </is>
      </c>
      <c r="B48" t="inlineStr">
        <is>
          <t>avverkningsanmälan</t>
        </is>
      </c>
      <c r="C48" t="inlineStr">
        <is>
          <t>Föryngringsavverkning</t>
        </is>
      </c>
      <c r="D48" s="1" t="n">
        <v>44827</v>
      </c>
      <c r="E48" s="1" t="n">
        <v>46221</v>
      </c>
      <c r="F48" t="inlineStr">
        <is>
          <t>VÄSTRA GÖTALANDS LÄN</t>
        </is>
      </c>
      <c r="G48" t="inlineStr">
        <is>
          <t>ALE</t>
        </is>
      </c>
      <c r="I48" t="n">
        <v>2</v>
      </c>
      <c r="J48" t="n">
        <v>1</v>
      </c>
      <c r="K48" t="n">
        <v>0</v>
      </c>
      <c r="L48" t="n">
        <v>0</v>
      </c>
      <c r="M48" t="n">
        <v>0</v>
      </c>
      <c r="N48" t="n">
        <v>0</v>
      </c>
      <c r="O48" t="n">
        <v>0</v>
      </c>
      <c r="P48" t="n">
        <v>0</v>
      </c>
      <c r="Q48" t="n">
        <v>0</v>
      </c>
      <c r="R48" t="n">
        <v>0</v>
      </c>
      <c r="S48" t="n">
        <v>1</v>
      </c>
      <c r="T48" t="n">
        <v>1</v>
      </c>
      <c r="U48" s="2" t="inlineStr">
        <is>
          <t>Grönvit nattviol</t>
        </is>
      </c>
      <c r="V48">
        <f>HYPERLINK("https://klasma.github.io/Logging_1440/artfynd/A 41598-2022 artfynd.xlsx", "A 41598-2022")</f>
        <v/>
      </c>
      <c r="W48">
        <f>HYPERLINK("https://klasma.github.io/Logging_1440/kartor/A 41598-2022 karta.png", "A 41598-2022")</f>
        <v/>
      </c>
      <c r="Y48">
        <f>HYPERLINK("https://klasma.github.io/Logging_1440/klagomål/A 41598-2022 FSC-klagomål.docx", "A 41598-2022")</f>
        <v/>
      </c>
      <c r="Z48">
        <f>HYPERLINK("https://klasma.github.io/Logging_1440/klagomålsmail/A 41598-2022 FSC-klagomål mail.docx", "A 41598-2022")</f>
        <v/>
      </c>
      <c r="AA48">
        <f>HYPERLINK("https://klasma.github.io/Logging_1440/tillsyn/A 41598-2022 tillsynsbegäran.docx", "A 41598-2022")</f>
        <v/>
      </c>
      <c r="AB48">
        <f>HYPERLINK("https://klasma.github.io/Logging_1440/tillsynsmail/A 41598-2022 tillsynsbegäran mail.docx", "A 41598-2022")</f>
        <v/>
      </c>
    </row>
    <row r="49" ht="15" customHeight="1">
      <c r="A49" t="inlineStr">
        <is>
          <t>A 26493-2024</t>
        </is>
      </c>
      <c r="B49" t="inlineStr">
        <is>
          <t>avverkningsanmälan</t>
        </is>
      </c>
      <c r="C49" t="inlineStr">
        <is>
          <t>Avverkning för annat ändamål</t>
        </is>
      </c>
      <c r="D49" s="1" t="n">
        <v>45469</v>
      </c>
      <c r="E49" s="1" t="n">
        <v>46221</v>
      </c>
      <c r="F49" t="inlineStr">
        <is>
          <t>VÄSTRA GÖTALANDS LÄN</t>
        </is>
      </c>
      <c r="G49" t="inlineStr">
        <is>
          <t>ALE</t>
        </is>
      </c>
      <c r="I49" t="n">
        <v>1.6</v>
      </c>
      <c r="J49" t="n">
        <v>1</v>
      </c>
      <c r="K49" t="n">
        <v>0</v>
      </c>
      <c r="L49" t="n">
        <v>0</v>
      </c>
      <c r="M49" t="n">
        <v>0</v>
      </c>
      <c r="N49" t="n">
        <v>0</v>
      </c>
      <c r="O49" t="n">
        <v>0</v>
      </c>
      <c r="P49" t="n">
        <v>0</v>
      </c>
      <c r="Q49" t="n">
        <v>0</v>
      </c>
      <c r="R49" t="n">
        <v>0</v>
      </c>
      <c r="S49" t="n">
        <v>1</v>
      </c>
      <c r="T49" t="n">
        <v>6</v>
      </c>
      <c r="U49" s="2" t="inlineStr">
        <is>
          <t>Grönvit nattviol</t>
        </is>
      </c>
      <c r="V49">
        <f>HYPERLINK("https://klasma.github.io/Logging_1440/artfynd/A 26493-2024 artfynd.xlsx", "A 26493-2024")</f>
        <v/>
      </c>
      <c r="W49">
        <f>HYPERLINK("https://klasma.github.io/Logging_1440/kartor/A 26493-2024 karta.png", "A 26493-2024")</f>
        <v/>
      </c>
      <c r="Y49">
        <f>HYPERLINK("https://klasma.github.io/Logging_1440/klagomål/A 26493-2024 FSC-klagomål.docx", "A 26493-2024")</f>
        <v/>
      </c>
      <c r="Z49">
        <f>HYPERLINK("https://klasma.github.io/Logging_1440/klagomålsmail/A 26493-2024 FSC-klagomål mail.docx", "A 26493-2024")</f>
        <v/>
      </c>
      <c r="AA49">
        <f>HYPERLINK("https://klasma.github.io/Logging_1440/tillsyn/A 26493-2024 tillsynsbegäran.docx", "A 26493-2024")</f>
        <v/>
      </c>
      <c r="AB49">
        <f>HYPERLINK("https://klasma.github.io/Logging_1440/tillsynsmail/A 26493-2024 tillsynsbegäran mail.docx", "A 26493-2024")</f>
        <v/>
      </c>
    </row>
    <row r="50" ht="15" customHeight="1">
      <c r="A50" t="inlineStr">
        <is>
          <t>A 33237-2024</t>
        </is>
      </c>
      <c r="B50" t="inlineStr">
        <is>
          <t>avverkningsanmälan</t>
        </is>
      </c>
      <c r="C50" t="inlineStr">
        <is>
          <t>Föryngringsavverkning</t>
        </is>
      </c>
      <c r="D50" s="1" t="n">
        <v>45518</v>
      </c>
      <c r="E50" s="1" t="n">
        <v>46221</v>
      </c>
      <c r="F50" t="inlineStr">
        <is>
          <t>VÄSTRA GÖTALANDS LÄN</t>
        </is>
      </c>
      <c r="G50" t="inlineStr">
        <is>
          <t>ALE</t>
        </is>
      </c>
      <c r="I50" t="n">
        <v>0.6</v>
      </c>
      <c r="J50" t="n">
        <v>0</v>
      </c>
      <c r="K50" t="n">
        <v>0</v>
      </c>
      <c r="L50" t="n">
        <v>0</v>
      </c>
      <c r="M50" t="n">
        <v>1</v>
      </c>
      <c r="N50" t="n">
        <v>0</v>
      </c>
      <c r="O50" t="n">
        <v>0</v>
      </c>
      <c r="P50" t="n">
        <v>0</v>
      </c>
      <c r="Q50" t="n">
        <v>1</v>
      </c>
      <c r="R50" t="n">
        <v>1</v>
      </c>
      <c r="S50" t="n">
        <v>1</v>
      </c>
      <c r="T50" t="n">
        <v>1</v>
      </c>
      <c r="U50" s="2" t="inlineStr">
        <is>
          <t>Igelkott</t>
        </is>
      </c>
      <c r="V50">
        <f>HYPERLINK("https://klasma.github.io/Logging_1440/artfynd/A 33237-2024 artfynd.xlsx", "A 33237-2024")</f>
        <v/>
      </c>
      <c r="W50">
        <f>HYPERLINK("https://klasma.github.io/Logging_1440/kartor/A 33237-2024 karta.png", "A 33237-2024")</f>
        <v/>
      </c>
      <c r="Y50">
        <f>HYPERLINK("https://klasma.github.io/Logging_1440/klagomål/A 33237-2024 FSC-klagomål.docx", "A 33237-2024")</f>
        <v/>
      </c>
      <c r="Z50">
        <f>HYPERLINK("https://klasma.github.io/Logging_1440/klagomålsmail/A 33237-2024 FSC-klagomål mail.docx", "A 33237-2024")</f>
        <v/>
      </c>
      <c r="AA50">
        <f>HYPERLINK("https://klasma.github.io/Logging_1440/tillsyn/A 33237-2024 tillsynsbegäran.docx", "A 33237-2024")</f>
        <v/>
      </c>
      <c r="AB50">
        <f>HYPERLINK("https://klasma.github.io/Logging_1440/tillsynsmail/A 33237-2024 tillsynsbegäran mail.docx", "A 33237-2024")</f>
        <v/>
      </c>
    </row>
    <row r="51" ht="15" customHeight="1">
      <c r="A51" t="inlineStr">
        <is>
          <t>A 4363-2024</t>
        </is>
      </c>
      <c r="B51" t="inlineStr">
        <is>
          <t>avverkningsanmälan</t>
        </is>
      </c>
      <c r="C51" t="inlineStr">
        <is>
          <t>Avverkning för annat ändamål</t>
        </is>
      </c>
      <c r="D51" s="1" t="n">
        <v>45325</v>
      </c>
      <c r="E51" s="1" t="n">
        <v>46221</v>
      </c>
      <c r="F51" t="inlineStr">
        <is>
          <t>VÄSTRA GÖTALANDS LÄN</t>
        </is>
      </c>
      <c r="G51" t="inlineStr">
        <is>
          <t>ALE</t>
        </is>
      </c>
      <c r="I51" t="n">
        <v>0.6</v>
      </c>
      <c r="J51" t="n">
        <v>1</v>
      </c>
      <c r="K51" t="n">
        <v>0</v>
      </c>
      <c r="L51" t="n">
        <v>0</v>
      </c>
      <c r="M51" t="n">
        <v>0</v>
      </c>
      <c r="N51" t="n">
        <v>0</v>
      </c>
      <c r="O51" t="n">
        <v>0</v>
      </c>
      <c r="P51" t="n">
        <v>0</v>
      </c>
      <c r="Q51" t="n">
        <v>0</v>
      </c>
      <c r="R51" t="n">
        <v>0</v>
      </c>
      <c r="S51" t="n">
        <v>1</v>
      </c>
      <c r="T51" t="n">
        <v>1</v>
      </c>
      <c r="U51" s="2" t="inlineStr">
        <is>
          <t>Spillkråka</t>
        </is>
      </c>
      <c r="V51">
        <f>HYPERLINK("https://klasma.github.io/Logging_1440/artfynd/A 4363-2024 artfynd.xlsx", "A 4363-2024")</f>
        <v/>
      </c>
      <c r="W51">
        <f>HYPERLINK("https://klasma.github.io/Logging_1440/kartor/A 4363-2024 karta.png", "A 4363-2024")</f>
        <v/>
      </c>
      <c r="Y51">
        <f>HYPERLINK("https://klasma.github.io/Logging_1440/klagomål/A 4363-2024 FSC-klagomål.docx", "A 4363-2024")</f>
        <v/>
      </c>
      <c r="Z51">
        <f>HYPERLINK("https://klasma.github.io/Logging_1440/klagomålsmail/A 4363-2024 FSC-klagomål mail.docx", "A 4363-2024")</f>
        <v/>
      </c>
      <c r="AA51">
        <f>HYPERLINK("https://klasma.github.io/Logging_1440/tillsyn/A 4363-2024 tillsynsbegäran.docx", "A 4363-2024")</f>
        <v/>
      </c>
      <c r="AB51">
        <f>HYPERLINK("https://klasma.github.io/Logging_1440/tillsynsmail/A 4363-2024 tillsynsbegäran mail.docx", "A 4363-2024")</f>
        <v/>
      </c>
      <c r="AC51">
        <f>HYPERLINK("https://klasma.github.io/Logging_1440/fåglar/A 4363-2024 prioriterade fågelarter.docx", "A 4363-2024")</f>
        <v/>
      </c>
    </row>
    <row r="52" ht="15" customHeight="1">
      <c r="A52" t="inlineStr">
        <is>
          <t>S 1062-2023</t>
        </is>
      </c>
      <c r="B52" t="inlineStr">
        <is>
          <t>samrådsanmälan</t>
        </is>
      </c>
      <c r="C52" t="inlineStr">
        <is>
          <t>Annan skogsbruksåtgärd</t>
        </is>
      </c>
      <c r="D52" s="1" t="n">
        <v>45011</v>
      </c>
      <c r="E52" s="1" t="n">
        <v>46221</v>
      </c>
      <c r="F52" t="inlineStr">
        <is>
          <t>VÄSTRA GÖTALANDS LÄN</t>
        </is>
      </c>
      <c r="G52" t="inlineStr">
        <is>
          <t>ALE</t>
        </is>
      </c>
      <c r="I52" t="n">
        <v>2.2</v>
      </c>
      <c r="J52" t="n">
        <v>0</v>
      </c>
      <c r="K52" t="n">
        <v>1</v>
      </c>
      <c r="L52" t="n">
        <v>0</v>
      </c>
      <c r="M52" t="n">
        <v>0</v>
      </c>
      <c r="N52" t="n">
        <v>0</v>
      </c>
      <c r="O52" t="n">
        <v>0</v>
      </c>
      <c r="P52" t="n">
        <v>0</v>
      </c>
      <c r="Q52" t="n">
        <v>0</v>
      </c>
      <c r="R52" t="n">
        <v>0</v>
      </c>
      <c r="S52" t="n">
        <v>1</v>
      </c>
      <c r="T52" t="n">
        <v>5</v>
      </c>
      <c r="U52" s="2" t="inlineStr">
        <is>
          <t>Guldlockmossa</t>
        </is>
      </c>
      <c r="V52">
        <f>HYPERLINK("https://klasma.github.io/Logging_1440/artfynd/S 1062-2023 artfynd.xlsx", "S 1062-2023")</f>
        <v/>
      </c>
      <c r="W52">
        <f>HYPERLINK("https://klasma.github.io/Logging_1440/kartor/S 1062-2023 karta.png", "S 1062-2023")</f>
        <v/>
      </c>
      <c r="Y52">
        <f>HYPERLINK("https://klasma.github.io/Logging_1440/klagomål/S 1062-2023 FSC-klagomål.docx", "S 1062-2023")</f>
        <v/>
      </c>
      <c r="Z52">
        <f>HYPERLINK("https://klasma.github.io/Logging_1440/klagomålsmail/S 1062-2023 FSC-klagomål mail.docx", "S 1062-2023")</f>
        <v/>
      </c>
      <c r="AA52">
        <f>HYPERLINK("https://klasma.github.io/Logging_1440/tillsyn/S 1062-2023 tillsynsbegäran.docx", "S 1062-2023")</f>
        <v/>
      </c>
      <c r="AB52">
        <f>HYPERLINK("https://klasma.github.io/Logging_1440/tillsynsmail/S 1062-2023 tillsynsbegäran mail.docx", "S 1062-2023")</f>
        <v/>
      </c>
    </row>
    <row r="53" ht="15" customHeight="1">
      <c r="A53" t="inlineStr">
        <is>
          <t>A 62855-2021</t>
        </is>
      </c>
      <c r="B53" t="inlineStr">
        <is>
          <t>avverkningsanmälan</t>
        </is>
      </c>
      <c r="C53" t="inlineStr">
        <is>
          <t>Föryngringsavverkning</t>
        </is>
      </c>
      <c r="D53" s="1" t="n">
        <v>44504</v>
      </c>
      <c r="E53" s="1" t="n">
        <v>46221</v>
      </c>
      <c r="F53" t="inlineStr">
        <is>
          <t>VÄSTRA GÖTALANDS LÄN</t>
        </is>
      </c>
      <c r="G53" t="inlineStr">
        <is>
          <t>ALE</t>
        </is>
      </c>
      <c r="I53" t="n">
        <v>5.6</v>
      </c>
      <c r="J53" t="n">
        <v>0</v>
      </c>
      <c r="K53" t="n">
        <v>0</v>
      </c>
      <c r="L53" t="n">
        <v>0</v>
      </c>
      <c r="M53" t="n">
        <v>0</v>
      </c>
      <c r="N53" t="n">
        <v>0</v>
      </c>
      <c r="O53" t="n">
        <v>0</v>
      </c>
      <c r="P53" t="n">
        <v>0</v>
      </c>
      <c r="Q53" t="n">
        <v>0</v>
      </c>
      <c r="R53" t="n">
        <v>0</v>
      </c>
      <c r="S53" t="n">
        <v>0</v>
      </c>
      <c r="T53" t="n">
        <v>0</v>
      </c>
      <c r="U53" s="2" t="inlineStr"/>
    </row>
    <row r="54" ht="15" customHeight="1">
      <c r="A54" t="inlineStr">
        <is>
          <t>A 67165-2021</t>
        </is>
      </c>
      <c r="B54" t="inlineStr">
        <is>
          <t>avverkningsanmälan</t>
        </is>
      </c>
      <c r="C54" t="inlineStr">
        <is>
          <t>Föryngringsavverkning</t>
        </is>
      </c>
      <c r="D54" s="1" t="n">
        <v>44523</v>
      </c>
      <c r="E54" s="1" t="n">
        <v>46221</v>
      </c>
      <c r="F54" t="inlineStr">
        <is>
          <t>VÄSTRA GÖTALANDS LÄN</t>
        </is>
      </c>
      <c r="G54" t="inlineStr">
        <is>
          <t>ALE</t>
        </is>
      </c>
      <c r="I54" t="n">
        <v>0.5</v>
      </c>
      <c r="J54" t="n">
        <v>0</v>
      </c>
      <c r="K54" t="n">
        <v>0</v>
      </c>
      <c r="L54" t="n">
        <v>0</v>
      </c>
      <c r="M54" t="n">
        <v>0</v>
      </c>
      <c r="N54" t="n">
        <v>0</v>
      </c>
      <c r="O54" t="n">
        <v>0</v>
      </c>
      <c r="P54" t="n">
        <v>0</v>
      </c>
      <c r="Q54" t="n">
        <v>0</v>
      </c>
      <c r="R54" t="n">
        <v>0</v>
      </c>
      <c r="S54" t="n">
        <v>0</v>
      </c>
      <c r="T54" t="n">
        <v>0</v>
      </c>
      <c r="U54" s="2" t="inlineStr"/>
    </row>
    <row r="55" ht="15" customHeight="1">
      <c r="A55" t="inlineStr">
        <is>
          <t>A 49955-2021</t>
        </is>
      </c>
      <c r="B55" t="inlineStr">
        <is>
          <t>avverkningsanmälan</t>
        </is>
      </c>
      <c r="C55" t="inlineStr">
        <is>
          <t>Föryngringsavverkning</t>
        </is>
      </c>
      <c r="D55" s="1" t="n">
        <v>44456</v>
      </c>
      <c r="E55" s="1" t="n">
        <v>46221</v>
      </c>
      <c r="F55" t="inlineStr">
        <is>
          <t>VÄSTRA GÖTALANDS LÄN</t>
        </is>
      </c>
      <c r="G55" t="inlineStr">
        <is>
          <t>ALE</t>
        </is>
      </c>
      <c r="I55" t="n">
        <v>2.2</v>
      </c>
      <c r="J55" t="n">
        <v>0</v>
      </c>
      <c r="K55" t="n">
        <v>0</v>
      </c>
      <c r="L55" t="n">
        <v>0</v>
      </c>
      <c r="M55" t="n">
        <v>0</v>
      </c>
      <c r="N55" t="n">
        <v>0</v>
      </c>
      <c r="O55" t="n">
        <v>0</v>
      </c>
      <c r="P55" t="n">
        <v>0</v>
      </c>
      <c r="Q55" t="n">
        <v>0</v>
      </c>
      <c r="R55" t="n">
        <v>0</v>
      </c>
      <c r="S55" t="n">
        <v>0</v>
      </c>
      <c r="T55" t="n">
        <v>0</v>
      </c>
      <c r="U55" s="2" t="inlineStr"/>
    </row>
    <row r="56" ht="15" customHeight="1">
      <c r="A56" t="inlineStr">
        <is>
          <t>A 3179-2022</t>
        </is>
      </c>
      <c r="B56" t="inlineStr">
        <is>
          <t>avverkningsanmälan</t>
        </is>
      </c>
      <c r="C56" t="inlineStr">
        <is>
          <t>Föryngringsavverkning</t>
        </is>
      </c>
      <c r="D56" s="1" t="n">
        <v>44582</v>
      </c>
      <c r="E56" s="1" t="n">
        <v>46221</v>
      </c>
      <c r="F56" t="inlineStr">
        <is>
          <t>VÄSTRA GÖTALANDS LÄN</t>
        </is>
      </c>
      <c r="G56" t="inlineStr">
        <is>
          <t>ALE</t>
        </is>
      </c>
      <c r="I56" t="n">
        <v>2.9</v>
      </c>
      <c r="J56" t="n">
        <v>0</v>
      </c>
      <c r="K56" t="n">
        <v>0</v>
      </c>
      <c r="L56" t="n">
        <v>0</v>
      </c>
      <c r="M56" t="n">
        <v>0</v>
      </c>
      <c r="N56" t="n">
        <v>0</v>
      </c>
      <c r="O56" t="n">
        <v>0</v>
      </c>
      <c r="P56" t="n">
        <v>0</v>
      </c>
      <c r="Q56" t="n">
        <v>0</v>
      </c>
      <c r="R56" t="n">
        <v>0</v>
      </c>
      <c r="S56" t="n">
        <v>0</v>
      </c>
      <c r="T56" t="n">
        <v>0</v>
      </c>
      <c r="U56" s="2" t="inlineStr"/>
    </row>
    <row r="57" ht="15" customHeight="1">
      <c r="A57" t="inlineStr">
        <is>
          <t>A 65222-2021</t>
        </is>
      </c>
      <c r="B57" t="inlineStr">
        <is>
          <t>avverkningsanmälan</t>
        </is>
      </c>
      <c r="C57" t="inlineStr">
        <is>
          <t>Föryngringsavverkning</t>
        </is>
      </c>
      <c r="D57" s="1" t="n">
        <v>44515</v>
      </c>
      <c r="E57" s="1" t="n">
        <v>46221</v>
      </c>
      <c r="F57" t="inlineStr">
        <is>
          <t>VÄSTRA GÖTALANDS LÄN</t>
        </is>
      </c>
      <c r="G57" t="inlineStr">
        <is>
          <t>ALE</t>
        </is>
      </c>
      <c r="I57" t="n">
        <v>1.2</v>
      </c>
      <c r="J57" t="n">
        <v>0</v>
      </c>
      <c r="K57" t="n">
        <v>0</v>
      </c>
      <c r="L57" t="n">
        <v>0</v>
      </c>
      <c r="M57" t="n">
        <v>0</v>
      </c>
      <c r="N57" t="n">
        <v>0</v>
      </c>
      <c r="O57" t="n">
        <v>0</v>
      </c>
      <c r="P57" t="n">
        <v>0</v>
      </c>
      <c r="Q57" t="n">
        <v>0</v>
      </c>
      <c r="R57" t="n">
        <v>0</v>
      </c>
      <c r="S57" t="n">
        <v>0</v>
      </c>
      <c r="T57" t="n">
        <v>0</v>
      </c>
      <c r="U57" s="2" t="inlineStr"/>
    </row>
    <row r="58" ht="15" customHeight="1">
      <c r="A58" t="inlineStr">
        <is>
          <t>A 66893-2021</t>
        </is>
      </c>
      <c r="B58" t="inlineStr">
        <is>
          <t>avverkningsanmälan</t>
        </is>
      </c>
      <c r="C58" t="inlineStr">
        <is>
          <t>Föryngringsavverkning</t>
        </is>
      </c>
      <c r="D58" s="1" t="n">
        <v>44522</v>
      </c>
      <c r="E58" s="1" t="n">
        <v>46221</v>
      </c>
      <c r="F58" t="inlineStr">
        <is>
          <t>VÄSTRA GÖTALANDS LÄN</t>
        </is>
      </c>
      <c r="G58" t="inlineStr">
        <is>
          <t>ALE</t>
        </is>
      </c>
      <c r="I58" t="n">
        <v>1.4</v>
      </c>
      <c r="J58" t="n">
        <v>0</v>
      </c>
      <c r="K58" t="n">
        <v>0</v>
      </c>
      <c r="L58" t="n">
        <v>0</v>
      </c>
      <c r="M58" t="n">
        <v>0</v>
      </c>
      <c r="N58" t="n">
        <v>0</v>
      </c>
      <c r="O58" t="n">
        <v>0</v>
      </c>
      <c r="P58" t="n">
        <v>0</v>
      </c>
      <c r="Q58" t="n">
        <v>0</v>
      </c>
      <c r="R58" t="n">
        <v>0</v>
      </c>
      <c r="S58" t="n">
        <v>0</v>
      </c>
      <c r="T58" t="n">
        <v>0</v>
      </c>
      <c r="U58" s="2" t="inlineStr"/>
    </row>
    <row r="59" ht="15" customHeight="1">
      <c r="A59" t="inlineStr">
        <is>
          <t>A 15508-2022</t>
        </is>
      </c>
      <c r="B59" t="inlineStr">
        <is>
          <t>avverkningsanmälan</t>
        </is>
      </c>
      <c r="C59" t="inlineStr">
        <is>
          <t>Föryngringsavverkning</t>
        </is>
      </c>
      <c r="D59" s="1" t="n">
        <v>44662</v>
      </c>
      <c r="E59" s="1" t="n">
        <v>46221</v>
      </c>
      <c r="F59" t="inlineStr">
        <is>
          <t>VÄSTRA GÖTALANDS LÄN</t>
        </is>
      </c>
      <c r="G59" t="inlineStr">
        <is>
          <t>ALE</t>
        </is>
      </c>
      <c r="I59" t="n">
        <v>0.4</v>
      </c>
      <c r="J59" t="n">
        <v>0</v>
      </c>
      <c r="K59" t="n">
        <v>0</v>
      </c>
      <c r="L59" t="n">
        <v>0</v>
      </c>
      <c r="M59" t="n">
        <v>0</v>
      </c>
      <c r="N59" t="n">
        <v>0</v>
      </c>
      <c r="O59" t="n">
        <v>0</v>
      </c>
      <c r="P59" t="n">
        <v>0</v>
      </c>
      <c r="Q59" t="n">
        <v>0</v>
      </c>
      <c r="R59" t="n">
        <v>0</v>
      </c>
      <c r="S59" t="n">
        <v>0</v>
      </c>
      <c r="T59" t="n">
        <v>0</v>
      </c>
      <c r="U59" s="2" t="inlineStr"/>
    </row>
    <row r="60" ht="15" customHeight="1">
      <c r="A60" t="inlineStr">
        <is>
          <t>A 46391-2021</t>
        </is>
      </c>
      <c r="B60" t="inlineStr">
        <is>
          <t>avverkningsanmälan</t>
        </is>
      </c>
      <c r="C60" t="inlineStr">
        <is>
          <t>Avverkning för annat ändamål</t>
        </is>
      </c>
      <c r="D60" s="1" t="n">
        <v>44443</v>
      </c>
      <c r="E60" s="1" t="n">
        <v>46221</v>
      </c>
      <c r="F60" t="inlineStr">
        <is>
          <t>VÄSTRA GÖTALANDS LÄN</t>
        </is>
      </c>
      <c r="G60" t="inlineStr">
        <is>
          <t>ALE</t>
        </is>
      </c>
      <c r="I60" t="n">
        <v>1.3</v>
      </c>
      <c r="J60" t="n">
        <v>0</v>
      </c>
      <c r="K60" t="n">
        <v>0</v>
      </c>
      <c r="L60" t="n">
        <v>0</v>
      </c>
      <c r="M60" t="n">
        <v>0</v>
      </c>
      <c r="N60" t="n">
        <v>0</v>
      </c>
      <c r="O60" t="n">
        <v>0</v>
      </c>
      <c r="P60" t="n">
        <v>0</v>
      </c>
      <c r="Q60" t="n">
        <v>0</v>
      </c>
      <c r="R60" t="n">
        <v>0</v>
      </c>
      <c r="S60" t="n">
        <v>0</v>
      </c>
      <c r="T60" t="n">
        <v>0</v>
      </c>
      <c r="U60" s="2" t="inlineStr"/>
    </row>
    <row r="61" ht="15" customHeight="1">
      <c r="A61" t="inlineStr">
        <is>
          <t>A 53144-2021</t>
        </is>
      </c>
      <c r="B61" t="inlineStr">
        <is>
          <t>avverkningsanmälan</t>
        </is>
      </c>
      <c r="C61" t="inlineStr">
        <is>
          <t>Föryngringsavverkning</t>
        </is>
      </c>
      <c r="D61" s="1" t="n">
        <v>44468</v>
      </c>
      <c r="E61" s="1" t="n">
        <v>46221</v>
      </c>
      <c r="F61" t="inlineStr">
        <is>
          <t>VÄSTRA GÖTALANDS LÄN</t>
        </is>
      </c>
      <c r="G61" t="inlineStr">
        <is>
          <t>ALE</t>
        </is>
      </c>
      <c r="I61" t="n">
        <v>2.6</v>
      </c>
      <c r="J61" t="n">
        <v>0</v>
      </c>
      <c r="K61" t="n">
        <v>0</v>
      </c>
      <c r="L61" t="n">
        <v>0</v>
      </c>
      <c r="M61" t="n">
        <v>0</v>
      </c>
      <c r="N61" t="n">
        <v>0</v>
      </c>
      <c r="O61" t="n">
        <v>0</v>
      </c>
      <c r="P61" t="n">
        <v>0</v>
      </c>
      <c r="Q61" t="n">
        <v>0</v>
      </c>
      <c r="R61" t="n">
        <v>0</v>
      </c>
      <c r="S61" t="n">
        <v>0</v>
      </c>
      <c r="T61" t="n">
        <v>0</v>
      </c>
      <c r="U61" s="2" t="inlineStr"/>
    </row>
    <row r="62" ht="15" customHeight="1">
      <c r="A62" t="inlineStr">
        <is>
          <t>A 20285-2022</t>
        </is>
      </c>
      <c r="B62" t="inlineStr">
        <is>
          <t>avverkningsanmälan</t>
        </is>
      </c>
      <c r="C62" t="inlineStr">
        <is>
          <t>Föryngringsavverkning</t>
        </is>
      </c>
      <c r="D62" s="1" t="n">
        <v>44698</v>
      </c>
      <c r="E62" s="1" t="n">
        <v>46221</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s="2" t="inlineStr"/>
    </row>
    <row r="63" ht="15" customHeight="1">
      <c r="A63" t="inlineStr">
        <is>
          <t>A 53476-2023</t>
        </is>
      </c>
      <c r="B63" t="inlineStr">
        <is>
          <t>avverkningsanmälan</t>
        </is>
      </c>
      <c r="C63" t="inlineStr">
        <is>
          <t>Föryngringsavverkning</t>
        </is>
      </c>
      <c r="D63" s="1" t="n">
        <v>45230</v>
      </c>
      <c r="E63" s="1" t="n">
        <v>46221</v>
      </c>
      <c r="F63" t="inlineStr">
        <is>
          <t>VÄSTRA GÖTALANDS LÄN</t>
        </is>
      </c>
      <c r="G63" t="inlineStr">
        <is>
          <t>ALE</t>
        </is>
      </c>
      <c r="I63" t="n">
        <v>1.9</v>
      </c>
      <c r="J63" t="n">
        <v>0</v>
      </c>
      <c r="K63" t="n">
        <v>0</v>
      </c>
      <c r="L63" t="n">
        <v>0</v>
      </c>
      <c r="M63" t="n">
        <v>0</v>
      </c>
      <c r="N63" t="n">
        <v>0</v>
      </c>
      <c r="O63" t="n">
        <v>0</v>
      </c>
      <c r="P63" t="n">
        <v>0</v>
      </c>
      <c r="Q63" t="n">
        <v>0</v>
      </c>
      <c r="R63" t="n">
        <v>0</v>
      </c>
      <c r="S63" t="n">
        <v>0</v>
      </c>
      <c r="T63" t="n">
        <v>0</v>
      </c>
      <c r="U63" s="2" t="inlineStr"/>
    </row>
    <row r="64" ht="15" customHeight="1">
      <c r="A64" t="inlineStr">
        <is>
          <t>A 26157-2023</t>
        </is>
      </c>
      <c r="B64" t="inlineStr">
        <is>
          <t>avverkningsanmälan</t>
        </is>
      </c>
      <c r="C64" t="inlineStr">
        <is>
          <t>Föryngringsavverkning</t>
        </is>
      </c>
      <c r="D64" s="1" t="n">
        <v>45091</v>
      </c>
      <c r="E64" s="1" t="n">
        <v>46221</v>
      </c>
      <c r="F64" t="inlineStr">
        <is>
          <t>VÄSTRA GÖTALANDS LÄN</t>
        </is>
      </c>
      <c r="G64" t="inlineStr">
        <is>
          <t>ALE</t>
        </is>
      </c>
      <c r="I64" t="n">
        <v>2.6</v>
      </c>
      <c r="J64" t="n">
        <v>0</v>
      </c>
      <c r="K64" t="n">
        <v>0</v>
      </c>
      <c r="L64" t="n">
        <v>0</v>
      </c>
      <c r="M64" t="n">
        <v>0</v>
      </c>
      <c r="N64" t="n">
        <v>0</v>
      </c>
      <c r="O64" t="n">
        <v>0</v>
      </c>
      <c r="P64" t="n">
        <v>0</v>
      </c>
      <c r="Q64" t="n">
        <v>0</v>
      </c>
      <c r="R64" t="n">
        <v>0</v>
      </c>
      <c r="S64" t="n">
        <v>0</v>
      </c>
      <c r="T64" t="n">
        <v>0</v>
      </c>
      <c r="U64" s="2" t="inlineStr"/>
    </row>
    <row r="65" ht="15" customHeight="1">
      <c r="A65" t="inlineStr">
        <is>
          <t>A 36763-2022</t>
        </is>
      </c>
      <c r="B65" t="inlineStr">
        <is>
          <t>avverkningsanmälan</t>
        </is>
      </c>
      <c r="C65" t="inlineStr">
        <is>
          <t>Föryngringsavverkning</t>
        </is>
      </c>
      <c r="D65" s="1" t="n">
        <v>44805</v>
      </c>
      <c r="E65" s="1" t="n">
        <v>46221</v>
      </c>
      <c r="F65" t="inlineStr">
        <is>
          <t>VÄSTRA GÖTALANDS LÄN</t>
        </is>
      </c>
      <c r="G65" t="inlineStr">
        <is>
          <t>ALE</t>
        </is>
      </c>
      <c r="I65" t="n">
        <v>6.1</v>
      </c>
      <c r="J65" t="n">
        <v>0</v>
      </c>
      <c r="K65" t="n">
        <v>0</v>
      </c>
      <c r="L65" t="n">
        <v>0</v>
      </c>
      <c r="M65" t="n">
        <v>0</v>
      </c>
      <c r="N65" t="n">
        <v>0</v>
      </c>
      <c r="O65" t="n">
        <v>0</v>
      </c>
      <c r="P65" t="n">
        <v>0</v>
      </c>
      <c r="Q65" t="n">
        <v>0</v>
      </c>
      <c r="R65" t="n">
        <v>0</v>
      </c>
      <c r="S65" t="n">
        <v>0</v>
      </c>
      <c r="T65" t="n">
        <v>0</v>
      </c>
      <c r="U65" s="2" t="inlineStr"/>
    </row>
    <row r="66" ht="15" customHeight="1">
      <c r="A66" t="inlineStr">
        <is>
          <t>A 56493-2021</t>
        </is>
      </c>
      <c r="B66" t="inlineStr">
        <is>
          <t>avverkningsanmälan</t>
        </is>
      </c>
      <c r="C66" t="inlineStr">
        <is>
          <t>Föryngringsavverkning</t>
        </is>
      </c>
      <c r="D66" s="1" t="n">
        <v>44480</v>
      </c>
      <c r="E66" s="1" t="n">
        <v>46221</v>
      </c>
      <c r="F66" t="inlineStr">
        <is>
          <t>VÄSTRA GÖTALANDS LÄN</t>
        </is>
      </c>
      <c r="G66" t="inlineStr">
        <is>
          <t>ALE</t>
        </is>
      </c>
      <c r="I66" t="n">
        <v>1.7</v>
      </c>
      <c r="J66" t="n">
        <v>0</v>
      </c>
      <c r="K66" t="n">
        <v>0</v>
      </c>
      <c r="L66" t="n">
        <v>0</v>
      </c>
      <c r="M66" t="n">
        <v>0</v>
      </c>
      <c r="N66" t="n">
        <v>0</v>
      </c>
      <c r="O66" t="n">
        <v>0</v>
      </c>
      <c r="P66" t="n">
        <v>0</v>
      </c>
      <c r="Q66" t="n">
        <v>0</v>
      </c>
      <c r="R66" t="n">
        <v>0</v>
      </c>
      <c r="S66" t="n">
        <v>0</v>
      </c>
      <c r="T66" t="n">
        <v>0</v>
      </c>
      <c r="U66" s="2" t="inlineStr"/>
    </row>
    <row r="67" ht="15" customHeight="1">
      <c r="A67" t="inlineStr">
        <is>
          <t>A 45988-2021</t>
        </is>
      </c>
      <c r="B67" t="inlineStr">
        <is>
          <t>avverkningsanmälan</t>
        </is>
      </c>
      <c r="C67" t="inlineStr">
        <is>
          <t>Föryngringsavverkning</t>
        </is>
      </c>
      <c r="D67" s="1" t="n">
        <v>44441</v>
      </c>
      <c r="E67" s="1" t="n">
        <v>46221</v>
      </c>
      <c r="F67" t="inlineStr">
        <is>
          <t>VÄSTRA GÖTALANDS LÄN</t>
        </is>
      </c>
      <c r="G67" t="inlineStr">
        <is>
          <t>ALE</t>
        </is>
      </c>
      <c r="I67" t="n">
        <v>1.2</v>
      </c>
      <c r="J67" t="n">
        <v>0</v>
      </c>
      <c r="K67" t="n">
        <v>0</v>
      </c>
      <c r="L67" t="n">
        <v>0</v>
      </c>
      <c r="M67" t="n">
        <v>0</v>
      </c>
      <c r="N67" t="n">
        <v>0</v>
      </c>
      <c r="O67" t="n">
        <v>0</v>
      </c>
      <c r="P67" t="n">
        <v>0</v>
      </c>
      <c r="Q67" t="n">
        <v>0</v>
      </c>
      <c r="R67" t="n">
        <v>0</v>
      </c>
      <c r="S67" t="n">
        <v>0</v>
      </c>
      <c r="T67" t="n">
        <v>0</v>
      </c>
      <c r="U67" s="2" t="inlineStr"/>
    </row>
    <row r="68" ht="15" customHeight="1">
      <c r="A68" t="inlineStr">
        <is>
          <t>A 5875-2023</t>
        </is>
      </c>
      <c r="B68" t="inlineStr">
        <is>
          <t>avverkningsanmälan</t>
        </is>
      </c>
      <c r="C68" t="inlineStr">
        <is>
          <t>Föryngringsavverkning</t>
        </is>
      </c>
      <c r="D68" s="1" t="n">
        <v>44963</v>
      </c>
      <c r="E68" s="1" t="n">
        <v>46221</v>
      </c>
      <c r="F68" t="inlineStr">
        <is>
          <t>VÄSTRA GÖTALANDS LÄN</t>
        </is>
      </c>
      <c r="G68" t="inlineStr">
        <is>
          <t>ALE</t>
        </is>
      </c>
      <c r="I68" t="n">
        <v>2.2</v>
      </c>
      <c r="J68" t="n">
        <v>0</v>
      </c>
      <c r="K68" t="n">
        <v>0</v>
      </c>
      <c r="L68" t="n">
        <v>0</v>
      </c>
      <c r="M68" t="n">
        <v>0</v>
      </c>
      <c r="N68" t="n">
        <v>0</v>
      </c>
      <c r="O68" t="n">
        <v>0</v>
      </c>
      <c r="P68" t="n">
        <v>0</v>
      </c>
      <c r="Q68" t="n">
        <v>0</v>
      </c>
      <c r="R68" t="n">
        <v>0</v>
      </c>
      <c r="S68" t="n">
        <v>0</v>
      </c>
      <c r="T68" t="n">
        <v>0</v>
      </c>
      <c r="U68" s="2" t="inlineStr"/>
    </row>
    <row r="69" ht="15" customHeight="1">
      <c r="A69" t="inlineStr">
        <is>
          <t>A 3407-2023</t>
        </is>
      </c>
      <c r="B69" t="inlineStr">
        <is>
          <t>avverkningsanmälan</t>
        </is>
      </c>
      <c r="C69" t="inlineStr">
        <is>
          <t>Föryngringsavverkning</t>
        </is>
      </c>
      <c r="D69" s="1" t="n">
        <v>44949</v>
      </c>
      <c r="E69" s="1" t="n">
        <v>46221</v>
      </c>
      <c r="F69" t="inlineStr">
        <is>
          <t>VÄSTRA GÖTALANDS LÄN</t>
        </is>
      </c>
      <c r="G69" t="inlineStr">
        <is>
          <t>ALE</t>
        </is>
      </c>
      <c r="I69" t="n">
        <v>1.2</v>
      </c>
      <c r="J69" t="n">
        <v>0</v>
      </c>
      <c r="K69" t="n">
        <v>0</v>
      </c>
      <c r="L69" t="n">
        <v>0</v>
      </c>
      <c r="M69" t="n">
        <v>0</v>
      </c>
      <c r="N69" t="n">
        <v>0</v>
      </c>
      <c r="O69" t="n">
        <v>0</v>
      </c>
      <c r="P69" t="n">
        <v>0</v>
      </c>
      <c r="Q69" t="n">
        <v>0</v>
      </c>
      <c r="R69" t="n">
        <v>0</v>
      </c>
      <c r="S69" t="n">
        <v>0</v>
      </c>
      <c r="T69" t="n">
        <v>0</v>
      </c>
      <c r="U69" s="2" t="inlineStr"/>
    </row>
    <row r="70" ht="15" customHeight="1">
      <c r="A70" t="inlineStr">
        <is>
          <t>A 51564-2023</t>
        </is>
      </c>
      <c r="B70" t="inlineStr">
        <is>
          <t>avverkningsanmälan</t>
        </is>
      </c>
      <c r="C70" t="inlineStr">
        <is>
          <t>Föryngringsavverkning</t>
        </is>
      </c>
      <c r="D70" s="1" t="n">
        <v>45222</v>
      </c>
      <c r="E70" s="1" t="n">
        <v>46221</v>
      </c>
      <c r="F70" t="inlineStr">
        <is>
          <t>VÄSTRA GÖTALANDS LÄN</t>
        </is>
      </c>
      <c r="G70" t="inlineStr">
        <is>
          <t>ALE</t>
        </is>
      </c>
      <c r="I70" t="n">
        <v>1.5</v>
      </c>
      <c r="J70" t="n">
        <v>0</v>
      </c>
      <c r="K70" t="n">
        <v>0</v>
      </c>
      <c r="L70" t="n">
        <v>0</v>
      </c>
      <c r="M70" t="n">
        <v>0</v>
      </c>
      <c r="N70" t="n">
        <v>0</v>
      </c>
      <c r="O70" t="n">
        <v>0</v>
      </c>
      <c r="P70" t="n">
        <v>0</v>
      </c>
      <c r="Q70" t="n">
        <v>0</v>
      </c>
      <c r="R70" t="n">
        <v>0</v>
      </c>
      <c r="S70" t="n">
        <v>0</v>
      </c>
      <c r="T70" t="n">
        <v>0</v>
      </c>
      <c r="U70" s="2" t="inlineStr"/>
    </row>
    <row r="71" ht="15" customHeight="1">
      <c r="A71" t="inlineStr">
        <is>
          <t>A 36403-2024</t>
        </is>
      </c>
      <c r="B71" t="inlineStr">
        <is>
          <t>avverkningsanmälan</t>
        </is>
      </c>
      <c r="C71" t="inlineStr">
        <is>
          <t>Föryngringsavverkning</t>
        </is>
      </c>
      <c r="D71" s="1" t="n">
        <v>45535</v>
      </c>
      <c r="E71" s="1" t="n">
        <v>46221</v>
      </c>
      <c r="F71" t="inlineStr">
        <is>
          <t>VÄSTRA GÖTALANDS LÄN</t>
        </is>
      </c>
      <c r="G71" t="inlineStr">
        <is>
          <t>ALE</t>
        </is>
      </c>
      <c r="I71" t="n">
        <v>0.6</v>
      </c>
      <c r="J71" t="n">
        <v>0</v>
      </c>
      <c r="K71" t="n">
        <v>0</v>
      </c>
      <c r="L71" t="n">
        <v>0</v>
      </c>
      <c r="M71" t="n">
        <v>0</v>
      </c>
      <c r="N71" t="n">
        <v>0</v>
      </c>
      <c r="O71" t="n">
        <v>0</v>
      </c>
      <c r="P71" t="n">
        <v>0</v>
      </c>
      <c r="Q71" t="n">
        <v>0</v>
      </c>
      <c r="R71" t="n">
        <v>0</v>
      </c>
      <c r="S71" t="n">
        <v>0</v>
      </c>
      <c r="T71" t="n">
        <v>0</v>
      </c>
      <c r="U71" s="2" t="inlineStr"/>
    </row>
    <row r="72" ht="15" customHeight="1">
      <c r="A72" t="inlineStr">
        <is>
          <t>A 55405-2021</t>
        </is>
      </c>
      <c r="B72" t="inlineStr">
        <is>
          <t>avverkningsanmälan</t>
        </is>
      </c>
      <c r="C72" t="inlineStr">
        <is>
          <t>Föryngringsavverkning</t>
        </is>
      </c>
      <c r="D72" s="1" t="n">
        <v>44475</v>
      </c>
      <c r="E72" s="1" t="n">
        <v>46221</v>
      </c>
      <c r="F72" t="inlineStr">
        <is>
          <t>VÄSTRA GÖTALANDS LÄN</t>
        </is>
      </c>
      <c r="G72" t="inlineStr">
        <is>
          <t>ALE</t>
        </is>
      </c>
      <c r="I72" t="n">
        <v>0.5</v>
      </c>
      <c r="J72" t="n">
        <v>0</v>
      </c>
      <c r="K72" t="n">
        <v>0</v>
      </c>
      <c r="L72" t="n">
        <v>0</v>
      </c>
      <c r="M72" t="n">
        <v>0</v>
      </c>
      <c r="N72" t="n">
        <v>0</v>
      </c>
      <c r="O72" t="n">
        <v>0</v>
      </c>
      <c r="P72" t="n">
        <v>0</v>
      </c>
      <c r="Q72" t="n">
        <v>0</v>
      </c>
      <c r="R72" t="n">
        <v>0</v>
      </c>
      <c r="S72" t="n">
        <v>0</v>
      </c>
      <c r="T72" t="n">
        <v>0</v>
      </c>
      <c r="U72" s="2" t="inlineStr"/>
    </row>
    <row r="73" ht="15" customHeight="1">
      <c r="A73" t="inlineStr">
        <is>
          <t>A 18637-2023</t>
        </is>
      </c>
      <c r="B73" t="inlineStr">
        <is>
          <t>avverkningsanmälan</t>
        </is>
      </c>
      <c r="C73" t="inlineStr">
        <is>
          <t>Föryngringsavverkning</t>
        </is>
      </c>
      <c r="D73" s="1" t="n">
        <v>45043</v>
      </c>
      <c r="E73" s="1" t="n">
        <v>46221</v>
      </c>
      <c r="F73" t="inlineStr">
        <is>
          <t>VÄSTRA GÖTALANDS LÄN</t>
        </is>
      </c>
      <c r="G73" t="inlineStr">
        <is>
          <t>ALE</t>
        </is>
      </c>
      <c r="I73" t="n">
        <v>3.6</v>
      </c>
      <c r="J73" t="n">
        <v>0</v>
      </c>
      <c r="K73" t="n">
        <v>0</v>
      </c>
      <c r="L73" t="n">
        <v>0</v>
      </c>
      <c r="M73" t="n">
        <v>0</v>
      </c>
      <c r="N73" t="n">
        <v>0</v>
      </c>
      <c r="O73" t="n">
        <v>0</v>
      </c>
      <c r="P73" t="n">
        <v>0</v>
      </c>
      <c r="Q73" t="n">
        <v>0</v>
      </c>
      <c r="R73" t="n">
        <v>0</v>
      </c>
      <c r="S73" t="n">
        <v>0</v>
      </c>
      <c r="T73" t="n">
        <v>0</v>
      </c>
      <c r="U73" s="2" t="inlineStr"/>
    </row>
    <row r="74" ht="15" customHeight="1">
      <c r="A74" t="inlineStr">
        <is>
          <t>A 59933-2023</t>
        </is>
      </c>
      <c r="B74" t="inlineStr">
        <is>
          <t>avverkningsanmälan</t>
        </is>
      </c>
      <c r="C74" t="inlineStr">
        <is>
          <t>Föryngringsavverkning</t>
        </is>
      </c>
      <c r="D74" s="1" t="n">
        <v>45257</v>
      </c>
      <c r="E74" s="1" t="n">
        <v>46221</v>
      </c>
      <c r="F74" t="inlineStr">
        <is>
          <t>VÄSTRA GÖTALANDS LÄN</t>
        </is>
      </c>
      <c r="G74" t="inlineStr">
        <is>
          <t>ALE</t>
        </is>
      </c>
      <c r="I74" t="n">
        <v>2.7</v>
      </c>
      <c r="J74" t="n">
        <v>0</v>
      </c>
      <c r="K74" t="n">
        <v>0</v>
      </c>
      <c r="L74" t="n">
        <v>0</v>
      </c>
      <c r="M74" t="n">
        <v>0</v>
      </c>
      <c r="N74" t="n">
        <v>0</v>
      </c>
      <c r="O74" t="n">
        <v>0</v>
      </c>
      <c r="P74" t="n">
        <v>0</v>
      </c>
      <c r="Q74" t="n">
        <v>0</v>
      </c>
      <c r="R74" t="n">
        <v>0</v>
      </c>
      <c r="S74" t="n">
        <v>0</v>
      </c>
      <c r="T74" t="n">
        <v>0</v>
      </c>
      <c r="U74" s="2" t="inlineStr"/>
    </row>
    <row r="75" ht="15" customHeight="1">
      <c r="A75" t="inlineStr">
        <is>
          <t>A 24642-2022</t>
        </is>
      </c>
      <c r="B75" t="inlineStr">
        <is>
          <t>avverkningsanmälan</t>
        </is>
      </c>
      <c r="C75" t="inlineStr">
        <is>
          <t>Föryngringsavverkning</t>
        </is>
      </c>
      <c r="D75" s="1" t="n">
        <v>44727</v>
      </c>
      <c r="E75" s="1" t="n">
        <v>46221</v>
      </c>
      <c r="F75" t="inlineStr">
        <is>
          <t>VÄSTRA GÖTALANDS LÄN</t>
        </is>
      </c>
      <c r="G75" t="inlineStr">
        <is>
          <t>ALE</t>
        </is>
      </c>
      <c r="I75" t="n">
        <v>10</v>
      </c>
      <c r="J75" t="n">
        <v>0</v>
      </c>
      <c r="K75" t="n">
        <v>0</v>
      </c>
      <c r="L75" t="n">
        <v>0</v>
      </c>
      <c r="M75" t="n">
        <v>0</v>
      </c>
      <c r="N75" t="n">
        <v>0</v>
      </c>
      <c r="O75" t="n">
        <v>0</v>
      </c>
      <c r="P75" t="n">
        <v>0</v>
      </c>
      <c r="Q75" t="n">
        <v>0</v>
      </c>
      <c r="R75" t="n">
        <v>0</v>
      </c>
      <c r="S75" t="n">
        <v>0</v>
      </c>
      <c r="T75" t="n">
        <v>0</v>
      </c>
      <c r="U75" s="2" t="inlineStr"/>
    </row>
    <row r="76" ht="15" customHeight="1">
      <c r="A76" t="inlineStr">
        <is>
          <t>A 13903-2025</t>
        </is>
      </c>
      <c r="B76" t="inlineStr">
        <is>
          <t>avverkningsanmälan</t>
        </is>
      </c>
      <c r="C76" t="inlineStr">
        <is>
          <t>Föryngringsavverkning</t>
        </is>
      </c>
      <c r="D76" s="1" t="n">
        <v>45737</v>
      </c>
      <c r="E76" s="1" t="n">
        <v>46221</v>
      </c>
      <c r="F76" t="inlineStr">
        <is>
          <t>VÄSTRA GÖTALANDS LÄN</t>
        </is>
      </c>
      <c r="G76" t="inlineStr">
        <is>
          <t>ALE</t>
        </is>
      </c>
      <c r="I76" t="n">
        <v>0.5</v>
      </c>
      <c r="J76" t="n">
        <v>0</v>
      </c>
      <c r="K76" t="n">
        <v>0</v>
      </c>
      <c r="L76" t="n">
        <v>0</v>
      </c>
      <c r="M76" t="n">
        <v>0</v>
      </c>
      <c r="N76" t="n">
        <v>0</v>
      </c>
      <c r="O76" t="n">
        <v>0</v>
      </c>
      <c r="P76" t="n">
        <v>0</v>
      </c>
      <c r="Q76" t="n">
        <v>0</v>
      </c>
      <c r="R76" t="n">
        <v>0</v>
      </c>
      <c r="S76" t="n">
        <v>0</v>
      </c>
      <c r="T76" t="n">
        <v>0</v>
      </c>
      <c r="U76" s="2" t="inlineStr"/>
    </row>
    <row r="77" ht="15" customHeight="1">
      <c r="A77" t="inlineStr">
        <is>
          <t>A 31409-2025</t>
        </is>
      </c>
      <c r="B77" t="inlineStr">
        <is>
          <t>avverkningsanmälan</t>
        </is>
      </c>
      <c r="C77" t="inlineStr">
        <is>
          <t>Föryngringsavverkning</t>
        </is>
      </c>
      <c r="D77" s="1" t="n">
        <v>45833</v>
      </c>
      <c r="E77" s="1" t="n">
        <v>46221</v>
      </c>
      <c r="F77" t="inlineStr">
        <is>
          <t>VÄSTRA GÖTALANDS LÄN</t>
        </is>
      </c>
      <c r="G77" t="inlineStr">
        <is>
          <t>ALE</t>
        </is>
      </c>
      <c r="I77" t="n">
        <v>0.8</v>
      </c>
      <c r="J77" t="n">
        <v>0</v>
      </c>
      <c r="K77" t="n">
        <v>0</v>
      </c>
      <c r="L77" t="n">
        <v>0</v>
      </c>
      <c r="M77" t="n">
        <v>0</v>
      </c>
      <c r="N77" t="n">
        <v>0</v>
      </c>
      <c r="O77" t="n">
        <v>0</v>
      </c>
      <c r="P77" t="n">
        <v>0</v>
      </c>
      <c r="Q77" t="n">
        <v>0</v>
      </c>
      <c r="R77" t="n">
        <v>0</v>
      </c>
      <c r="S77" t="n">
        <v>0</v>
      </c>
      <c r="T77" t="n">
        <v>0</v>
      </c>
      <c r="U77" s="2" t="inlineStr"/>
    </row>
    <row r="78" ht="15" customHeight="1">
      <c r="A78" t="inlineStr">
        <is>
          <t>A 31533-2025</t>
        </is>
      </c>
      <c r="B78" t="inlineStr">
        <is>
          <t>avverkningsanmälan</t>
        </is>
      </c>
      <c r="C78" t="inlineStr">
        <is>
          <t>Föryngringsavverkning</t>
        </is>
      </c>
      <c r="D78" s="1" t="n">
        <v>45833</v>
      </c>
      <c r="E78" s="1" t="n">
        <v>46221</v>
      </c>
      <c r="F78" t="inlineStr">
        <is>
          <t>VÄSTRA GÖTALANDS LÄN</t>
        </is>
      </c>
      <c r="G78" t="inlineStr">
        <is>
          <t>ALE</t>
        </is>
      </c>
      <c r="I78" t="n">
        <v>1.6</v>
      </c>
      <c r="J78" t="n">
        <v>0</v>
      </c>
      <c r="K78" t="n">
        <v>0</v>
      </c>
      <c r="L78" t="n">
        <v>0</v>
      </c>
      <c r="M78" t="n">
        <v>0</v>
      </c>
      <c r="N78" t="n">
        <v>0</v>
      </c>
      <c r="O78" t="n">
        <v>0</v>
      </c>
      <c r="P78" t="n">
        <v>0</v>
      </c>
      <c r="Q78" t="n">
        <v>0</v>
      </c>
      <c r="R78" t="n">
        <v>0</v>
      </c>
      <c r="S78" t="n">
        <v>0</v>
      </c>
      <c r="T78" t="n">
        <v>0</v>
      </c>
      <c r="U78" s="2" t="inlineStr"/>
    </row>
    <row r="79" ht="15" customHeight="1">
      <c r="A79" t="inlineStr">
        <is>
          <t>A 31488-2025</t>
        </is>
      </c>
      <c r="B79" t="inlineStr">
        <is>
          <t>avverkningsanmälan</t>
        </is>
      </c>
      <c r="C79" t="inlineStr">
        <is>
          <t>Föryngringsavverkning</t>
        </is>
      </c>
      <c r="D79" s="1" t="n">
        <v>45833</v>
      </c>
      <c r="E79" s="1" t="n">
        <v>46221</v>
      </c>
      <c r="F79" t="inlineStr">
        <is>
          <t>VÄSTRA GÖTALANDS LÄN</t>
        </is>
      </c>
      <c r="G79" t="inlineStr">
        <is>
          <t>ALE</t>
        </is>
      </c>
      <c r="I79" t="n">
        <v>1.8</v>
      </c>
      <c r="J79" t="n">
        <v>0</v>
      </c>
      <c r="K79" t="n">
        <v>0</v>
      </c>
      <c r="L79" t="n">
        <v>0</v>
      </c>
      <c r="M79" t="n">
        <v>0</v>
      </c>
      <c r="N79" t="n">
        <v>0</v>
      </c>
      <c r="O79" t="n">
        <v>0</v>
      </c>
      <c r="P79" t="n">
        <v>0</v>
      </c>
      <c r="Q79" t="n">
        <v>0</v>
      </c>
      <c r="R79" t="n">
        <v>0</v>
      </c>
      <c r="S79" t="n">
        <v>0</v>
      </c>
      <c r="T79" t="n">
        <v>0</v>
      </c>
      <c r="U79" s="2" t="inlineStr"/>
    </row>
    <row r="80" ht="15" customHeight="1">
      <c r="A80" t="inlineStr">
        <is>
          <t>A 26083-2023</t>
        </is>
      </c>
      <c r="B80" t="inlineStr">
        <is>
          <t>avverkningsanmälan</t>
        </is>
      </c>
      <c r="C80" t="inlineStr">
        <is>
          <t>Föryngringsavverkning</t>
        </is>
      </c>
      <c r="D80" s="1" t="n">
        <v>45091</v>
      </c>
      <c r="E80" s="1" t="n">
        <v>46221</v>
      </c>
      <c r="F80" t="inlineStr">
        <is>
          <t>VÄSTRA GÖTALANDS LÄN</t>
        </is>
      </c>
      <c r="G80" t="inlineStr">
        <is>
          <t>ALE</t>
        </is>
      </c>
      <c r="I80" t="n">
        <v>1.6</v>
      </c>
      <c r="J80" t="n">
        <v>0</v>
      </c>
      <c r="K80" t="n">
        <v>0</v>
      </c>
      <c r="L80" t="n">
        <v>0</v>
      </c>
      <c r="M80" t="n">
        <v>0</v>
      </c>
      <c r="N80" t="n">
        <v>0</v>
      </c>
      <c r="O80" t="n">
        <v>0</v>
      </c>
      <c r="P80" t="n">
        <v>0</v>
      </c>
      <c r="Q80" t="n">
        <v>0</v>
      </c>
      <c r="R80" t="n">
        <v>0</v>
      </c>
      <c r="S80" t="n">
        <v>0</v>
      </c>
      <c r="T80" t="n">
        <v>0</v>
      </c>
      <c r="U80" s="2" t="inlineStr"/>
    </row>
    <row r="81" ht="15" customHeight="1">
      <c r="A81" t="inlineStr">
        <is>
          <t>A 46227-2025</t>
        </is>
      </c>
      <c r="B81" t="inlineStr">
        <is>
          <t>avverkningsanmälan</t>
        </is>
      </c>
      <c r="C81" t="inlineStr">
        <is>
          <t>Föryngringsavverkning</t>
        </is>
      </c>
      <c r="D81" s="1" t="n">
        <v>45924</v>
      </c>
      <c r="E81" s="1" t="n">
        <v>46221</v>
      </c>
      <c r="F81" t="inlineStr">
        <is>
          <t>VÄSTRA GÖTALANDS LÄN</t>
        </is>
      </c>
      <c r="G81" t="inlineStr">
        <is>
          <t>ALE</t>
        </is>
      </c>
      <c r="I81" t="n">
        <v>0.3</v>
      </c>
      <c r="J81" t="n">
        <v>0</v>
      </c>
      <c r="K81" t="n">
        <v>0</v>
      </c>
      <c r="L81" t="n">
        <v>0</v>
      </c>
      <c r="M81" t="n">
        <v>0</v>
      </c>
      <c r="N81" t="n">
        <v>0</v>
      </c>
      <c r="O81" t="n">
        <v>0</v>
      </c>
      <c r="P81" t="n">
        <v>0</v>
      </c>
      <c r="Q81" t="n">
        <v>0</v>
      </c>
      <c r="R81" t="n">
        <v>0</v>
      </c>
      <c r="S81" t="n">
        <v>0</v>
      </c>
      <c r="T81" t="n">
        <v>0</v>
      </c>
      <c r="U81" s="2" t="inlineStr"/>
    </row>
    <row r="82" ht="15" customHeight="1">
      <c r="A82" t="inlineStr">
        <is>
          <t>A 6621-2026</t>
        </is>
      </c>
      <c r="B82" t="inlineStr">
        <is>
          <t>avverkningsanmälan</t>
        </is>
      </c>
      <c r="C82" t="inlineStr">
        <is>
          <t>Föryngringsavverkning</t>
        </is>
      </c>
      <c r="D82" s="1" t="n">
        <v>46056</v>
      </c>
      <c r="E82" s="1" t="n">
        <v>46221</v>
      </c>
      <c r="F82" t="inlineStr">
        <is>
          <t>VÄSTRA GÖTALANDS LÄN</t>
        </is>
      </c>
      <c r="G82" t="inlineStr">
        <is>
          <t>ALE</t>
        </is>
      </c>
      <c r="I82" t="n">
        <v>0.9</v>
      </c>
      <c r="J82" t="n">
        <v>0</v>
      </c>
      <c r="K82" t="n">
        <v>0</v>
      </c>
      <c r="L82" t="n">
        <v>0</v>
      </c>
      <c r="M82" t="n">
        <v>0</v>
      </c>
      <c r="N82" t="n">
        <v>0</v>
      </c>
      <c r="O82" t="n">
        <v>0</v>
      </c>
      <c r="P82" t="n">
        <v>0</v>
      </c>
      <c r="Q82" t="n">
        <v>0</v>
      </c>
      <c r="R82" t="n">
        <v>0</v>
      </c>
      <c r="S82" t="n">
        <v>0</v>
      </c>
      <c r="T82" t="n">
        <v>0</v>
      </c>
      <c r="U82" s="2" t="inlineStr"/>
    </row>
    <row r="83" ht="15" customHeight="1">
      <c r="A83" t="inlineStr">
        <is>
          <t>A 57473-2022</t>
        </is>
      </c>
      <c r="B83" t="inlineStr">
        <is>
          <t>avverkningsanmälan</t>
        </is>
      </c>
      <c r="C83" t="inlineStr">
        <is>
          <t>Föryngringsavverkning</t>
        </is>
      </c>
      <c r="D83" s="1" t="n">
        <v>44896</v>
      </c>
      <c r="E83" s="1" t="n">
        <v>46221</v>
      </c>
      <c r="F83" t="inlineStr">
        <is>
          <t>VÄSTRA GÖTALANDS LÄN</t>
        </is>
      </c>
      <c r="G83" t="inlineStr">
        <is>
          <t>ALE</t>
        </is>
      </c>
      <c r="I83" t="n">
        <v>0.7</v>
      </c>
      <c r="J83" t="n">
        <v>0</v>
      </c>
      <c r="K83" t="n">
        <v>0</v>
      </c>
      <c r="L83" t="n">
        <v>0</v>
      </c>
      <c r="M83" t="n">
        <v>0</v>
      </c>
      <c r="N83" t="n">
        <v>0</v>
      </c>
      <c r="O83" t="n">
        <v>0</v>
      </c>
      <c r="P83" t="n">
        <v>0</v>
      </c>
      <c r="Q83" t="n">
        <v>0</v>
      </c>
      <c r="R83" t="n">
        <v>0</v>
      </c>
      <c r="S83" t="n">
        <v>0</v>
      </c>
      <c r="T83" t="n">
        <v>0</v>
      </c>
      <c r="U83" s="2" t="inlineStr"/>
    </row>
    <row r="84" ht="15" customHeight="1">
      <c r="A84" t="inlineStr">
        <is>
          <t>A 1566-2022</t>
        </is>
      </c>
      <c r="B84" t="inlineStr">
        <is>
          <t>avverkningsanmälan</t>
        </is>
      </c>
      <c r="C84" t="inlineStr">
        <is>
          <t>Föryngringsavverkning</t>
        </is>
      </c>
      <c r="D84" s="1" t="n">
        <v>44573</v>
      </c>
      <c r="E84" s="1" t="n">
        <v>46221</v>
      </c>
      <c r="F84" t="inlineStr">
        <is>
          <t>VÄSTRA GÖTALANDS LÄN</t>
        </is>
      </c>
      <c r="G84" t="inlineStr">
        <is>
          <t>ALE</t>
        </is>
      </c>
      <c r="I84" t="n">
        <v>3</v>
      </c>
      <c r="J84" t="n">
        <v>0</v>
      </c>
      <c r="K84" t="n">
        <v>0</v>
      </c>
      <c r="L84" t="n">
        <v>0</v>
      </c>
      <c r="M84" t="n">
        <v>0</v>
      </c>
      <c r="N84" t="n">
        <v>0</v>
      </c>
      <c r="O84" t="n">
        <v>0</v>
      </c>
      <c r="P84" t="n">
        <v>0</v>
      </c>
      <c r="Q84" t="n">
        <v>0</v>
      </c>
      <c r="R84" t="n">
        <v>0</v>
      </c>
      <c r="S84" t="n">
        <v>0</v>
      </c>
      <c r="T84" t="n">
        <v>0</v>
      </c>
      <c r="U84" s="2" t="inlineStr"/>
    </row>
    <row r="85" ht="15" customHeight="1">
      <c r="A85" t="inlineStr">
        <is>
          <t>A 7296-2026</t>
        </is>
      </c>
      <c r="B85" t="inlineStr">
        <is>
          <t>avverkningsanmälan</t>
        </is>
      </c>
      <c r="C85" t="inlineStr">
        <is>
          <t>Föryngringsavverkning</t>
        </is>
      </c>
      <c r="D85" s="1" t="n">
        <v>46058</v>
      </c>
      <c r="E85" s="1" t="n">
        <v>46221</v>
      </c>
      <c r="F85" t="inlineStr">
        <is>
          <t>VÄSTRA GÖTALANDS LÄN</t>
        </is>
      </c>
      <c r="G85" t="inlineStr">
        <is>
          <t>ALE</t>
        </is>
      </c>
      <c r="I85" t="n">
        <v>7.2</v>
      </c>
      <c r="J85" t="n">
        <v>0</v>
      </c>
      <c r="K85" t="n">
        <v>0</v>
      </c>
      <c r="L85" t="n">
        <v>0</v>
      </c>
      <c r="M85" t="n">
        <v>0</v>
      </c>
      <c r="N85" t="n">
        <v>0</v>
      </c>
      <c r="O85" t="n">
        <v>0</v>
      </c>
      <c r="P85" t="n">
        <v>0</v>
      </c>
      <c r="Q85" t="n">
        <v>0</v>
      </c>
      <c r="R85" t="n">
        <v>0</v>
      </c>
      <c r="S85" t="n">
        <v>0</v>
      </c>
      <c r="T85" t="n">
        <v>0</v>
      </c>
      <c r="U85" s="2" t="inlineStr"/>
    </row>
    <row r="86" ht="15" customHeight="1">
      <c r="A86" t="inlineStr">
        <is>
          <t>A 12445-2022</t>
        </is>
      </c>
      <c r="B86" t="inlineStr">
        <is>
          <t>avverkningsanmälan</t>
        </is>
      </c>
      <c r="C86" t="inlineStr">
        <is>
          <t>Föryngringsavverkning</t>
        </is>
      </c>
      <c r="D86" s="1" t="n">
        <v>44638</v>
      </c>
      <c r="E86" s="1" t="n">
        <v>46221</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s="2" t="inlineStr"/>
    </row>
    <row r="87" ht="15" customHeight="1">
      <c r="A87" t="inlineStr">
        <is>
          <t>A 50189-2025</t>
        </is>
      </c>
      <c r="B87" t="inlineStr">
        <is>
          <t>avverkningsanmälan</t>
        </is>
      </c>
      <c r="C87" t="inlineStr">
        <is>
          <t>Föryngringsavverkning</t>
        </is>
      </c>
      <c r="D87" s="1" t="n">
        <v>45943</v>
      </c>
      <c r="E87" s="1" t="n">
        <v>46221</v>
      </c>
      <c r="F87" t="inlineStr">
        <is>
          <t>VÄSTRA GÖTALANDS LÄN</t>
        </is>
      </c>
      <c r="G87" t="inlineStr">
        <is>
          <t>ALE</t>
        </is>
      </c>
      <c r="I87" t="n">
        <v>3</v>
      </c>
      <c r="J87" t="n">
        <v>0</v>
      </c>
      <c r="K87" t="n">
        <v>0</v>
      </c>
      <c r="L87" t="n">
        <v>0</v>
      </c>
      <c r="M87" t="n">
        <v>0</v>
      </c>
      <c r="N87" t="n">
        <v>0</v>
      </c>
      <c r="O87" t="n">
        <v>0</v>
      </c>
      <c r="P87" t="n">
        <v>0</v>
      </c>
      <c r="Q87" t="n">
        <v>0</v>
      </c>
      <c r="R87" t="n">
        <v>0</v>
      </c>
      <c r="S87" t="n">
        <v>0</v>
      </c>
      <c r="T87" t="n">
        <v>0</v>
      </c>
      <c r="U87" s="2" t="inlineStr"/>
    </row>
    <row r="88" ht="15" customHeight="1">
      <c r="A88" t="inlineStr">
        <is>
          <t>A 8110-2026</t>
        </is>
      </c>
      <c r="B88" t="inlineStr">
        <is>
          <t>avverkningsanmälan</t>
        </is>
      </c>
      <c r="C88" t="inlineStr">
        <is>
          <t>Föryngringsavverkning</t>
        </is>
      </c>
      <c r="D88" s="1" t="n">
        <v>46062</v>
      </c>
      <c r="E88" s="1" t="n">
        <v>46221</v>
      </c>
      <c r="F88" t="inlineStr">
        <is>
          <t>VÄSTRA GÖTALANDS LÄN</t>
        </is>
      </c>
      <c r="G88" t="inlineStr">
        <is>
          <t>ALE</t>
        </is>
      </c>
      <c r="I88" t="n">
        <v>0.7</v>
      </c>
      <c r="J88" t="n">
        <v>0</v>
      </c>
      <c r="K88" t="n">
        <v>0</v>
      </c>
      <c r="L88" t="n">
        <v>0</v>
      </c>
      <c r="M88" t="n">
        <v>0</v>
      </c>
      <c r="N88" t="n">
        <v>0</v>
      </c>
      <c r="O88" t="n">
        <v>0</v>
      </c>
      <c r="P88" t="n">
        <v>0</v>
      </c>
      <c r="Q88" t="n">
        <v>0</v>
      </c>
      <c r="R88" t="n">
        <v>0</v>
      </c>
      <c r="S88" t="n">
        <v>0</v>
      </c>
      <c r="T88" t="n">
        <v>0</v>
      </c>
      <c r="U88" s="2" t="inlineStr"/>
    </row>
    <row r="89" ht="15" customHeight="1">
      <c r="A89" t="inlineStr">
        <is>
          <t>A 49955-2021</t>
        </is>
      </c>
      <c r="B89" t="inlineStr">
        <is>
          <t>avverkningsanmälan</t>
        </is>
      </c>
      <c r="C89" t="inlineStr">
        <is>
          <t>Föryngringsavverkning</t>
        </is>
      </c>
      <c r="D89" s="1" t="n">
        <v>44456</v>
      </c>
      <c r="E89" s="1" t="n">
        <v>46221</v>
      </c>
      <c r="F89" t="inlineStr">
        <is>
          <t>VÄSTRA GÖTALANDS LÄN</t>
        </is>
      </c>
      <c r="G89" t="inlineStr">
        <is>
          <t>ALE</t>
        </is>
      </c>
      <c r="I89" t="n">
        <v>2.2</v>
      </c>
      <c r="J89" t="n">
        <v>0</v>
      </c>
      <c r="K89" t="n">
        <v>0</v>
      </c>
      <c r="L89" t="n">
        <v>0</v>
      </c>
      <c r="M89" t="n">
        <v>0</v>
      </c>
      <c r="N89" t="n">
        <v>0</v>
      </c>
      <c r="O89" t="n">
        <v>0</v>
      </c>
      <c r="P89" t="n">
        <v>0</v>
      </c>
      <c r="Q89" t="n">
        <v>0</v>
      </c>
      <c r="R89" t="n">
        <v>0</v>
      </c>
      <c r="S89" t="n">
        <v>0</v>
      </c>
      <c r="T89" t="n">
        <v>0</v>
      </c>
      <c r="U89" s="2" t="inlineStr"/>
    </row>
    <row r="90" ht="15" customHeight="1">
      <c r="A90" t="inlineStr">
        <is>
          <t>A 50973-2025</t>
        </is>
      </c>
      <c r="B90" t="inlineStr">
        <is>
          <t>avverkningsanmälan</t>
        </is>
      </c>
      <c r="C90" t="inlineStr">
        <is>
          <t>Föryngringsavverkning</t>
        </is>
      </c>
      <c r="D90" s="1" t="n">
        <v>45947</v>
      </c>
      <c r="E90" s="1" t="n">
        <v>46221</v>
      </c>
      <c r="F90" t="inlineStr">
        <is>
          <t>VÄSTRA GÖTALANDS LÄN</t>
        </is>
      </c>
      <c r="G90" t="inlineStr">
        <is>
          <t>ALE</t>
        </is>
      </c>
      <c r="I90" t="n">
        <v>12</v>
      </c>
      <c r="J90" t="n">
        <v>0</v>
      </c>
      <c r="K90" t="n">
        <v>0</v>
      </c>
      <c r="L90" t="n">
        <v>0</v>
      </c>
      <c r="M90" t="n">
        <v>0</v>
      </c>
      <c r="N90" t="n">
        <v>0</v>
      </c>
      <c r="O90" t="n">
        <v>0</v>
      </c>
      <c r="P90" t="n">
        <v>0</v>
      </c>
      <c r="Q90" t="n">
        <v>0</v>
      </c>
      <c r="R90" t="n">
        <v>0</v>
      </c>
      <c r="S90" t="n">
        <v>0</v>
      </c>
      <c r="T90" t="n">
        <v>0</v>
      </c>
      <c r="U90" s="2" t="inlineStr"/>
    </row>
    <row r="91" ht="15" customHeight="1">
      <c r="A91" t="inlineStr">
        <is>
          <t>A 8112-2026</t>
        </is>
      </c>
      <c r="B91" t="inlineStr">
        <is>
          <t>avverkningsanmälan</t>
        </is>
      </c>
      <c r="C91" t="inlineStr">
        <is>
          <t>Föryngringsavverkning</t>
        </is>
      </c>
      <c r="D91" s="1" t="n">
        <v>46062</v>
      </c>
      <c r="E91" s="1" t="n">
        <v>46221</v>
      </c>
      <c r="F91" t="inlineStr">
        <is>
          <t>VÄSTRA GÖTALANDS LÄN</t>
        </is>
      </c>
      <c r="G91" t="inlineStr">
        <is>
          <t>ALE</t>
        </is>
      </c>
      <c r="I91" t="n">
        <v>0.4</v>
      </c>
      <c r="J91" t="n">
        <v>0</v>
      </c>
      <c r="K91" t="n">
        <v>0</v>
      </c>
      <c r="L91" t="n">
        <v>0</v>
      </c>
      <c r="M91" t="n">
        <v>0</v>
      </c>
      <c r="N91" t="n">
        <v>0</v>
      </c>
      <c r="O91" t="n">
        <v>0</v>
      </c>
      <c r="P91" t="n">
        <v>0</v>
      </c>
      <c r="Q91" t="n">
        <v>0</v>
      </c>
      <c r="R91" t="n">
        <v>0</v>
      </c>
      <c r="S91" t="n">
        <v>0</v>
      </c>
      <c r="T91" t="n">
        <v>0</v>
      </c>
      <c r="U91" s="2" t="inlineStr"/>
    </row>
    <row r="92" ht="15" customHeight="1">
      <c r="A92" t="inlineStr">
        <is>
          <t>A 35959-2022</t>
        </is>
      </c>
      <c r="B92" t="inlineStr">
        <is>
          <t>avverkningsanmälan</t>
        </is>
      </c>
      <c r="C92" t="inlineStr">
        <is>
          <t>Föryngringsavverkning</t>
        </is>
      </c>
      <c r="D92" s="1" t="n">
        <v>44802</v>
      </c>
      <c r="E92" s="1" t="n">
        <v>46221</v>
      </c>
      <c r="F92" t="inlineStr">
        <is>
          <t>VÄSTRA GÖTALANDS LÄN</t>
        </is>
      </c>
      <c r="G92" t="inlineStr">
        <is>
          <t>ALE</t>
        </is>
      </c>
      <c r="I92" t="n">
        <v>1</v>
      </c>
      <c r="J92" t="n">
        <v>0</v>
      </c>
      <c r="K92" t="n">
        <v>0</v>
      </c>
      <c r="L92" t="n">
        <v>0</v>
      </c>
      <c r="M92" t="n">
        <v>0</v>
      </c>
      <c r="N92" t="n">
        <v>0</v>
      </c>
      <c r="O92" t="n">
        <v>0</v>
      </c>
      <c r="P92" t="n">
        <v>0</v>
      </c>
      <c r="Q92" t="n">
        <v>0</v>
      </c>
      <c r="R92" t="n">
        <v>0</v>
      </c>
      <c r="S92" t="n">
        <v>0</v>
      </c>
      <c r="T92" t="n">
        <v>0</v>
      </c>
      <c r="U92" s="2" t="inlineStr"/>
    </row>
    <row r="93" ht="15" customHeight="1">
      <c r="A93" t="inlineStr">
        <is>
          <t>A 8111-2026</t>
        </is>
      </c>
      <c r="B93" t="inlineStr">
        <is>
          <t>avverkningsanmälan</t>
        </is>
      </c>
      <c r="C93" t="inlineStr">
        <is>
          <t>Föryngringsavverkning</t>
        </is>
      </c>
      <c r="D93" s="1" t="n">
        <v>46062</v>
      </c>
      <c r="E93" s="1" t="n">
        <v>46221</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s="2" t="inlineStr"/>
    </row>
    <row r="94" ht="15" customHeight="1">
      <c r="A94" t="inlineStr">
        <is>
          <t>A 51976-2025</t>
        </is>
      </c>
      <c r="B94" t="inlineStr">
        <is>
          <t>avverkningsanmälan</t>
        </is>
      </c>
      <c r="C94" t="inlineStr">
        <is>
          <t>Föryngringsavverkning</t>
        </is>
      </c>
      <c r="D94" s="1" t="n">
        <v>45952</v>
      </c>
      <c r="E94" s="1" t="n">
        <v>46221</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s="2" t="inlineStr"/>
    </row>
    <row r="95" ht="15" customHeight="1">
      <c r="A95" t="inlineStr">
        <is>
          <t>A 17044-2025</t>
        </is>
      </c>
      <c r="B95" t="inlineStr">
        <is>
          <t>avverkningsanmälan</t>
        </is>
      </c>
      <c r="C95" t="inlineStr">
        <is>
          <t>Föryngringsavverkning</t>
        </is>
      </c>
      <c r="D95" s="1" t="n">
        <v>45755</v>
      </c>
      <c r="E95" s="1" t="n">
        <v>46221</v>
      </c>
      <c r="F95" t="inlineStr">
        <is>
          <t>VÄSTRA GÖTALANDS LÄN</t>
        </is>
      </c>
      <c r="G95" t="inlineStr">
        <is>
          <t>ALE</t>
        </is>
      </c>
      <c r="I95" t="n">
        <v>1.5</v>
      </c>
      <c r="J95" t="n">
        <v>0</v>
      </c>
      <c r="K95" t="n">
        <v>0</v>
      </c>
      <c r="L95" t="n">
        <v>0</v>
      </c>
      <c r="M95" t="n">
        <v>0</v>
      </c>
      <c r="N95" t="n">
        <v>0</v>
      </c>
      <c r="O95" t="n">
        <v>0</v>
      </c>
      <c r="P95" t="n">
        <v>0</v>
      </c>
      <c r="Q95" t="n">
        <v>0</v>
      </c>
      <c r="R95" t="n">
        <v>0</v>
      </c>
      <c r="S95" t="n">
        <v>0</v>
      </c>
      <c r="T95" t="n">
        <v>0</v>
      </c>
      <c r="U95" s="2" t="inlineStr"/>
    </row>
    <row r="96" ht="15" customHeight="1">
      <c r="A96" t="inlineStr">
        <is>
          <t>A 10459-2026</t>
        </is>
      </c>
      <c r="B96" t="inlineStr">
        <is>
          <t>avverkningsanmälan</t>
        </is>
      </c>
      <c r="C96" t="inlineStr">
        <is>
          <t>Föryngringsavverkning</t>
        </is>
      </c>
      <c r="D96" s="1" t="n">
        <v>46077</v>
      </c>
      <c r="E96" s="1" t="n">
        <v>46221</v>
      </c>
      <c r="F96" t="inlineStr">
        <is>
          <t>VÄSTRA GÖTALANDS LÄN</t>
        </is>
      </c>
      <c r="G96" t="inlineStr">
        <is>
          <t>ALE</t>
        </is>
      </c>
      <c r="I96" t="n">
        <v>3.8</v>
      </c>
      <c r="J96" t="n">
        <v>0</v>
      </c>
      <c r="K96" t="n">
        <v>0</v>
      </c>
      <c r="L96" t="n">
        <v>0</v>
      </c>
      <c r="M96" t="n">
        <v>0</v>
      </c>
      <c r="N96" t="n">
        <v>0</v>
      </c>
      <c r="O96" t="n">
        <v>0</v>
      </c>
      <c r="P96" t="n">
        <v>0</v>
      </c>
      <c r="Q96" t="n">
        <v>0</v>
      </c>
      <c r="R96" t="n">
        <v>0</v>
      </c>
      <c r="S96" t="n">
        <v>0</v>
      </c>
      <c r="T96" t="n">
        <v>0</v>
      </c>
      <c r="U96" s="2" t="inlineStr"/>
    </row>
    <row r="97" ht="15" customHeight="1">
      <c r="A97" t="inlineStr">
        <is>
          <t>A 34104-2024</t>
        </is>
      </c>
      <c r="B97" t="inlineStr">
        <is>
          <t>avverkningsanmälan</t>
        </is>
      </c>
      <c r="C97" t="inlineStr">
        <is>
          <t>Föryngringsavverkning</t>
        </is>
      </c>
      <c r="D97" s="1" t="n">
        <v>45523</v>
      </c>
      <c r="E97" s="1" t="n">
        <v>46221</v>
      </c>
      <c r="F97" t="inlineStr">
        <is>
          <t>VÄSTRA GÖTALANDS LÄN</t>
        </is>
      </c>
      <c r="G97" t="inlineStr">
        <is>
          <t>ALE</t>
        </is>
      </c>
      <c r="I97" t="n">
        <v>2.2</v>
      </c>
      <c r="J97" t="n">
        <v>0</v>
      </c>
      <c r="K97" t="n">
        <v>0</v>
      </c>
      <c r="L97" t="n">
        <v>0</v>
      </c>
      <c r="M97" t="n">
        <v>0</v>
      </c>
      <c r="N97" t="n">
        <v>0</v>
      </c>
      <c r="O97" t="n">
        <v>0</v>
      </c>
      <c r="P97" t="n">
        <v>0</v>
      </c>
      <c r="Q97" t="n">
        <v>0</v>
      </c>
      <c r="R97" t="n">
        <v>0</v>
      </c>
      <c r="S97" t="n">
        <v>0</v>
      </c>
      <c r="T97" t="n">
        <v>0</v>
      </c>
      <c r="U97" s="2" t="inlineStr"/>
    </row>
    <row r="98" ht="15" customHeight="1">
      <c r="A98" t="inlineStr">
        <is>
          <t>A 56905-2025</t>
        </is>
      </c>
      <c r="B98" t="inlineStr">
        <is>
          <t>avverkningsanmälan</t>
        </is>
      </c>
      <c r="C98" t="inlineStr">
        <is>
          <t>Föryngringsavverkning</t>
        </is>
      </c>
      <c r="D98" s="1" t="n">
        <v>45978</v>
      </c>
      <c r="E98" s="1" t="n">
        <v>46221</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s="2" t="inlineStr"/>
    </row>
    <row r="99" ht="15" customHeight="1">
      <c r="A99" t="inlineStr">
        <is>
          <t>A 48257-2022</t>
        </is>
      </c>
      <c r="B99" t="inlineStr">
        <is>
          <t>avverkningsanmälan</t>
        </is>
      </c>
      <c r="C99" t="inlineStr">
        <is>
          <t>Föryngringsavverkning</t>
        </is>
      </c>
      <c r="D99" s="1" t="n">
        <v>44858</v>
      </c>
      <c r="E99" s="1" t="n">
        <v>46221</v>
      </c>
      <c r="F99" t="inlineStr">
        <is>
          <t>VÄSTRA GÖTALANDS LÄN</t>
        </is>
      </c>
      <c r="G99" t="inlineStr">
        <is>
          <t>ALE</t>
        </is>
      </c>
      <c r="I99" t="n">
        <v>1</v>
      </c>
      <c r="J99" t="n">
        <v>0</v>
      </c>
      <c r="K99" t="n">
        <v>0</v>
      </c>
      <c r="L99" t="n">
        <v>0</v>
      </c>
      <c r="M99" t="n">
        <v>0</v>
      </c>
      <c r="N99" t="n">
        <v>0</v>
      </c>
      <c r="O99" t="n">
        <v>0</v>
      </c>
      <c r="P99" t="n">
        <v>0</v>
      </c>
      <c r="Q99" t="n">
        <v>0</v>
      </c>
      <c r="R99" t="n">
        <v>0</v>
      </c>
      <c r="S99" t="n">
        <v>0</v>
      </c>
      <c r="T99" t="n">
        <v>0</v>
      </c>
      <c r="U99" s="2" t="inlineStr"/>
    </row>
    <row r="100" ht="15" customHeight="1">
      <c r="A100" t="inlineStr">
        <is>
          <t>A 1687-2024</t>
        </is>
      </c>
      <c r="B100" t="inlineStr">
        <is>
          <t>avverkningsanmälan</t>
        </is>
      </c>
      <c r="C100" t="inlineStr">
        <is>
          <t>Föryngringsavverkning</t>
        </is>
      </c>
      <c r="D100" s="1" t="n">
        <v>45306</v>
      </c>
      <c r="E100" s="1" t="n">
        <v>46221</v>
      </c>
      <c r="F100" t="inlineStr">
        <is>
          <t>VÄSTRA GÖTALANDS LÄN</t>
        </is>
      </c>
      <c r="G100" t="inlineStr">
        <is>
          <t>ALE</t>
        </is>
      </c>
      <c r="I100" t="n">
        <v>3.4</v>
      </c>
      <c r="J100" t="n">
        <v>0</v>
      </c>
      <c r="K100" t="n">
        <v>0</v>
      </c>
      <c r="L100" t="n">
        <v>0</v>
      </c>
      <c r="M100" t="n">
        <v>0</v>
      </c>
      <c r="N100" t="n">
        <v>0</v>
      </c>
      <c r="O100" t="n">
        <v>0</v>
      </c>
      <c r="P100" t="n">
        <v>0</v>
      </c>
      <c r="Q100" t="n">
        <v>0</v>
      </c>
      <c r="R100" t="n">
        <v>0</v>
      </c>
      <c r="S100" t="n">
        <v>0</v>
      </c>
      <c r="T100" t="n">
        <v>0</v>
      </c>
      <c r="U100" s="2" t="inlineStr"/>
    </row>
    <row r="101" ht="15" customHeight="1">
      <c r="A101" t="inlineStr">
        <is>
          <t>A 31407-2025</t>
        </is>
      </c>
      <c r="B101" t="inlineStr">
        <is>
          <t>avverkningsanmälan</t>
        </is>
      </c>
      <c r="C101" t="inlineStr">
        <is>
          <t>Föryngringsavverkning</t>
        </is>
      </c>
      <c r="D101" s="1" t="n">
        <v>45833</v>
      </c>
      <c r="E101" s="1" t="n">
        <v>46221</v>
      </c>
      <c r="F101" t="inlineStr">
        <is>
          <t>VÄSTRA GÖTALANDS LÄN</t>
        </is>
      </c>
      <c r="G101" t="inlineStr">
        <is>
          <t>ALE</t>
        </is>
      </c>
      <c r="I101" t="n">
        <v>0.8</v>
      </c>
      <c r="J101" t="n">
        <v>0</v>
      </c>
      <c r="K101" t="n">
        <v>0</v>
      </c>
      <c r="L101" t="n">
        <v>0</v>
      </c>
      <c r="M101" t="n">
        <v>0</v>
      </c>
      <c r="N101" t="n">
        <v>0</v>
      </c>
      <c r="O101" t="n">
        <v>0</v>
      </c>
      <c r="P101" t="n">
        <v>0</v>
      </c>
      <c r="Q101" t="n">
        <v>0</v>
      </c>
      <c r="R101" t="n">
        <v>0</v>
      </c>
      <c r="S101" t="n">
        <v>0</v>
      </c>
      <c r="T101" t="n">
        <v>0</v>
      </c>
      <c r="U101" s="2" t="inlineStr"/>
    </row>
    <row r="102" ht="15" customHeight="1">
      <c r="A102" t="inlineStr">
        <is>
          <t>A 59409-2025</t>
        </is>
      </c>
      <c r="B102" t="inlineStr">
        <is>
          <t>avverkningsanmälan</t>
        </is>
      </c>
      <c r="C102" t="inlineStr">
        <is>
          <t>Föryngringsavverkning</t>
        </is>
      </c>
      <c r="D102" s="1" t="n">
        <v>45989</v>
      </c>
      <c r="E102" s="1" t="n">
        <v>46221</v>
      </c>
      <c r="F102" t="inlineStr">
        <is>
          <t>VÄSTRA GÖTALANDS LÄN</t>
        </is>
      </c>
      <c r="G102" t="inlineStr">
        <is>
          <t>ALE</t>
        </is>
      </c>
      <c r="I102" t="n">
        <v>0.3</v>
      </c>
      <c r="J102" t="n">
        <v>0</v>
      </c>
      <c r="K102" t="n">
        <v>0</v>
      </c>
      <c r="L102" t="n">
        <v>0</v>
      </c>
      <c r="M102" t="n">
        <v>0</v>
      </c>
      <c r="N102" t="n">
        <v>0</v>
      </c>
      <c r="O102" t="n">
        <v>0</v>
      </c>
      <c r="P102" t="n">
        <v>0</v>
      </c>
      <c r="Q102" t="n">
        <v>0</v>
      </c>
      <c r="R102" t="n">
        <v>0</v>
      </c>
      <c r="S102" t="n">
        <v>0</v>
      </c>
      <c r="T102" t="n">
        <v>0</v>
      </c>
      <c r="U102" s="2" t="inlineStr"/>
    </row>
    <row r="103" ht="15" customHeight="1">
      <c r="A103" t="inlineStr">
        <is>
          <t>A 49680-2024</t>
        </is>
      </c>
      <c r="B103" t="inlineStr">
        <is>
          <t>avverkningsanmälan</t>
        </is>
      </c>
      <c r="C103" t="inlineStr">
        <is>
          <t>Föryngringsavverkning</t>
        </is>
      </c>
      <c r="D103" s="1" t="n">
        <v>45596</v>
      </c>
      <c r="E103" s="1" t="n">
        <v>46221</v>
      </c>
      <c r="F103" t="inlineStr">
        <is>
          <t>VÄSTRA GÖTALANDS LÄN</t>
        </is>
      </c>
      <c r="G103" t="inlineStr">
        <is>
          <t>ALE</t>
        </is>
      </c>
      <c r="I103" t="n">
        <v>3.7</v>
      </c>
      <c r="J103" t="n">
        <v>0</v>
      </c>
      <c r="K103" t="n">
        <v>0</v>
      </c>
      <c r="L103" t="n">
        <v>0</v>
      </c>
      <c r="M103" t="n">
        <v>0</v>
      </c>
      <c r="N103" t="n">
        <v>0</v>
      </c>
      <c r="O103" t="n">
        <v>0</v>
      </c>
      <c r="P103" t="n">
        <v>0</v>
      </c>
      <c r="Q103" t="n">
        <v>0</v>
      </c>
      <c r="R103" t="n">
        <v>0</v>
      </c>
      <c r="S103" t="n">
        <v>0</v>
      </c>
      <c r="T103" t="n">
        <v>0</v>
      </c>
      <c r="U103" s="2" t="inlineStr"/>
    </row>
    <row r="104" ht="15" customHeight="1">
      <c r="A104" t="inlineStr">
        <is>
          <t>A 60287-2025</t>
        </is>
      </c>
      <c r="B104" t="inlineStr">
        <is>
          <t>avverkningsanmälan</t>
        </is>
      </c>
      <c r="C104" t="inlineStr">
        <is>
          <t>Föryngringsavverkning</t>
        </is>
      </c>
      <c r="D104" s="1" t="n">
        <v>45994</v>
      </c>
      <c r="E104" s="1" t="n">
        <v>46221</v>
      </c>
      <c r="F104" t="inlineStr">
        <is>
          <t>VÄSTRA GÖTALANDS LÄN</t>
        </is>
      </c>
      <c r="G104" t="inlineStr">
        <is>
          <t>ALE</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61744-2025</t>
        </is>
      </c>
      <c r="B105" t="inlineStr">
        <is>
          <t>avverkningsanmälan</t>
        </is>
      </c>
      <c r="C105" t="inlineStr">
        <is>
          <t>Föryngringsavverkning</t>
        </is>
      </c>
      <c r="D105" s="1" t="n">
        <v>46002</v>
      </c>
      <c r="E105" s="1" t="n">
        <v>46221</v>
      </c>
      <c r="F105" t="inlineStr">
        <is>
          <t>VÄSTRA GÖTALANDS LÄN</t>
        </is>
      </c>
      <c r="G105" t="inlineStr">
        <is>
          <t>ALE</t>
        </is>
      </c>
      <c r="I105" t="n">
        <v>3.1</v>
      </c>
      <c r="J105" t="n">
        <v>0</v>
      </c>
      <c r="K105" t="n">
        <v>0</v>
      </c>
      <c r="L105" t="n">
        <v>0</v>
      </c>
      <c r="M105" t="n">
        <v>0</v>
      </c>
      <c r="N105" t="n">
        <v>0</v>
      </c>
      <c r="O105" t="n">
        <v>0</v>
      </c>
      <c r="P105" t="n">
        <v>0</v>
      </c>
      <c r="Q105" t="n">
        <v>0</v>
      </c>
      <c r="R105" t="n">
        <v>0</v>
      </c>
      <c r="S105" t="n">
        <v>0</v>
      </c>
      <c r="T105" t="n">
        <v>0</v>
      </c>
      <c r="U105" s="2" t="inlineStr"/>
    </row>
    <row r="106" ht="15" customHeight="1">
      <c r="A106" t="inlineStr">
        <is>
          <t>A 61771-2025</t>
        </is>
      </c>
      <c r="B106" t="inlineStr">
        <is>
          <t>avverkningsanmälan</t>
        </is>
      </c>
      <c r="C106" t="inlineStr">
        <is>
          <t>Föryngringsavverkning</t>
        </is>
      </c>
      <c r="D106" s="1" t="n">
        <v>46002</v>
      </c>
      <c r="E106" s="1" t="n">
        <v>46221</v>
      </c>
      <c r="F106" t="inlineStr">
        <is>
          <t>VÄSTRA GÖTALANDS LÄN</t>
        </is>
      </c>
      <c r="G106" t="inlineStr">
        <is>
          <t>ALE</t>
        </is>
      </c>
      <c r="I106" t="n">
        <v>3.9</v>
      </c>
      <c r="J106" t="n">
        <v>0</v>
      </c>
      <c r="K106" t="n">
        <v>0</v>
      </c>
      <c r="L106" t="n">
        <v>0</v>
      </c>
      <c r="M106" t="n">
        <v>0</v>
      </c>
      <c r="N106" t="n">
        <v>0</v>
      </c>
      <c r="O106" t="n">
        <v>0</v>
      </c>
      <c r="P106" t="n">
        <v>0</v>
      </c>
      <c r="Q106" t="n">
        <v>0</v>
      </c>
      <c r="R106" t="n">
        <v>0</v>
      </c>
      <c r="S106" t="n">
        <v>0</v>
      </c>
      <c r="T106" t="n">
        <v>0</v>
      </c>
      <c r="U106" s="2" t="inlineStr"/>
    </row>
    <row r="107" ht="15" customHeight="1">
      <c r="A107" t="inlineStr">
        <is>
          <t>A 7807-2023</t>
        </is>
      </c>
      <c r="B107" t="inlineStr">
        <is>
          <t>avverkningsanmälan</t>
        </is>
      </c>
      <c r="C107" t="inlineStr">
        <is>
          <t>Föryngringsavverkning</t>
        </is>
      </c>
      <c r="D107" s="1" t="n">
        <v>44973</v>
      </c>
      <c r="E107" s="1" t="n">
        <v>46221</v>
      </c>
      <c r="F107" t="inlineStr">
        <is>
          <t>VÄSTRA GÖTALANDS LÄN</t>
        </is>
      </c>
      <c r="G107" t="inlineStr">
        <is>
          <t>ALE</t>
        </is>
      </c>
      <c r="I107" t="n">
        <v>10.5</v>
      </c>
      <c r="J107" t="n">
        <v>0</v>
      </c>
      <c r="K107" t="n">
        <v>0</v>
      </c>
      <c r="L107" t="n">
        <v>0</v>
      </c>
      <c r="M107" t="n">
        <v>0</v>
      </c>
      <c r="N107" t="n">
        <v>0</v>
      </c>
      <c r="O107" t="n">
        <v>0</v>
      </c>
      <c r="P107" t="n">
        <v>0</v>
      </c>
      <c r="Q107" t="n">
        <v>0</v>
      </c>
      <c r="R107" t="n">
        <v>0</v>
      </c>
      <c r="S107" t="n">
        <v>0</v>
      </c>
      <c r="T107" t="n">
        <v>0</v>
      </c>
      <c r="U107" s="2" t="inlineStr"/>
    </row>
    <row r="108" ht="15" customHeight="1">
      <c r="A108" t="inlineStr">
        <is>
          <t>A 55488-2022</t>
        </is>
      </c>
      <c r="B108" t="inlineStr">
        <is>
          <t>avverkningsanmälan</t>
        </is>
      </c>
      <c r="C108" t="inlineStr">
        <is>
          <t>Föryngringsavverkning</t>
        </is>
      </c>
      <c r="D108" s="1" t="n">
        <v>44887</v>
      </c>
      <c r="E108" s="1" t="n">
        <v>46221</v>
      </c>
      <c r="F108" t="inlineStr">
        <is>
          <t>VÄSTRA GÖTALANDS LÄN</t>
        </is>
      </c>
      <c r="G108" t="inlineStr">
        <is>
          <t>ALE</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2414-2026</t>
        </is>
      </c>
      <c r="B109" t="inlineStr">
        <is>
          <t>avverkningsanmälan</t>
        </is>
      </c>
      <c r="C109" t="inlineStr">
        <is>
          <t>Föryngringsavverkning</t>
        </is>
      </c>
      <c r="D109" s="1" t="n">
        <v>46036</v>
      </c>
      <c r="E109" s="1" t="n">
        <v>46221</v>
      </c>
      <c r="F109" t="inlineStr">
        <is>
          <t>VÄSTRA GÖTALANDS LÄN</t>
        </is>
      </c>
      <c r="G109" t="inlineStr">
        <is>
          <t>ALE</t>
        </is>
      </c>
      <c r="I109" t="n">
        <v>3.3</v>
      </c>
      <c r="J109" t="n">
        <v>0</v>
      </c>
      <c r="K109" t="n">
        <v>0</v>
      </c>
      <c r="L109" t="n">
        <v>0</v>
      </c>
      <c r="M109" t="n">
        <v>0</v>
      </c>
      <c r="N109" t="n">
        <v>0</v>
      </c>
      <c r="O109" t="n">
        <v>0</v>
      </c>
      <c r="P109" t="n">
        <v>0</v>
      </c>
      <c r="Q109" t="n">
        <v>0</v>
      </c>
      <c r="R109" t="n">
        <v>0</v>
      </c>
      <c r="S109" t="n">
        <v>0</v>
      </c>
      <c r="T109" t="n">
        <v>0</v>
      </c>
      <c r="U109" s="2" t="inlineStr"/>
    </row>
    <row r="110" ht="15" customHeight="1">
      <c r="A110" t="inlineStr">
        <is>
          <t>A 42446-2023</t>
        </is>
      </c>
      <c r="B110" t="inlineStr">
        <is>
          <t>avverkningsanmälan</t>
        </is>
      </c>
      <c r="C110" t="inlineStr">
        <is>
          <t>Föryngringsavverkning</t>
        </is>
      </c>
      <c r="D110" s="1" t="n">
        <v>45180</v>
      </c>
      <c r="E110" s="1" t="n">
        <v>46221</v>
      </c>
      <c r="F110" t="inlineStr">
        <is>
          <t>VÄSTRA GÖTALANDS LÄN</t>
        </is>
      </c>
      <c r="G110" t="inlineStr">
        <is>
          <t>ALE</t>
        </is>
      </c>
      <c r="I110" t="n">
        <v>0.8</v>
      </c>
      <c r="J110" t="n">
        <v>0</v>
      </c>
      <c r="K110" t="n">
        <v>0</v>
      </c>
      <c r="L110" t="n">
        <v>0</v>
      </c>
      <c r="M110" t="n">
        <v>0</v>
      </c>
      <c r="N110" t="n">
        <v>0</v>
      </c>
      <c r="O110" t="n">
        <v>0</v>
      </c>
      <c r="P110" t="n">
        <v>0</v>
      </c>
      <c r="Q110" t="n">
        <v>0</v>
      </c>
      <c r="R110" t="n">
        <v>0</v>
      </c>
      <c r="S110" t="n">
        <v>0</v>
      </c>
      <c r="T110" t="n">
        <v>0</v>
      </c>
      <c r="U110" s="2" t="inlineStr"/>
    </row>
    <row r="111" ht="15" customHeight="1">
      <c r="A111" t="inlineStr">
        <is>
          <t>A 67160-2021</t>
        </is>
      </c>
      <c r="B111" t="inlineStr">
        <is>
          <t>avverkningsanmälan</t>
        </is>
      </c>
      <c r="C111" t="inlineStr">
        <is>
          <t>Föryngringsavverkning</t>
        </is>
      </c>
      <c r="D111" s="1" t="n">
        <v>44523</v>
      </c>
      <c r="E111" s="1" t="n">
        <v>46221</v>
      </c>
      <c r="F111" t="inlineStr">
        <is>
          <t>VÄSTRA GÖTALANDS LÄN</t>
        </is>
      </c>
      <c r="G111" t="inlineStr">
        <is>
          <t>ALE</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16344-2023</t>
        </is>
      </c>
      <c r="B112" t="inlineStr">
        <is>
          <t>avverkningsanmälan</t>
        </is>
      </c>
      <c r="C112" t="inlineStr">
        <is>
          <t>Föryngringsavverkning</t>
        </is>
      </c>
      <c r="D112" s="1" t="n">
        <v>45028</v>
      </c>
      <c r="E112" s="1" t="n">
        <v>46221</v>
      </c>
      <c r="F112" t="inlineStr">
        <is>
          <t>VÄSTRA GÖTALANDS LÄN</t>
        </is>
      </c>
      <c r="G112" t="inlineStr">
        <is>
          <t>ALE</t>
        </is>
      </c>
      <c r="I112" t="n">
        <v>6.6</v>
      </c>
      <c r="J112" t="n">
        <v>0</v>
      </c>
      <c r="K112" t="n">
        <v>0</v>
      </c>
      <c r="L112" t="n">
        <v>0</v>
      </c>
      <c r="M112" t="n">
        <v>0</v>
      </c>
      <c r="N112" t="n">
        <v>0</v>
      </c>
      <c r="O112" t="n">
        <v>0</v>
      </c>
      <c r="P112" t="n">
        <v>0</v>
      </c>
      <c r="Q112" t="n">
        <v>0</v>
      </c>
      <c r="R112" t="n">
        <v>0</v>
      </c>
      <c r="S112" t="n">
        <v>0</v>
      </c>
      <c r="T112" t="n">
        <v>0</v>
      </c>
      <c r="U112" s="2" t="inlineStr"/>
    </row>
    <row r="113" ht="15" customHeight="1">
      <c r="A113" t="inlineStr">
        <is>
          <t>A 32762-2023</t>
        </is>
      </c>
      <c r="B113" t="inlineStr">
        <is>
          <t>avverkningsanmälan</t>
        </is>
      </c>
      <c r="C113" t="inlineStr">
        <is>
          <t>Föryngringsavverkning</t>
        </is>
      </c>
      <c r="D113" s="1" t="n">
        <v>45123</v>
      </c>
      <c r="E113" s="1" t="n">
        <v>46221</v>
      </c>
      <c r="F113" t="inlineStr">
        <is>
          <t>VÄSTRA GÖTALANDS LÄN</t>
        </is>
      </c>
      <c r="G113" t="inlineStr">
        <is>
          <t>ALE</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14458-2024</t>
        </is>
      </c>
      <c r="B114" t="inlineStr">
        <is>
          <t>avverkningsanmälan</t>
        </is>
      </c>
      <c r="C114" t="inlineStr">
        <is>
          <t>Avverkning för annat ändamål</t>
        </is>
      </c>
      <c r="D114" s="1" t="n">
        <v>45394</v>
      </c>
      <c r="E114" s="1" t="n">
        <v>46221</v>
      </c>
      <c r="F114" t="inlineStr">
        <is>
          <t>VÄSTRA GÖTALANDS LÄN</t>
        </is>
      </c>
      <c r="G114" t="inlineStr">
        <is>
          <t>ALE</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17199-2026</t>
        </is>
      </c>
      <c r="B115" t="inlineStr">
        <is>
          <t>avverkningsanmälan</t>
        </is>
      </c>
      <c r="C115" t="inlineStr">
        <is>
          <t>Föryngringsavverkning</t>
        </is>
      </c>
      <c r="D115" s="1" t="n">
        <v>46118</v>
      </c>
      <c r="E115" s="1" t="n">
        <v>46221</v>
      </c>
      <c r="F115" t="inlineStr">
        <is>
          <t>VÄSTRA GÖTALANDS LÄN</t>
        </is>
      </c>
      <c r="G115" t="inlineStr">
        <is>
          <t>ALE</t>
        </is>
      </c>
      <c r="I115" t="n">
        <v>3.7</v>
      </c>
      <c r="J115" t="n">
        <v>0</v>
      </c>
      <c r="K115" t="n">
        <v>0</v>
      </c>
      <c r="L115" t="n">
        <v>0</v>
      </c>
      <c r="M115" t="n">
        <v>0</v>
      </c>
      <c r="N115" t="n">
        <v>0</v>
      </c>
      <c r="O115" t="n">
        <v>0</v>
      </c>
      <c r="P115" t="n">
        <v>0</v>
      </c>
      <c r="Q115" t="n">
        <v>0</v>
      </c>
      <c r="R115" t="n">
        <v>0</v>
      </c>
      <c r="S115" t="n">
        <v>0</v>
      </c>
      <c r="T115" t="n">
        <v>0</v>
      </c>
      <c r="U115" s="2" t="inlineStr"/>
    </row>
    <row r="116" ht="15" customHeight="1">
      <c r="A116" t="inlineStr">
        <is>
          <t>A 47087-2023</t>
        </is>
      </c>
      <c r="B116" t="inlineStr">
        <is>
          <t>avverkningsanmälan</t>
        </is>
      </c>
      <c r="C116" t="inlineStr">
        <is>
          <t>Föryngringsavverkning</t>
        </is>
      </c>
      <c r="D116" s="1" t="n">
        <v>45196</v>
      </c>
      <c r="E116" s="1" t="n">
        <v>46221</v>
      </c>
      <c r="F116" t="inlineStr">
        <is>
          <t>VÄSTRA GÖTALANDS LÄN</t>
        </is>
      </c>
      <c r="G116" t="inlineStr">
        <is>
          <t>ALE</t>
        </is>
      </c>
      <c r="I116" t="n">
        <v>1.6</v>
      </c>
      <c r="J116" t="n">
        <v>0</v>
      </c>
      <c r="K116" t="n">
        <v>0</v>
      </c>
      <c r="L116" t="n">
        <v>0</v>
      </c>
      <c r="M116" t="n">
        <v>0</v>
      </c>
      <c r="N116" t="n">
        <v>0</v>
      </c>
      <c r="O116" t="n">
        <v>0</v>
      </c>
      <c r="P116" t="n">
        <v>0</v>
      </c>
      <c r="Q116" t="n">
        <v>0</v>
      </c>
      <c r="R116" t="n">
        <v>0</v>
      </c>
      <c r="S116" t="n">
        <v>0</v>
      </c>
      <c r="T116" t="n">
        <v>0</v>
      </c>
      <c r="U116" s="2" t="inlineStr"/>
    </row>
    <row r="117" ht="15" customHeight="1">
      <c r="A117" t="inlineStr">
        <is>
          <t>A 4642-2024</t>
        </is>
      </c>
      <c r="B117" t="inlineStr">
        <is>
          <t>avverkningsanmälan</t>
        </is>
      </c>
      <c r="C117" t="inlineStr">
        <is>
          <t>Föryngringsavverkning</t>
        </is>
      </c>
      <c r="D117" s="1" t="n">
        <v>45328</v>
      </c>
      <c r="E117" s="1" t="n">
        <v>46221</v>
      </c>
      <c r="F117" t="inlineStr">
        <is>
          <t>VÄSTRA GÖTALANDS LÄN</t>
        </is>
      </c>
      <c r="G117" t="inlineStr">
        <is>
          <t>ALE</t>
        </is>
      </c>
      <c r="I117" t="n">
        <v>7.1</v>
      </c>
      <c r="J117" t="n">
        <v>0</v>
      </c>
      <c r="K117" t="n">
        <v>0</v>
      </c>
      <c r="L117" t="n">
        <v>0</v>
      </c>
      <c r="M117" t="n">
        <v>0</v>
      </c>
      <c r="N117" t="n">
        <v>0</v>
      </c>
      <c r="O117" t="n">
        <v>0</v>
      </c>
      <c r="P117" t="n">
        <v>0</v>
      </c>
      <c r="Q117" t="n">
        <v>0</v>
      </c>
      <c r="R117" t="n">
        <v>0</v>
      </c>
      <c r="S117" t="n">
        <v>0</v>
      </c>
      <c r="T117" t="n">
        <v>0</v>
      </c>
      <c r="U117" s="2" t="inlineStr"/>
    </row>
    <row r="118" ht="15" customHeight="1">
      <c r="A118" t="inlineStr">
        <is>
          <t>A 19613-2026</t>
        </is>
      </c>
      <c r="B118" t="inlineStr">
        <is>
          <t>avverkningsanmälan</t>
        </is>
      </c>
      <c r="C118" t="inlineStr">
        <is>
          <t>Föryngringsavverkning</t>
        </is>
      </c>
      <c r="D118" s="1" t="n">
        <v>46134</v>
      </c>
      <c r="E118" s="1" t="n">
        <v>46221</v>
      </c>
      <c r="F118" t="inlineStr">
        <is>
          <t>VÄSTRA GÖTALANDS LÄN</t>
        </is>
      </c>
      <c r="G118" t="inlineStr">
        <is>
          <t>ALE</t>
        </is>
      </c>
      <c r="I118" t="n">
        <v>2.2</v>
      </c>
      <c r="J118" t="n">
        <v>0</v>
      </c>
      <c r="K118" t="n">
        <v>0</v>
      </c>
      <c r="L118" t="n">
        <v>0</v>
      </c>
      <c r="M118" t="n">
        <v>0</v>
      </c>
      <c r="N118" t="n">
        <v>0</v>
      </c>
      <c r="O118" t="n">
        <v>0</v>
      </c>
      <c r="P118" t="n">
        <v>0</v>
      </c>
      <c r="Q118" t="n">
        <v>0</v>
      </c>
      <c r="R118" t="n">
        <v>0</v>
      </c>
      <c r="S118" t="n">
        <v>0</v>
      </c>
      <c r="T118" t="n">
        <v>0</v>
      </c>
      <c r="U118" s="2" t="inlineStr"/>
    </row>
    <row r="119" ht="15" customHeight="1">
      <c r="A119" t="inlineStr">
        <is>
          <t>A 14731-2022</t>
        </is>
      </c>
      <c r="B119" t="inlineStr">
        <is>
          <t>avverkningsanmälan</t>
        </is>
      </c>
      <c r="C119" t="inlineStr">
        <is>
          <t>Föryngringsavverkning</t>
        </is>
      </c>
      <c r="D119" s="1" t="n">
        <v>44656</v>
      </c>
      <c r="E119" s="1" t="n">
        <v>46221</v>
      </c>
      <c r="F119" t="inlineStr">
        <is>
          <t>VÄSTRA GÖTALANDS LÄN</t>
        </is>
      </c>
      <c r="G119" t="inlineStr">
        <is>
          <t>ALE</t>
        </is>
      </c>
      <c r="I119" t="n">
        <v>1.8</v>
      </c>
      <c r="J119" t="n">
        <v>0</v>
      </c>
      <c r="K119" t="n">
        <v>0</v>
      </c>
      <c r="L119" t="n">
        <v>0</v>
      </c>
      <c r="M119" t="n">
        <v>0</v>
      </c>
      <c r="N119" t="n">
        <v>0</v>
      </c>
      <c r="O119" t="n">
        <v>0</v>
      </c>
      <c r="P119" t="n">
        <v>0</v>
      </c>
      <c r="Q119" t="n">
        <v>0</v>
      </c>
      <c r="R119" t="n">
        <v>0</v>
      </c>
      <c r="S119" t="n">
        <v>0</v>
      </c>
      <c r="T119" t="n">
        <v>0</v>
      </c>
      <c r="U119" s="2" t="inlineStr"/>
    </row>
    <row r="120" ht="15" customHeight="1">
      <c r="A120" t="inlineStr">
        <is>
          <t>A 3520-2022</t>
        </is>
      </c>
      <c r="B120" t="inlineStr">
        <is>
          <t>avverkningsanmälan</t>
        </is>
      </c>
      <c r="C120" t="inlineStr">
        <is>
          <t>Föryngringsavverkning</t>
        </is>
      </c>
      <c r="D120" s="1" t="n">
        <v>44585</v>
      </c>
      <c r="E120" s="1" t="n">
        <v>46221</v>
      </c>
      <c r="F120" t="inlineStr">
        <is>
          <t>VÄSTRA GÖTALANDS LÄN</t>
        </is>
      </c>
      <c r="G120" t="inlineStr">
        <is>
          <t>ALE</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25840-2025</t>
        </is>
      </c>
      <c r="B121" t="inlineStr">
        <is>
          <t>avverkningsanmälan</t>
        </is>
      </c>
      <c r="C121" t="inlineStr">
        <is>
          <t>Avverkning för annat ändamål</t>
        </is>
      </c>
      <c r="D121" s="1" t="n">
        <v>45804</v>
      </c>
      <c r="E121" s="1" t="n">
        <v>46221</v>
      </c>
      <c r="F121" t="inlineStr">
        <is>
          <t>VÄSTRA GÖTALANDS LÄN</t>
        </is>
      </c>
      <c r="G121" t="inlineStr">
        <is>
          <t>ALE</t>
        </is>
      </c>
      <c r="I121" t="n">
        <v>3.8</v>
      </c>
      <c r="J121" t="n">
        <v>0</v>
      </c>
      <c r="K121" t="n">
        <v>0</v>
      </c>
      <c r="L121" t="n">
        <v>0</v>
      </c>
      <c r="M121" t="n">
        <v>0</v>
      </c>
      <c r="N121" t="n">
        <v>0</v>
      </c>
      <c r="O121" t="n">
        <v>0</v>
      </c>
      <c r="P121" t="n">
        <v>0</v>
      </c>
      <c r="Q121" t="n">
        <v>0</v>
      </c>
      <c r="R121" t="n">
        <v>0</v>
      </c>
      <c r="S121" t="n">
        <v>0</v>
      </c>
      <c r="T121" t="n">
        <v>0</v>
      </c>
      <c r="U121" s="2" t="inlineStr"/>
    </row>
    <row r="122" ht="15" customHeight="1">
      <c r="A122" t="inlineStr">
        <is>
          <t>A 44429-2023</t>
        </is>
      </c>
      <c r="B122" t="inlineStr">
        <is>
          <t>avverkningsanmälan</t>
        </is>
      </c>
      <c r="C122" t="inlineStr">
        <is>
          <t>Föryngringsavverkning</t>
        </is>
      </c>
      <c r="D122" s="1" t="n">
        <v>45189</v>
      </c>
      <c r="E122" s="1" t="n">
        <v>46221</v>
      </c>
      <c r="F122" t="inlineStr">
        <is>
          <t>VÄSTRA GÖTALANDS LÄN</t>
        </is>
      </c>
      <c r="G122" t="inlineStr">
        <is>
          <t>ALE</t>
        </is>
      </c>
      <c r="I122" t="n">
        <v>0.1</v>
      </c>
      <c r="J122" t="n">
        <v>0</v>
      </c>
      <c r="K122" t="n">
        <v>0</v>
      </c>
      <c r="L122" t="n">
        <v>0</v>
      </c>
      <c r="M122" t="n">
        <v>0</v>
      </c>
      <c r="N122" t="n">
        <v>0</v>
      </c>
      <c r="O122" t="n">
        <v>0</v>
      </c>
      <c r="P122" t="n">
        <v>0</v>
      </c>
      <c r="Q122" t="n">
        <v>0</v>
      </c>
      <c r="R122" t="n">
        <v>0</v>
      </c>
      <c r="S122" t="n">
        <v>0</v>
      </c>
      <c r="T122" t="n">
        <v>0</v>
      </c>
      <c r="U122" s="2" t="inlineStr"/>
    </row>
    <row r="123" ht="15" customHeight="1">
      <c r="A123" t="inlineStr">
        <is>
          <t>A 7892-2024</t>
        </is>
      </c>
      <c r="B123" t="inlineStr">
        <is>
          <t>avverkningsanmälan</t>
        </is>
      </c>
      <c r="C123" t="inlineStr">
        <is>
          <t>Föryngringsavverkning</t>
        </is>
      </c>
      <c r="D123" s="1" t="n">
        <v>45350</v>
      </c>
      <c r="E123" s="1" t="n">
        <v>46221</v>
      </c>
      <c r="F123" t="inlineStr">
        <is>
          <t>VÄSTRA GÖTALANDS LÄN</t>
        </is>
      </c>
      <c r="G123" t="inlineStr">
        <is>
          <t>ALE</t>
        </is>
      </c>
      <c r="I123" t="n">
        <v>3.6</v>
      </c>
      <c r="J123" t="n">
        <v>0</v>
      </c>
      <c r="K123" t="n">
        <v>0</v>
      </c>
      <c r="L123" t="n">
        <v>0</v>
      </c>
      <c r="M123" t="n">
        <v>0</v>
      </c>
      <c r="N123" t="n">
        <v>0</v>
      </c>
      <c r="O123" t="n">
        <v>0</v>
      </c>
      <c r="P123" t="n">
        <v>0</v>
      </c>
      <c r="Q123" t="n">
        <v>0</v>
      </c>
      <c r="R123" t="n">
        <v>0</v>
      </c>
      <c r="S123" t="n">
        <v>0</v>
      </c>
      <c r="T123" t="n">
        <v>0</v>
      </c>
      <c r="U123" s="2" t="inlineStr"/>
    </row>
    <row r="124" ht="15" customHeight="1">
      <c r="A124" t="inlineStr">
        <is>
          <t>A 51164-2024</t>
        </is>
      </c>
      <c r="B124" t="inlineStr">
        <is>
          <t>avverkningsanmälan</t>
        </is>
      </c>
      <c r="C124" t="inlineStr">
        <is>
          <t>Föryngringsavverkning</t>
        </is>
      </c>
      <c r="D124" s="1" t="n">
        <v>45603</v>
      </c>
      <c r="E124" s="1" t="n">
        <v>46221</v>
      </c>
      <c r="F124" t="inlineStr">
        <is>
          <t>VÄSTRA GÖTALANDS LÄN</t>
        </is>
      </c>
      <c r="G124" t="inlineStr">
        <is>
          <t>ALE</t>
        </is>
      </c>
      <c r="I124" t="n">
        <v>1.1</v>
      </c>
      <c r="J124" t="n">
        <v>0</v>
      </c>
      <c r="K124" t="n">
        <v>0</v>
      </c>
      <c r="L124" t="n">
        <v>0</v>
      </c>
      <c r="M124" t="n">
        <v>0</v>
      </c>
      <c r="N124" t="n">
        <v>0</v>
      </c>
      <c r="O124" t="n">
        <v>0</v>
      </c>
      <c r="P124" t="n">
        <v>0</v>
      </c>
      <c r="Q124" t="n">
        <v>0</v>
      </c>
      <c r="R124" t="n">
        <v>0</v>
      </c>
      <c r="S124" t="n">
        <v>0</v>
      </c>
      <c r="T124" t="n">
        <v>0</v>
      </c>
      <c r="U124" s="2" t="inlineStr"/>
    </row>
    <row r="125" ht="15" customHeight="1">
      <c r="A125" t="inlineStr">
        <is>
          <t>A 4444-2024</t>
        </is>
      </c>
      <c r="B125" t="inlineStr">
        <is>
          <t>avverkningsanmälan</t>
        </is>
      </c>
      <c r="C125" t="inlineStr">
        <is>
          <t>Föryngringsavverkning</t>
        </is>
      </c>
      <c r="D125" s="1" t="n">
        <v>45327</v>
      </c>
      <c r="E125" s="1" t="n">
        <v>46221</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72801-2021</t>
        </is>
      </c>
      <c r="B126" t="inlineStr">
        <is>
          <t>avverkningsanmälan</t>
        </is>
      </c>
      <c r="C126" t="inlineStr">
        <is>
          <t>Föryngringsavverkning</t>
        </is>
      </c>
      <c r="D126" s="1" t="n">
        <v>44546</v>
      </c>
      <c r="E126" s="1" t="n">
        <v>46221</v>
      </c>
      <c r="F126" t="inlineStr">
        <is>
          <t>VÄSTRA GÖTALANDS LÄN</t>
        </is>
      </c>
      <c r="G126" t="inlineStr">
        <is>
          <t>ALE</t>
        </is>
      </c>
      <c r="H126" t="inlineStr">
        <is>
          <t>Naturvårdsverket</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62828-2025</t>
        </is>
      </c>
      <c r="B127" t="inlineStr">
        <is>
          <t>avverkningsanmälan</t>
        </is>
      </c>
      <c r="C127" t="inlineStr">
        <is>
          <t>Föryngringsavverkning</t>
        </is>
      </c>
      <c r="D127" s="1" t="n">
        <v>46008</v>
      </c>
      <c r="E127" s="1" t="n">
        <v>46221</v>
      </c>
      <c r="F127" t="inlineStr">
        <is>
          <t>VÄSTRA GÖTALANDS LÄN</t>
        </is>
      </c>
      <c r="G127" t="inlineStr">
        <is>
          <t>ALE</t>
        </is>
      </c>
      <c r="I127" t="n">
        <v>2.6</v>
      </c>
      <c r="J127" t="n">
        <v>0</v>
      </c>
      <c r="K127" t="n">
        <v>0</v>
      </c>
      <c r="L127" t="n">
        <v>0</v>
      </c>
      <c r="M127" t="n">
        <v>0</v>
      </c>
      <c r="N127" t="n">
        <v>0</v>
      </c>
      <c r="O127" t="n">
        <v>0</v>
      </c>
      <c r="P127" t="n">
        <v>0</v>
      </c>
      <c r="Q127" t="n">
        <v>0</v>
      </c>
      <c r="R127" t="n">
        <v>0</v>
      </c>
      <c r="S127" t="n">
        <v>0</v>
      </c>
      <c r="T127" t="n">
        <v>0</v>
      </c>
      <c r="U127" s="2" t="inlineStr"/>
    </row>
    <row r="128" ht="15" customHeight="1">
      <c r="A128" t="inlineStr">
        <is>
          <t>A 40074-2025</t>
        </is>
      </c>
      <c r="B128" t="inlineStr">
        <is>
          <t>avverkningsanmälan</t>
        </is>
      </c>
      <c r="C128" t="inlineStr">
        <is>
          <t>Föryngringsavverkning</t>
        </is>
      </c>
      <c r="D128" s="1" t="n">
        <v>45894</v>
      </c>
      <c r="E128" s="1" t="n">
        <v>46221</v>
      </c>
      <c r="F128" t="inlineStr">
        <is>
          <t>VÄSTRA GÖTALANDS LÄN</t>
        </is>
      </c>
      <c r="G128" t="inlineStr">
        <is>
          <t>ALE</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1822-2024</t>
        </is>
      </c>
      <c r="B129" t="inlineStr">
        <is>
          <t>avverkningsanmälan</t>
        </is>
      </c>
      <c r="C129" t="inlineStr">
        <is>
          <t>Föryngringsavverkning</t>
        </is>
      </c>
      <c r="D129" s="1" t="n">
        <v>45307</v>
      </c>
      <c r="E129" s="1" t="n">
        <v>46221</v>
      </c>
      <c r="F129" t="inlineStr">
        <is>
          <t>VÄSTRA GÖTALANDS LÄN</t>
        </is>
      </c>
      <c r="G129" t="inlineStr">
        <is>
          <t>ALE</t>
        </is>
      </c>
      <c r="I129" t="n">
        <v>2</v>
      </c>
      <c r="J129" t="n">
        <v>0</v>
      </c>
      <c r="K129" t="n">
        <v>0</v>
      </c>
      <c r="L129" t="n">
        <v>0</v>
      </c>
      <c r="M129" t="n">
        <v>0</v>
      </c>
      <c r="N129" t="n">
        <v>0</v>
      </c>
      <c r="O129" t="n">
        <v>0</v>
      </c>
      <c r="P129" t="n">
        <v>0</v>
      </c>
      <c r="Q129" t="n">
        <v>0</v>
      </c>
      <c r="R129" t="n">
        <v>0</v>
      </c>
      <c r="S129" t="n">
        <v>0</v>
      </c>
      <c r="T129" t="n">
        <v>0</v>
      </c>
      <c r="U129" s="2" t="inlineStr"/>
    </row>
    <row r="130" ht="15" customHeight="1">
      <c r="A130" t="inlineStr">
        <is>
          <t>A 15241-2025</t>
        </is>
      </c>
      <c r="B130" t="inlineStr">
        <is>
          <t>avverkningsanmälan</t>
        </is>
      </c>
      <c r="C130" t="inlineStr">
        <is>
          <t>Föryngringsavverkning</t>
        </is>
      </c>
      <c r="D130" s="1" t="n">
        <v>45744</v>
      </c>
      <c r="E130" s="1" t="n">
        <v>46221</v>
      </c>
      <c r="F130" t="inlineStr">
        <is>
          <t>VÄSTRA GÖTALANDS LÄN</t>
        </is>
      </c>
      <c r="G130" t="inlineStr">
        <is>
          <t>ALE</t>
        </is>
      </c>
      <c r="I130" t="n">
        <v>2.2</v>
      </c>
      <c r="J130" t="n">
        <v>0</v>
      </c>
      <c r="K130" t="n">
        <v>0</v>
      </c>
      <c r="L130" t="n">
        <v>0</v>
      </c>
      <c r="M130" t="n">
        <v>0</v>
      </c>
      <c r="N130" t="n">
        <v>0</v>
      </c>
      <c r="O130" t="n">
        <v>0</v>
      </c>
      <c r="P130" t="n">
        <v>0</v>
      </c>
      <c r="Q130" t="n">
        <v>0</v>
      </c>
      <c r="R130" t="n">
        <v>0</v>
      </c>
      <c r="S130" t="n">
        <v>0</v>
      </c>
      <c r="T130" t="n">
        <v>0</v>
      </c>
      <c r="U130" s="2" t="inlineStr"/>
    </row>
    <row r="131" ht="15" customHeight="1">
      <c r="A131" t="inlineStr">
        <is>
          <t>A 28028-2026</t>
        </is>
      </c>
      <c r="B131" t="inlineStr">
        <is>
          <t>avverkningsanmälan</t>
        </is>
      </c>
      <c r="C131" t="inlineStr">
        <is>
          <t>Föryngringsavverkning</t>
        </is>
      </c>
      <c r="D131" s="1" t="n">
        <v>46195</v>
      </c>
      <c r="E131" s="1" t="n">
        <v>46221</v>
      </c>
      <c r="F131" t="inlineStr">
        <is>
          <t>VÄSTRA GÖTALANDS LÄN</t>
        </is>
      </c>
      <c r="G131" t="inlineStr">
        <is>
          <t>ALE</t>
        </is>
      </c>
      <c r="I131" t="n">
        <v>1.8</v>
      </c>
      <c r="J131" t="n">
        <v>0</v>
      </c>
      <c r="K131" t="n">
        <v>0</v>
      </c>
      <c r="L131" t="n">
        <v>0</v>
      </c>
      <c r="M131" t="n">
        <v>0</v>
      </c>
      <c r="N131" t="n">
        <v>0</v>
      </c>
      <c r="O131" t="n">
        <v>0</v>
      </c>
      <c r="P131" t="n">
        <v>0</v>
      </c>
      <c r="Q131" t="n">
        <v>0</v>
      </c>
      <c r="R131" t="n">
        <v>0</v>
      </c>
      <c r="S131" t="n">
        <v>0</v>
      </c>
      <c r="T131" t="n">
        <v>0</v>
      </c>
      <c r="U131" s="2" t="inlineStr"/>
    </row>
    <row r="132" ht="15" customHeight="1">
      <c r="A132" t="inlineStr">
        <is>
          <t>A 28023-2026</t>
        </is>
      </c>
      <c r="B132" t="inlineStr">
        <is>
          <t>avverkningsanmälan</t>
        </is>
      </c>
      <c r="C132" t="inlineStr">
        <is>
          <t>Föryngringsavverkning</t>
        </is>
      </c>
      <c r="D132" s="1" t="n">
        <v>46195</v>
      </c>
      <c r="E132" s="1" t="n">
        <v>46221</v>
      </c>
      <c r="F132" t="inlineStr">
        <is>
          <t>VÄSTRA GÖTALANDS LÄN</t>
        </is>
      </c>
      <c r="G132" t="inlineStr">
        <is>
          <t>ALE</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34153-2024</t>
        </is>
      </c>
      <c r="B133" t="inlineStr">
        <is>
          <t>avverkningsanmälan</t>
        </is>
      </c>
      <c r="C133" t="inlineStr">
        <is>
          <t>Föryngringsavverkning</t>
        </is>
      </c>
      <c r="D133" s="1" t="n">
        <v>45524</v>
      </c>
      <c r="E133" s="1" t="n">
        <v>46221</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s="2" t="inlineStr"/>
    </row>
    <row r="134" ht="15" customHeight="1">
      <c r="A134" t="inlineStr">
        <is>
          <t>A 22420-2026</t>
        </is>
      </c>
      <c r="B134" t="inlineStr">
        <is>
          <t>avverkningsanmälan</t>
        </is>
      </c>
      <c r="C134" t="inlineStr">
        <is>
          <t>Föryngringsavverkning</t>
        </is>
      </c>
      <c r="D134" s="1" t="n">
        <v>46154</v>
      </c>
      <c r="E134" s="1" t="n">
        <v>46221</v>
      </c>
      <c r="F134" t="inlineStr">
        <is>
          <t>VÄSTRA GÖTALANDS LÄN</t>
        </is>
      </c>
      <c r="G134" t="inlineStr">
        <is>
          <t>ALE</t>
        </is>
      </c>
      <c r="I134" t="n">
        <v>5</v>
      </c>
      <c r="J134" t="n">
        <v>0</v>
      </c>
      <c r="K134" t="n">
        <v>0</v>
      </c>
      <c r="L134" t="n">
        <v>0</v>
      </c>
      <c r="M134" t="n">
        <v>0</v>
      </c>
      <c r="N134" t="n">
        <v>0</v>
      </c>
      <c r="O134" t="n">
        <v>0</v>
      </c>
      <c r="P134" t="n">
        <v>0</v>
      </c>
      <c r="Q134" t="n">
        <v>0</v>
      </c>
      <c r="R134" t="n">
        <v>0</v>
      </c>
      <c r="S134" t="n">
        <v>0</v>
      </c>
      <c r="T134" t="n">
        <v>0</v>
      </c>
      <c r="U134" s="2" t="inlineStr"/>
    </row>
    <row r="135" ht="15" customHeight="1">
      <c r="A135" t="inlineStr">
        <is>
          <t>A 41309-2024</t>
        </is>
      </c>
      <c r="B135" t="inlineStr">
        <is>
          <t>avverkningsanmälan</t>
        </is>
      </c>
      <c r="C135" t="inlineStr">
        <is>
          <t>Föryngringsavverkning</t>
        </is>
      </c>
      <c r="D135" s="1" t="n">
        <v>45559</v>
      </c>
      <c r="E135" s="1" t="n">
        <v>46221</v>
      </c>
      <c r="F135" t="inlineStr">
        <is>
          <t>VÄSTRA GÖTALANDS LÄN</t>
        </is>
      </c>
      <c r="G135" t="inlineStr">
        <is>
          <t>ALE</t>
        </is>
      </c>
      <c r="I135" t="n">
        <v>8.4</v>
      </c>
      <c r="J135" t="n">
        <v>0</v>
      </c>
      <c r="K135" t="n">
        <v>0</v>
      </c>
      <c r="L135" t="n">
        <v>0</v>
      </c>
      <c r="M135" t="n">
        <v>0</v>
      </c>
      <c r="N135" t="n">
        <v>0</v>
      </c>
      <c r="O135" t="n">
        <v>0</v>
      </c>
      <c r="P135" t="n">
        <v>0</v>
      </c>
      <c r="Q135" t="n">
        <v>0</v>
      </c>
      <c r="R135" t="n">
        <v>0</v>
      </c>
      <c r="S135" t="n">
        <v>0</v>
      </c>
      <c r="T135" t="n">
        <v>0</v>
      </c>
      <c r="U135" s="2" t="inlineStr"/>
    </row>
    <row r="136" ht="15" customHeight="1">
      <c r="A136" t="inlineStr">
        <is>
          <t>A 15499-2022</t>
        </is>
      </c>
      <c r="B136" t="inlineStr">
        <is>
          <t>avverkningsanmälan</t>
        </is>
      </c>
      <c r="C136" t="inlineStr">
        <is>
          <t>Föryngringsavverkning</t>
        </is>
      </c>
      <c r="D136" s="1" t="n">
        <v>44662</v>
      </c>
      <c r="E136" s="1" t="n">
        <v>46221</v>
      </c>
      <c r="F136" t="inlineStr">
        <is>
          <t>VÄSTRA GÖTALANDS LÄN</t>
        </is>
      </c>
      <c r="G136" t="inlineStr">
        <is>
          <t>ALE</t>
        </is>
      </c>
      <c r="I136" t="n">
        <v>4.7</v>
      </c>
      <c r="J136" t="n">
        <v>0</v>
      </c>
      <c r="K136" t="n">
        <v>0</v>
      </c>
      <c r="L136" t="n">
        <v>0</v>
      </c>
      <c r="M136" t="n">
        <v>0</v>
      </c>
      <c r="N136" t="n">
        <v>0</v>
      </c>
      <c r="O136" t="n">
        <v>0</v>
      </c>
      <c r="P136" t="n">
        <v>0</v>
      </c>
      <c r="Q136" t="n">
        <v>0</v>
      </c>
      <c r="R136" t="n">
        <v>0</v>
      </c>
      <c r="S136" t="n">
        <v>0</v>
      </c>
      <c r="T136" t="n">
        <v>0</v>
      </c>
      <c r="U136" s="2" t="inlineStr"/>
    </row>
    <row r="137" ht="15" customHeight="1">
      <c r="A137" t="inlineStr">
        <is>
          <t>A 1960-2024</t>
        </is>
      </c>
      <c r="B137" t="inlineStr">
        <is>
          <t>avverkningsanmälan</t>
        </is>
      </c>
      <c r="C137" t="inlineStr">
        <is>
          <t>Föryngringsavverkning</t>
        </is>
      </c>
      <c r="D137" s="1" t="n">
        <v>45308</v>
      </c>
      <c r="E137" s="1" t="n">
        <v>46221</v>
      </c>
      <c r="F137" t="inlineStr">
        <is>
          <t>VÄSTRA GÖTALANDS LÄN</t>
        </is>
      </c>
      <c r="G137" t="inlineStr">
        <is>
          <t>ALE</t>
        </is>
      </c>
      <c r="I137" t="n">
        <v>1.9</v>
      </c>
      <c r="J137" t="n">
        <v>0</v>
      </c>
      <c r="K137" t="n">
        <v>0</v>
      </c>
      <c r="L137" t="n">
        <v>0</v>
      </c>
      <c r="M137" t="n">
        <v>0</v>
      </c>
      <c r="N137" t="n">
        <v>0</v>
      </c>
      <c r="O137" t="n">
        <v>0</v>
      </c>
      <c r="P137" t="n">
        <v>0</v>
      </c>
      <c r="Q137" t="n">
        <v>0</v>
      </c>
      <c r="R137" t="n">
        <v>0</v>
      </c>
      <c r="S137" t="n">
        <v>0</v>
      </c>
      <c r="T137" t="n">
        <v>0</v>
      </c>
      <c r="U137" s="2" t="inlineStr"/>
    </row>
    <row r="138" ht="15" customHeight="1">
      <c r="A138" t="inlineStr">
        <is>
          <t>A 3418-2023</t>
        </is>
      </c>
      <c r="B138" t="inlineStr">
        <is>
          <t>avverkningsanmälan</t>
        </is>
      </c>
      <c r="C138" t="inlineStr">
        <is>
          <t>Föryngringsavverkning</t>
        </is>
      </c>
      <c r="D138" s="1" t="n">
        <v>44949</v>
      </c>
      <c r="E138" s="1" t="n">
        <v>46221</v>
      </c>
      <c r="F138" t="inlineStr">
        <is>
          <t>VÄSTRA GÖTALANDS LÄN</t>
        </is>
      </c>
      <c r="G138" t="inlineStr">
        <is>
          <t>ALE</t>
        </is>
      </c>
      <c r="I138" t="n">
        <v>1.1</v>
      </c>
      <c r="J138" t="n">
        <v>0</v>
      </c>
      <c r="K138" t="n">
        <v>0</v>
      </c>
      <c r="L138" t="n">
        <v>0</v>
      </c>
      <c r="M138" t="n">
        <v>0</v>
      </c>
      <c r="N138" t="n">
        <v>0</v>
      </c>
      <c r="O138" t="n">
        <v>0</v>
      </c>
      <c r="P138" t="n">
        <v>0</v>
      </c>
      <c r="Q138" t="n">
        <v>0</v>
      </c>
      <c r="R138" t="n">
        <v>0</v>
      </c>
      <c r="S138" t="n">
        <v>0</v>
      </c>
      <c r="T138" t="n">
        <v>0</v>
      </c>
      <c r="U138" s="2" t="inlineStr"/>
    </row>
    <row r="139" ht="15" customHeight="1">
      <c r="A139" t="inlineStr">
        <is>
          <t>A 65226-2021</t>
        </is>
      </c>
      <c r="B139" t="inlineStr">
        <is>
          <t>avverkningsanmälan</t>
        </is>
      </c>
      <c r="C139" t="inlineStr">
        <is>
          <t>Föryngringsavverkning</t>
        </is>
      </c>
      <c r="D139" s="1" t="n">
        <v>44515</v>
      </c>
      <c r="E139" s="1" t="n">
        <v>46221</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12055-2022</t>
        </is>
      </c>
      <c r="B140" t="inlineStr">
        <is>
          <t>avverkningsanmälan</t>
        </is>
      </c>
      <c r="C140" t="inlineStr">
        <is>
          <t>Avverkning för annat ändamål</t>
        </is>
      </c>
      <c r="D140" s="1" t="n">
        <v>44636</v>
      </c>
      <c r="E140" s="1" t="n">
        <v>46221</v>
      </c>
      <c r="F140" t="inlineStr">
        <is>
          <t>VÄSTRA GÖTALANDS LÄN</t>
        </is>
      </c>
      <c r="G140" t="inlineStr">
        <is>
          <t>ALE</t>
        </is>
      </c>
      <c r="I140" t="n">
        <v>0.2</v>
      </c>
      <c r="J140" t="n">
        <v>0</v>
      </c>
      <c r="K140" t="n">
        <v>0</v>
      </c>
      <c r="L140" t="n">
        <v>0</v>
      </c>
      <c r="M140" t="n">
        <v>0</v>
      </c>
      <c r="N140" t="n">
        <v>0</v>
      </c>
      <c r="O140" t="n">
        <v>0</v>
      </c>
      <c r="P140" t="n">
        <v>0</v>
      </c>
      <c r="Q140" t="n">
        <v>0</v>
      </c>
      <c r="R140" t="n">
        <v>0</v>
      </c>
      <c r="S140" t="n">
        <v>0</v>
      </c>
      <c r="T140" t="n">
        <v>0</v>
      </c>
      <c r="U140" s="2" t="inlineStr"/>
    </row>
    <row r="141" ht="15" customHeight="1">
      <c r="A141" t="inlineStr">
        <is>
          <t>A 3457-2022</t>
        </is>
      </c>
      <c r="B141" t="inlineStr">
        <is>
          <t>avverkningsanmälan</t>
        </is>
      </c>
      <c r="C141" t="inlineStr">
        <is>
          <t>Föryngringsavverkning</t>
        </is>
      </c>
      <c r="D141" s="1" t="n">
        <v>44585</v>
      </c>
      <c r="E141" s="1" t="n">
        <v>46221</v>
      </c>
      <c r="F141" t="inlineStr">
        <is>
          <t>VÄSTRA GÖTALANDS LÄN</t>
        </is>
      </c>
      <c r="G141" t="inlineStr">
        <is>
          <t>ALE</t>
        </is>
      </c>
      <c r="I141" t="n">
        <v>5.1</v>
      </c>
      <c r="J141" t="n">
        <v>0</v>
      </c>
      <c r="K141" t="n">
        <v>0</v>
      </c>
      <c r="L141" t="n">
        <v>0</v>
      </c>
      <c r="M141" t="n">
        <v>0</v>
      </c>
      <c r="N141" t="n">
        <v>0</v>
      </c>
      <c r="O141" t="n">
        <v>0</v>
      </c>
      <c r="P141" t="n">
        <v>0</v>
      </c>
      <c r="Q141" t="n">
        <v>0</v>
      </c>
      <c r="R141" t="n">
        <v>0</v>
      </c>
      <c r="S141" t="n">
        <v>0</v>
      </c>
      <c r="T141" t="n">
        <v>0</v>
      </c>
      <c r="U141" s="2" t="inlineStr"/>
    </row>
    <row r="142" ht="15" customHeight="1">
      <c r="A142" t="inlineStr">
        <is>
          <t>A 5916-2023</t>
        </is>
      </c>
      <c r="B142" t="inlineStr">
        <is>
          <t>avverkningsanmälan</t>
        </is>
      </c>
      <c r="C142" t="inlineStr">
        <is>
          <t>Föryngringsavverkning</t>
        </is>
      </c>
      <c r="D142" s="1" t="n">
        <v>44963</v>
      </c>
      <c r="E142" s="1" t="n">
        <v>46221</v>
      </c>
      <c r="F142" t="inlineStr">
        <is>
          <t>VÄSTRA GÖTALANDS LÄN</t>
        </is>
      </c>
      <c r="G142" t="inlineStr">
        <is>
          <t>ALE</t>
        </is>
      </c>
      <c r="I142" t="n">
        <v>4.2</v>
      </c>
      <c r="J142" t="n">
        <v>0</v>
      </c>
      <c r="K142" t="n">
        <v>0</v>
      </c>
      <c r="L142" t="n">
        <v>0</v>
      </c>
      <c r="M142" t="n">
        <v>0</v>
      </c>
      <c r="N142" t="n">
        <v>0</v>
      </c>
      <c r="O142" t="n">
        <v>0</v>
      </c>
      <c r="P142" t="n">
        <v>0</v>
      </c>
      <c r="Q142" t="n">
        <v>0</v>
      </c>
      <c r="R142" t="n">
        <v>0</v>
      </c>
      <c r="S142" t="n">
        <v>0</v>
      </c>
      <c r="T142" t="n">
        <v>0</v>
      </c>
      <c r="U142" s="2" t="inlineStr"/>
    </row>
    <row r="143" ht="15" customHeight="1">
      <c r="A143" t="inlineStr">
        <is>
          <t>A 20067-2023</t>
        </is>
      </c>
      <c r="B143" t="inlineStr">
        <is>
          <t>avverkningsanmälan</t>
        </is>
      </c>
      <c r="C143" t="inlineStr">
        <is>
          <t>Föryngringsavverkning</t>
        </is>
      </c>
      <c r="D143" s="1" t="n">
        <v>45054</v>
      </c>
      <c r="E143" s="1" t="n">
        <v>46221</v>
      </c>
      <c r="F143" t="inlineStr">
        <is>
          <t>VÄSTRA GÖTALANDS LÄN</t>
        </is>
      </c>
      <c r="G143" t="inlineStr">
        <is>
          <t>ALE</t>
        </is>
      </c>
      <c r="I143" t="n">
        <v>0.4</v>
      </c>
      <c r="J143" t="n">
        <v>0</v>
      </c>
      <c r="K143" t="n">
        <v>0</v>
      </c>
      <c r="L143" t="n">
        <v>0</v>
      </c>
      <c r="M143" t="n">
        <v>0</v>
      </c>
      <c r="N143" t="n">
        <v>0</v>
      </c>
      <c r="O143" t="n">
        <v>0</v>
      </c>
      <c r="P143" t="n">
        <v>0</v>
      </c>
      <c r="Q143" t="n">
        <v>0</v>
      </c>
      <c r="R143" t="n">
        <v>0</v>
      </c>
      <c r="S143" t="n">
        <v>0</v>
      </c>
      <c r="T143" t="n">
        <v>0</v>
      </c>
      <c r="U143" s="2" t="inlineStr"/>
    </row>
    <row r="144" ht="15" customHeight="1">
      <c r="A144" t="inlineStr">
        <is>
          <t>A 47728-2025</t>
        </is>
      </c>
      <c r="B144" t="inlineStr">
        <is>
          <t>avverkningsanmälan</t>
        </is>
      </c>
      <c r="C144" t="inlineStr">
        <is>
          <t>Föryngringsavverkning</t>
        </is>
      </c>
      <c r="D144" s="1" t="n">
        <v>45931</v>
      </c>
      <c r="E144" s="1" t="n">
        <v>46221</v>
      </c>
      <c r="F144" t="inlineStr">
        <is>
          <t>VÄSTRA GÖTALANDS LÄN</t>
        </is>
      </c>
      <c r="G144" t="inlineStr">
        <is>
          <t>ALE</t>
        </is>
      </c>
      <c r="I144" t="n">
        <v>1.1</v>
      </c>
      <c r="J144" t="n">
        <v>0</v>
      </c>
      <c r="K144" t="n">
        <v>0</v>
      </c>
      <c r="L144" t="n">
        <v>0</v>
      </c>
      <c r="M144" t="n">
        <v>0</v>
      </c>
      <c r="N144" t="n">
        <v>0</v>
      </c>
      <c r="O144" t="n">
        <v>0</v>
      </c>
      <c r="P144" t="n">
        <v>0</v>
      </c>
      <c r="Q144" t="n">
        <v>0</v>
      </c>
      <c r="R144" t="n">
        <v>0</v>
      </c>
      <c r="S144" t="n">
        <v>0</v>
      </c>
      <c r="T144" t="n">
        <v>0</v>
      </c>
      <c r="U144" s="2" t="inlineStr"/>
    </row>
    <row r="145" ht="15" customHeight="1">
      <c r="A145" t="inlineStr">
        <is>
          <t>A 1500-2024</t>
        </is>
      </c>
      <c r="B145" t="inlineStr">
        <is>
          <t>avverkningsanmälan</t>
        </is>
      </c>
      <c r="C145" t="inlineStr">
        <is>
          <t>Föryngringsavverkning</t>
        </is>
      </c>
      <c r="D145" s="1" t="n">
        <v>45306</v>
      </c>
      <c r="E145" s="1" t="n">
        <v>46221</v>
      </c>
      <c r="F145" t="inlineStr">
        <is>
          <t>VÄSTRA GÖTALANDS LÄN</t>
        </is>
      </c>
      <c r="G145" t="inlineStr">
        <is>
          <t>ALE</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6916-2023</t>
        </is>
      </c>
      <c r="B146" t="inlineStr">
        <is>
          <t>avverkningsanmälan</t>
        </is>
      </c>
      <c r="C146" t="inlineStr">
        <is>
          <t>Föryngringsavverkning</t>
        </is>
      </c>
      <c r="D146" s="1" t="n">
        <v>44967</v>
      </c>
      <c r="E146" s="1" t="n">
        <v>46221</v>
      </c>
      <c r="F146" t="inlineStr">
        <is>
          <t>VÄSTRA GÖTALANDS LÄN</t>
        </is>
      </c>
      <c r="G146" t="inlineStr">
        <is>
          <t>ALE</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64199-2021</t>
        </is>
      </c>
      <c r="B147" t="inlineStr">
        <is>
          <t>avverkningsanmälan</t>
        </is>
      </c>
      <c r="C147" t="inlineStr">
        <is>
          <t>Föryngringsavverkning</t>
        </is>
      </c>
      <c r="D147" s="1" t="n">
        <v>44510</v>
      </c>
      <c r="E147" s="1" t="n">
        <v>46221</v>
      </c>
      <c r="F147" t="inlineStr">
        <is>
          <t>VÄSTRA GÖTALANDS LÄN</t>
        </is>
      </c>
      <c r="G147" t="inlineStr">
        <is>
          <t>ALE</t>
        </is>
      </c>
      <c r="I147" t="n">
        <v>5.7</v>
      </c>
      <c r="J147" t="n">
        <v>0</v>
      </c>
      <c r="K147" t="n">
        <v>0</v>
      </c>
      <c r="L147" t="n">
        <v>0</v>
      </c>
      <c r="M147" t="n">
        <v>0</v>
      </c>
      <c r="N147" t="n">
        <v>0</v>
      </c>
      <c r="O147" t="n">
        <v>0</v>
      </c>
      <c r="P147" t="n">
        <v>0</v>
      </c>
      <c r="Q147" t="n">
        <v>0</v>
      </c>
      <c r="R147" t="n">
        <v>0</v>
      </c>
      <c r="S147" t="n">
        <v>0</v>
      </c>
      <c r="T147" t="n">
        <v>0</v>
      </c>
      <c r="U147" s="2" t="inlineStr"/>
    </row>
    <row r="148" ht="15" customHeight="1">
      <c r="A148" t="inlineStr">
        <is>
          <t>A 15582-2025</t>
        </is>
      </c>
      <c r="B148" t="inlineStr">
        <is>
          <t>avverkningsanmälan</t>
        </is>
      </c>
      <c r="C148" t="inlineStr">
        <is>
          <t>Föryngringsavverkning</t>
        </is>
      </c>
      <c r="D148" s="1" t="n">
        <v>45747</v>
      </c>
      <c r="E148" s="1" t="n">
        <v>46221</v>
      </c>
      <c r="F148" t="inlineStr">
        <is>
          <t>VÄSTRA GÖTALANDS LÄN</t>
        </is>
      </c>
      <c r="G148" t="inlineStr">
        <is>
          <t>ALE</t>
        </is>
      </c>
      <c r="I148" t="n">
        <v>2.2</v>
      </c>
      <c r="J148" t="n">
        <v>0</v>
      </c>
      <c r="K148" t="n">
        <v>0</v>
      </c>
      <c r="L148" t="n">
        <v>0</v>
      </c>
      <c r="M148" t="n">
        <v>0</v>
      </c>
      <c r="N148" t="n">
        <v>0</v>
      </c>
      <c r="O148" t="n">
        <v>0</v>
      </c>
      <c r="P148" t="n">
        <v>0</v>
      </c>
      <c r="Q148" t="n">
        <v>0</v>
      </c>
      <c r="R148" t="n">
        <v>0</v>
      </c>
      <c r="S148" t="n">
        <v>0</v>
      </c>
      <c r="T148" t="n">
        <v>0</v>
      </c>
      <c r="U148" s="2" t="inlineStr"/>
    </row>
    <row r="149" ht="15" customHeight="1">
      <c r="A149" t="inlineStr">
        <is>
          <t>A 22946-2025</t>
        </is>
      </c>
      <c r="B149" t="inlineStr">
        <is>
          <t>avverkningsanmälan</t>
        </is>
      </c>
      <c r="C149" t="inlineStr">
        <is>
          <t>Föryngringsavverkning</t>
        </is>
      </c>
      <c r="D149" s="1" t="n">
        <v>45790</v>
      </c>
      <c r="E149" s="1" t="n">
        <v>46221</v>
      </c>
      <c r="F149" t="inlineStr">
        <is>
          <t>VÄSTRA GÖTALANDS LÄN</t>
        </is>
      </c>
      <c r="G149" t="inlineStr">
        <is>
          <t>ALE</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4971-2024</t>
        </is>
      </c>
      <c r="B150" t="inlineStr">
        <is>
          <t>avverkningsanmälan</t>
        </is>
      </c>
      <c r="C150" t="inlineStr">
        <is>
          <t>Föryngringsavverkning</t>
        </is>
      </c>
      <c r="D150" s="1" t="n">
        <v>45329</v>
      </c>
      <c r="E150" s="1" t="n">
        <v>46221</v>
      </c>
      <c r="F150" t="inlineStr">
        <is>
          <t>VÄSTRA GÖTALANDS LÄN</t>
        </is>
      </c>
      <c r="G150" t="inlineStr">
        <is>
          <t>ALE</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S 2992-2022</t>
        </is>
      </c>
      <c r="B151" t="inlineStr">
        <is>
          <t>samrådsanmälan</t>
        </is>
      </c>
      <c r="C151" t="inlineStr">
        <is>
          <t>Åtgärd i nyckelbiotop</t>
        </is>
      </c>
      <c r="D151" s="1" t="n">
        <v>44713</v>
      </c>
      <c r="E151" s="1" t="n">
        <v>46221</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s="2" t="inlineStr"/>
    </row>
    <row r="152" ht="15" customHeight="1">
      <c r="A152" t="inlineStr">
        <is>
          <t>S 4359-2024</t>
        </is>
      </c>
      <c r="B152" t="inlineStr">
        <is>
          <t>samrådsanmälan</t>
        </is>
      </c>
      <c r="C152" t="inlineStr">
        <is>
          <t>Annan skogsbruksåtgärd</t>
        </is>
      </c>
      <c r="D152" s="1" t="n">
        <v>45587</v>
      </c>
      <c r="E152" s="1" t="n">
        <v>46221</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s="2" t="inlineStr"/>
    </row>
    <row r="153">
      <c r="A153" t="inlineStr">
        <is>
          <t>S 2388-2025</t>
        </is>
      </c>
      <c r="B153" t="inlineStr">
        <is>
          <t>samrådsanmälan</t>
        </is>
      </c>
      <c r="C153" t="inlineStr">
        <is>
          <t>Annan skogsbruksåtgärd</t>
        </is>
      </c>
      <c r="D153" s="1" t="n">
        <v>45894</v>
      </c>
      <c r="E153" s="1" t="n">
        <v>46221</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2026-07-18T01:20:56Z</dcterms:created>
  <dcterms:modified xmlns:dcterms="http://purl.org/dc/terms/" xmlns:xsi="http://www.w3.org/2001/XMLSchema-instance" xsi:type="dcterms:W3CDTF">2026-07-18T01:20:56Z</dcterms:modified>
</cp:coreProperties>
</file>