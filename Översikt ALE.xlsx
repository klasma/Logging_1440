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45807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45807</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45807</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45807</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45807</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45807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45807</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45807</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45807</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45807</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45807</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45807</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45807</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45807</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45807</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45807</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45807</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45807</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45807</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45807</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45807</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45807</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45807</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45807</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45807</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45807</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45807</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45807</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24162-2025</t>
        </is>
      </c>
      <c r="B30" s="1" t="n">
        <v>45796</v>
      </c>
      <c r="C30" s="1" t="n">
        <v>45807</v>
      </c>
      <c r="D30" t="inlineStr">
        <is>
          <t>VÄSTRA GÖTALANDS LÄN</t>
        </is>
      </c>
      <c r="E30" t="inlineStr">
        <is>
          <t>ALE</t>
        </is>
      </c>
      <c r="G30" t="n">
        <v>5.5</v>
      </c>
      <c r="H30" t="n">
        <v>3</v>
      </c>
      <c r="I30" t="n">
        <v>0</v>
      </c>
      <c r="J30" t="n">
        <v>1</v>
      </c>
      <c r="K30" t="n">
        <v>0</v>
      </c>
      <c r="L30" t="n">
        <v>0</v>
      </c>
      <c r="M30" t="n">
        <v>0</v>
      </c>
      <c r="N30" t="n">
        <v>0</v>
      </c>
      <c r="O30" t="n">
        <v>1</v>
      </c>
      <c r="P30" t="n">
        <v>0</v>
      </c>
      <c r="Q30" t="n">
        <v>3</v>
      </c>
      <c r="R30" s="2" t="inlineStr">
        <is>
          <t>Spillkråka
Trana
Revlummer</t>
        </is>
      </c>
      <c r="S30">
        <f>HYPERLINK("https://klasma.github.io/Logging_141440/artfynd/A 24162-2025 artfynd.xlsx", "A 24162-2025")</f>
        <v/>
      </c>
      <c r="T30">
        <f>HYPERLINK("https://klasma.github.io/Logging_141440/kartor/A 24162-2025 karta.png", "A 24162-2025")</f>
        <v/>
      </c>
      <c r="V30">
        <f>HYPERLINK("https://klasma.github.io/Logging_141440/klagomål/A 24162-2025 FSC-klagomål.docx", "A 24162-2025")</f>
        <v/>
      </c>
      <c r="W30">
        <f>HYPERLINK("https://klasma.github.io/Logging_141440/klagomålsmail/A 24162-2025 FSC-klagomål mail.docx", "A 24162-2025")</f>
        <v/>
      </c>
      <c r="X30">
        <f>HYPERLINK("https://klasma.github.io/Logging_141440/tillsyn/A 24162-2025 tillsynsbegäran.docx", "A 24162-2025")</f>
        <v/>
      </c>
      <c r="Y30">
        <f>HYPERLINK("https://klasma.github.io/Logging_141440/tillsynsmail/A 24162-2025 tillsynsbegäran mail.docx", "A 24162-2025")</f>
        <v/>
      </c>
      <c r="Z30">
        <f>HYPERLINK("https://klasma.github.io/Logging_141440/fåglar/A 24162-2025 prioriterade fågelarter.docx", "A 24162-2025")</f>
        <v/>
      </c>
    </row>
    <row r="31" ht="15" customHeight="1">
      <c r="A31" t="inlineStr">
        <is>
          <t>A 25432-2019</t>
        </is>
      </c>
      <c r="B31" s="1" t="n">
        <v>43606</v>
      </c>
      <c r="C31" s="1" t="n">
        <v>45807</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45807</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45807</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45807</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45807</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45807</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45807</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45807</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45807</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45807</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45807</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45807</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45807</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45807</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45807</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45807</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45807</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45807</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45807</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45807</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45807</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45807</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45807</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45807</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45807</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45807</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45807</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45807</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45807</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45807</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45807</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45807</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45807</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45807</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45807</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45807</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45807</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45807</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45807</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45807</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45807</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45807</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45807</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45807</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45807</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45807</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45807</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45807</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45807</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45807</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45807</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45807</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45807</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45807</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45807</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45807</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45807</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45807</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45807</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45807</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45807</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45807</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45807</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45807</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45807</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45807</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45807</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45807</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45807</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45807</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45807</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45807</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45807</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45807</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45807</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45807</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45807</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45807</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45807</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45807</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45807</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45807</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45807</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45807</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45807</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45807</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45807</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45807</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45807</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45807</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45807</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45807</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45807</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45807</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45807</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45807</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45807</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45807</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45807</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45807</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45807</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45807</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45807</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45807</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45807</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45807</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45807</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45807</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45807</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45807</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45807</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45807</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45807</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45807</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45807</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45807</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45807</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45807</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45807</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45807</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45807</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45807</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45807</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45807</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45807</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45807</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45807</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45807</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45807</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45807</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45807</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45807</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45807</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45807</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45807</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45807</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45807</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45807</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45807</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45807</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45807</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45807</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45807</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45807</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45807</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45807</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45807</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45807</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45807</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45807</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45807</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45807</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45807</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45807</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45807</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45807</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45807</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45807</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45807</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45807</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45807</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45807</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45807</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45807</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45807</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45807</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45807</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45807</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45807</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45807</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45807</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45807</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45807</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45807</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45807</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45807</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45807</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45807</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45807</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45807</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45807</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45807</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45807</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45807</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45807</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45807</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45807</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45807</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45807</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45807</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45807</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45807</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45807</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45807</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45807</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45807</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45807</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45807</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45807</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45807</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45807</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45807</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45807</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45807</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45807</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45807</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45807</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45807</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45807</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45807</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45807</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45807</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45807</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ht="15" customHeight="1">
      <c r="A244" t="inlineStr">
        <is>
          <t>A 22946-2025</t>
        </is>
      </c>
      <c r="B244" s="1" t="n">
        <v>45790</v>
      </c>
      <c r="C244" s="1" t="n">
        <v>45807</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row r="245" ht="15" customHeight="1">
      <c r="A245" t="inlineStr">
        <is>
          <t>A 25840-2025</t>
        </is>
      </c>
      <c r="B245" s="1" t="n">
        <v>45804</v>
      </c>
      <c r="C245" s="1" t="n">
        <v>45807</v>
      </c>
      <c r="D245" t="inlineStr">
        <is>
          <t>VÄSTRA GÖTALANDS LÄN</t>
        </is>
      </c>
      <c r="E245" t="inlineStr">
        <is>
          <t>ALE</t>
        </is>
      </c>
      <c r="G245" t="n">
        <v>3.8</v>
      </c>
      <c r="H245" t="n">
        <v>0</v>
      </c>
      <c r="I245" t="n">
        <v>0</v>
      </c>
      <c r="J245" t="n">
        <v>0</v>
      </c>
      <c r="K245" t="n">
        <v>0</v>
      </c>
      <c r="L245" t="n">
        <v>0</v>
      </c>
      <c r="M245" t="n">
        <v>0</v>
      </c>
      <c r="N245" t="n">
        <v>0</v>
      </c>
      <c r="O245" t="n">
        <v>0</v>
      </c>
      <c r="P245" t="n">
        <v>0</v>
      </c>
      <c r="Q245" t="n">
        <v>0</v>
      </c>
      <c r="R245" s="2" t="inlineStr"/>
    </row>
    <row r="246" ht="15" customHeight="1">
      <c r="A246" t="inlineStr">
        <is>
          <t>A 25849-2025</t>
        </is>
      </c>
      <c r="B246" s="1" t="n">
        <v>45804</v>
      </c>
      <c r="C246" s="1" t="n">
        <v>45807</v>
      </c>
      <c r="D246" t="inlineStr">
        <is>
          <t>VÄSTRA GÖTALANDS LÄN</t>
        </is>
      </c>
      <c r="E246" t="inlineStr">
        <is>
          <t>ALE</t>
        </is>
      </c>
      <c r="G246" t="n">
        <v>0.8</v>
      </c>
      <c r="H246" t="n">
        <v>0</v>
      </c>
      <c r="I246" t="n">
        <v>0</v>
      </c>
      <c r="J246" t="n">
        <v>0</v>
      </c>
      <c r="K246" t="n">
        <v>0</v>
      </c>
      <c r="L246" t="n">
        <v>0</v>
      </c>
      <c r="M246" t="n">
        <v>0</v>
      </c>
      <c r="N246" t="n">
        <v>0</v>
      </c>
      <c r="O246" t="n">
        <v>0</v>
      </c>
      <c r="P246" t="n">
        <v>0</v>
      </c>
      <c r="Q246" t="n">
        <v>0</v>
      </c>
      <c r="R246" s="2" t="inlineStr"/>
    </row>
    <row r="247">
      <c r="A247" t="inlineStr">
        <is>
          <t>A 25848-2025</t>
        </is>
      </c>
      <c r="B247" s="1" t="n">
        <v>45804</v>
      </c>
      <c r="C247" s="1" t="n">
        <v>45807</v>
      </c>
      <c r="D247" t="inlineStr">
        <is>
          <t>VÄSTRA GÖTALANDS LÄN</t>
        </is>
      </c>
      <c r="E247" t="inlineStr">
        <is>
          <t>ALE</t>
        </is>
      </c>
      <c r="G247" t="n">
        <v>1.1</v>
      </c>
      <c r="H247" t="n">
        <v>0</v>
      </c>
      <c r="I247" t="n">
        <v>0</v>
      </c>
      <c r="J247" t="n">
        <v>0</v>
      </c>
      <c r="K247" t="n">
        <v>0</v>
      </c>
      <c r="L247" t="n">
        <v>0</v>
      </c>
      <c r="M247" t="n">
        <v>0</v>
      </c>
      <c r="N247" t="n">
        <v>0</v>
      </c>
      <c r="O247" t="n">
        <v>0</v>
      </c>
      <c r="P247" t="n">
        <v>0</v>
      </c>
      <c r="Q247" t="n">
        <v>0</v>
      </c>
      <c r="R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2025-05-30T17:52:20Z</dcterms:created>
  <dcterms:modified xmlns:dcterms="http://purl.org/dc/terms/" xmlns:xsi="http://www.w3.org/2001/XMLSchema-instance" xsi:type="dcterms:W3CDTF">2025-05-30T17:52:20Z</dcterms:modified>
</cp:coreProperties>
</file>