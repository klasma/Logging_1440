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45890</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45890</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45890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45890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45890</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45890</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45890</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45890</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45890</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45890</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19934-2025</t>
        </is>
      </c>
      <c r="B15" s="1" t="n">
        <v>45771</v>
      </c>
      <c r="C15" s="1" t="n">
        <v>45890</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7903-2024</t>
        </is>
      </c>
      <c r="B16" s="1" t="n">
        <v>45350</v>
      </c>
      <c r="C16" s="1" t="n">
        <v>45890</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26491-2024</t>
        </is>
      </c>
      <c r="B17" s="1" t="n">
        <v>45469</v>
      </c>
      <c r="C17" s="1" t="n">
        <v>45890</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380-2025</t>
        </is>
      </c>
      <c r="B18" s="1" t="n">
        <v>45662.43456018518</v>
      </c>
      <c r="C18" s="1" t="n">
        <v>45890</v>
      </c>
      <c r="D18" t="inlineStr">
        <is>
          <t>VÄSTRA GÖTALANDS LÄN</t>
        </is>
      </c>
      <c r="E18" t="inlineStr">
        <is>
          <t>ALE</t>
        </is>
      </c>
      <c r="G18" t="n">
        <v>8.6</v>
      </c>
      <c r="H18" t="n">
        <v>1</v>
      </c>
      <c r="I18" t="n">
        <v>1</v>
      </c>
      <c r="J18" t="n">
        <v>1</v>
      </c>
      <c r="K18" t="n">
        <v>0</v>
      </c>
      <c r="L18" t="n">
        <v>0</v>
      </c>
      <c r="M18" t="n">
        <v>0</v>
      </c>
      <c r="N18" t="n">
        <v>0</v>
      </c>
      <c r="O18" t="n">
        <v>1</v>
      </c>
      <c r="P18" t="n">
        <v>0</v>
      </c>
      <c r="Q18" t="n">
        <v>2</v>
      </c>
      <c r="R18" s="2" t="inlineStr">
        <is>
          <t>Spillkråka
Blåmossa</t>
        </is>
      </c>
      <c r="S18">
        <f>HYPERLINK("https://klasma.github.io/Logging_1440/artfynd/A 380-2025 artfynd.xlsx", "A 380-2025")</f>
        <v/>
      </c>
      <c r="T18">
        <f>HYPERLINK("https://klasma.github.io/Logging_1440/kartor/A 380-2025 karta.png", "A 380-2025")</f>
        <v/>
      </c>
      <c r="V18">
        <f>HYPERLINK("https://klasma.github.io/Logging_1440/klagomål/A 380-2025 FSC-klagomål.docx", "A 380-2025")</f>
        <v/>
      </c>
      <c r="W18">
        <f>HYPERLINK("https://klasma.github.io/Logging_1440/klagomålsmail/A 380-2025 FSC-klagomål mail.docx", "A 380-2025")</f>
        <v/>
      </c>
      <c r="X18">
        <f>HYPERLINK("https://klasma.github.io/Logging_1440/tillsyn/A 380-2025 tillsynsbegäran.docx", "A 380-2025")</f>
        <v/>
      </c>
      <c r="Y18">
        <f>HYPERLINK("https://klasma.github.io/Logging_1440/tillsynsmail/A 380-2025 tillsynsbegäran mail.docx", "A 380-2025")</f>
        <v/>
      </c>
      <c r="Z18">
        <f>HYPERLINK("https://klasma.github.io/Logging_1440/fåglar/A 380-2025 prioriterade fågelarter.docx", "A 380-2025")</f>
        <v/>
      </c>
    </row>
    <row r="19" ht="15" customHeight="1">
      <c r="A19" t="inlineStr">
        <is>
          <t>A 20586-2023</t>
        </is>
      </c>
      <c r="B19" s="1" t="n">
        <v>45057</v>
      </c>
      <c r="C19" s="1" t="n">
        <v>45890</v>
      </c>
      <c r="D19" t="inlineStr">
        <is>
          <t>VÄSTRA GÖTALANDS LÄN</t>
        </is>
      </c>
      <c r="E19" t="inlineStr">
        <is>
          <t>ALE</t>
        </is>
      </c>
      <c r="G19" t="n">
        <v>1.5</v>
      </c>
      <c r="H19" t="n">
        <v>1</v>
      </c>
      <c r="I19" t="n">
        <v>1</v>
      </c>
      <c r="J19" t="n">
        <v>1</v>
      </c>
      <c r="K19" t="n">
        <v>0</v>
      </c>
      <c r="L19" t="n">
        <v>0</v>
      </c>
      <c r="M19" t="n">
        <v>0</v>
      </c>
      <c r="N19" t="n">
        <v>0</v>
      </c>
      <c r="O19" t="n">
        <v>1</v>
      </c>
      <c r="P19" t="n">
        <v>0</v>
      </c>
      <c r="Q19" t="n">
        <v>2</v>
      </c>
      <c r="R19" s="2" t="inlineStr">
        <is>
          <t>Entita
Västlig hakmossa</t>
        </is>
      </c>
      <c r="S19">
        <f>HYPERLINK("https://klasma.github.io/Logging_1440/artfynd/A 20586-2023 artfynd.xlsx", "A 20586-2023")</f>
        <v/>
      </c>
      <c r="T19">
        <f>HYPERLINK("https://klasma.github.io/Logging_1440/kartor/A 20586-2023 karta.png", "A 20586-2023")</f>
        <v/>
      </c>
      <c r="V19">
        <f>HYPERLINK("https://klasma.github.io/Logging_1440/klagomål/A 20586-2023 FSC-klagomål.docx", "A 20586-2023")</f>
        <v/>
      </c>
      <c r="W19">
        <f>HYPERLINK("https://klasma.github.io/Logging_1440/klagomålsmail/A 20586-2023 FSC-klagomål mail.docx", "A 20586-2023")</f>
        <v/>
      </c>
      <c r="X19">
        <f>HYPERLINK("https://klasma.github.io/Logging_1440/tillsyn/A 20586-2023 tillsynsbegäran.docx", "A 20586-2023")</f>
        <v/>
      </c>
      <c r="Y19">
        <f>HYPERLINK("https://klasma.github.io/Logging_1440/tillsynsmail/A 20586-2023 tillsynsbegäran mail.docx", "A 20586-2023")</f>
        <v/>
      </c>
      <c r="Z19">
        <f>HYPERLINK("https://klasma.github.io/Logging_1440/fåglar/A 20586-2023 prioriterade fågelarter.docx", "A 20586-2023")</f>
        <v/>
      </c>
    </row>
    <row r="20" ht="15" customHeight="1">
      <c r="A20" t="inlineStr">
        <is>
          <t>A 8955-2025</t>
        </is>
      </c>
      <c r="B20" s="1" t="n">
        <v>45713.46528935185</v>
      </c>
      <c r="C20" s="1" t="n">
        <v>45890</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16534-2025</t>
        </is>
      </c>
      <c r="B21" s="1" t="n">
        <v>45751.65315972222</v>
      </c>
      <c r="C21" s="1" t="n">
        <v>45890</v>
      </c>
      <c r="D21" t="inlineStr">
        <is>
          <t>VÄSTRA GÖTALANDS LÄN</t>
        </is>
      </c>
      <c r="E21" t="inlineStr">
        <is>
          <t>ALE</t>
        </is>
      </c>
      <c r="G21" t="n">
        <v>1.5</v>
      </c>
      <c r="H21" t="n">
        <v>1</v>
      </c>
      <c r="I21" t="n">
        <v>1</v>
      </c>
      <c r="J21" t="n">
        <v>1</v>
      </c>
      <c r="K21" t="n">
        <v>0</v>
      </c>
      <c r="L21" t="n">
        <v>0</v>
      </c>
      <c r="M21" t="n">
        <v>0</v>
      </c>
      <c r="N21" t="n">
        <v>0</v>
      </c>
      <c r="O21" t="n">
        <v>1</v>
      </c>
      <c r="P21" t="n">
        <v>0</v>
      </c>
      <c r="Q21" t="n">
        <v>2</v>
      </c>
      <c r="R21" s="2" t="inlineStr">
        <is>
          <t>Entita
Västlig hakmossa</t>
        </is>
      </c>
      <c r="S21">
        <f>HYPERLINK("https://klasma.github.io/Logging_1440/artfynd/A 16534-2025 artfynd.xlsx", "A 16534-2025")</f>
        <v/>
      </c>
      <c r="T21">
        <f>HYPERLINK("https://klasma.github.io/Logging_1440/kartor/A 16534-2025 karta.png", "A 16534-2025")</f>
        <v/>
      </c>
      <c r="V21">
        <f>HYPERLINK("https://klasma.github.io/Logging_1440/klagomål/A 16534-2025 FSC-klagomål.docx", "A 16534-2025")</f>
        <v/>
      </c>
      <c r="W21">
        <f>HYPERLINK("https://klasma.github.io/Logging_1440/klagomålsmail/A 16534-2025 FSC-klagomål mail.docx", "A 16534-2025")</f>
        <v/>
      </c>
      <c r="X21">
        <f>HYPERLINK("https://klasma.github.io/Logging_1440/tillsyn/A 16534-2025 tillsynsbegäran.docx", "A 16534-2025")</f>
        <v/>
      </c>
      <c r="Y21">
        <f>HYPERLINK("https://klasma.github.io/Logging_1440/tillsynsmail/A 16534-2025 tillsynsbegäran mail.docx", "A 16534-2025")</f>
        <v/>
      </c>
      <c r="Z21">
        <f>HYPERLINK("https://klasma.github.io/Logging_1440/fåglar/A 16534-2025 prioriterade fågelarter.docx", "A 16534-2025")</f>
        <v/>
      </c>
    </row>
    <row r="22" ht="15" customHeight="1">
      <c r="A22" t="inlineStr">
        <is>
          <t>A 63569-2023</t>
        </is>
      </c>
      <c r="B22" s="1" t="n">
        <v>45275</v>
      </c>
      <c r="C22" s="1" t="n">
        <v>45890</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1503-2024</t>
        </is>
      </c>
      <c r="B23" s="1" t="n">
        <v>45306.35041666667</v>
      </c>
      <c r="C23" s="1" t="n">
        <v>45890</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45673.54403935185</v>
      </c>
      <c r="C24" s="1" t="n">
        <v>45890</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45735.6765162037</v>
      </c>
      <c r="C25" s="1" t="n">
        <v>45890</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58954-2022</t>
        </is>
      </c>
      <c r="B26" s="1" t="n">
        <v>44903</v>
      </c>
      <c r="C26" s="1" t="n">
        <v>45890</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12084-2025</t>
        </is>
      </c>
      <c r="B27" s="1" t="n">
        <v>45728.95387731482</v>
      </c>
      <c r="C27" s="1" t="n">
        <v>45890</v>
      </c>
      <c r="D27" t="inlineStr">
        <is>
          <t>VÄSTRA GÖTALANDS LÄN</t>
        </is>
      </c>
      <c r="E27" t="inlineStr">
        <is>
          <t>ALE</t>
        </is>
      </c>
      <c r="G27" t="n">
        <v>2.4</v>
      </c>
      <c r="H27" t="n">
        <v>1</v>
      </c>
      <c r="I27" t="n">
        <v>0</v>
      </c>
      <c r="J27" t="n">
        <v>1</v>
      </c>
      <c r="K27" t="n">
        <v>0</v>
      </c>
      <c r="L27" t="n">
        <v>0</v>
      </c>
      <c r="M27" t="n">
        <v>0</v>
      </c>
      <c r="N27" t="n">
        <v>0</v>
      </c>
      <c r="O27" t="n">
        <v>1</v>
      </c>
      <c r="P27" t="n">
        <v>0</v>
      </c>
      <c r="Q27" t="n">
        <v>1</v>
      </c>
      <c r="R27" s="2" t="inlineStr">
        <is>
          <t>Spillkråka</t>
        </is>
      </c>
      <c r="S27">
        <f>HYPERLINK("https://klasma.github.io/Logging_1440/artfynd/A 12084-2025 artfynd.xlsx", "A 12084-2025")</f>
        <v/>
      </c>
      <c r="T27">
        <f>HYPERLINK("https://klasma.github.io/Logging_1440/kartor/A 12084-2025 karta.png", "A 12084-2025")</f>
        <v/>
      </c>
      <c r="V27">
        <f>HYPERLINK("https://klasma.github.io/Logging_1440/klagomål/A 12084-2025 FSC-klagomål.docx", "A 12084-2025")</f>
        <v/>
      </c>
      <c r="W27">
        <f>HYPERLINK("https://klasma.github.io/Logging_1440/klagomålsmail/A 12084-2025 FSC-klagomål mail.docx", "A 12084-2025")</f>
        <v/>
      </c>
      <c r="X27">
        <f>HYPERLINK("https://klasma.github.io/Logging_1440/tillsyn/A 12084-2025 tillsynsbegäran.docx", "A 12084-2025")</f>
        <v/>
      </c>
      <c r="Y27">
        <f>HYPERLINK("https://klasma.github.io/Logging_1440/tillsynsmail/A 12084-2025 tillsynsbegäran mail.docx", "A 12084-2025")</f>
        <v/>
      </c>
      <c r="Z27">
        <f>HYPERLINK("https://klasma.github.io/Logging_1440/fåglar/A 12084-2025 prioriterade fågelarter.docx", "A 12084-2025")</f>
        <v/>
      </c>
    </row>
    <row r="28" ht="15" customHeight="1">
      <c r="A28" t="inlineStr">
        <is>
          <t>A 26493-2024</t>
        </is>
      </c>
      <c r="B28" s="1" t="n">
        <v>45469</v>
      </c>
      <c r="C28" s="1" t="n">
        <v>45890</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45890</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45890</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45890</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45890</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45890</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45890</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45890</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45890</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45890</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45890</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45890</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45890</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45890</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45890</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45890</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45890</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45890</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45890</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45890</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45890</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45890</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45890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45890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45890</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45890</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45890</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45890</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45890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45890</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45890</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41598-2022</t>
        </is>
      </c>
      <c r="B59" s="1" t="n">
        <v>44827.4609837963</v>
      </c>
      <c r="C59" s="1" t="n">
        <v>45890</v>
      </c>
      <c r="D59" t="inlineStr">
        <is>
          <t>VÄSTRA GÖTALANDS LÄN</t>
        </is>
      </c>
      <c r="E59" t="inlineStr">
        <is>
          <t>ALE</t>
        </is>
      </c>
      <c r="G59" t="n">
        <v>2</v>
      </c>
      <c r="H59" t="n">
        <v>0</v>
      </c>
      <c r="I59" t="n">
        <v>0</v>
      </c>
      <c r="J59" t="n">
        <v>0</v>
      </c>
      <c r="K59" t="n">
        <v>0</v>
      </c>
      <c r="L59" t="n">
        <v>0</v>
      </c>
      <c r="M59" t="n">
        <v>0</v>
      </c>
      <c r="N59" t="n">
        <v>0</v>
      </c>
      <c r="O59" t="n">
        <v>0</v>
      </c>
      <c r="P59" t="n">
        <v>0</v>
      </c>
      <c r="Q59" t="n">
        <v>0</v>
      </c>
      <c r="R59" s="2" t="inlineStr"/>
    </row>
    <row r="60" ht="15" customHeight="1">
      <c r="A60" t="inlineStr">
        <is>
          <t>A 44429-2023</t>
        </is>
      </c>
      <c r="B60" s="1" t="n">
        <v>45189.35101851852</v>
      </c>
      <c r="C60" s="1" t="n">
        <v>45890</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16601-2025</t>
        </is>
      </c>
      <c r="B61" s="1" t="n">
        <v>45753.53189814815</v>
      </c>
      <c r="C61" s="1" t="n">
        <v>45890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4642-2024</t>
        </is>
      </c>
      <c r="B62" s="1" t="n">
        <v>45328.43502314815</v>
      </c>
      <c r="C62" s="1" t="n">
        <v>45890</v>
      </c>
      <c r="D62" t="inlineStr">
        <is>
          <t>VÄSTRA GÖTALANDS LÄN</t>
        </is>
      </c>
      <c r="E62" t="inlineStr">
        <is>
          <t>ALE</t>
        </is>
      </c>
      <c r="G62" t="n">
        <v>7.1</v>
      </c>
      <c r="H62" t="n">
        <v>0</v>
      </c>
      <c r="I62" t="n">
        <v>0</v>
      </c>
      <c r="J62" t="n">
        <v>0</v>
      </c>
      <c r="K62" t="n">
        <v>0</v>
      </c>
      <c r="L62" t="n">
        <v>0</v>
      </c>
      <c r="M62" t="n">
        <v>0</v>
      </c>
      <c r="N62" t="n">
        <v>0</v>
      </c>
      <c r="O62" t="n">
        <v>0</v>
      </c>
      <c r="P62" t="n">
        <v>0</v>
      </c>
      <c r="Q62" t="n">
        <v>0</v>
      </c>
      <c r="R62" s="2" t="inlineStr"/>
    </row>
    <row r="63" ht="15" customHeight="1">
      <c r="A63" t="inlineStr">
        <is>
          <t>A 69325-2020</t>
        </is>
      </c>
      <c r="B63" s="1" t="n">
        <v>44193</v>
      </c>
      <c r="C63" s="1" t="n">
        <v>45890</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60233-2024</t>
        </is>
      </c>
      <c r="B64" s="1" t="n">
        <v>45642.74851851852</v>
      </c>
      <c r="C64" s="1" t="n">
        <v>45890</v>
      </c>
      <c r="D64" t="inlineStr">
        <is>
          <t>VÄSTRA GÖTALANDS LÄN</t>
        </is>
      </c>
      <c r="E64" t="inlineStr">
        <is>
          <t>ALE</t>
        </is>
      </c>
      <c r="G64" t="n">
        <v>0.8</v>
      </c>
      <c r="H64" t="n">
        <v>0</v>
      </c>
      <c r="I64" t="n">
        <v>0</v>
      </c>
      <c r="J64" t="n">
        <v>0</v>
      </c>
      <c r="K64" t="n">
        <v>0</v>
      </c>
      <c r="L64" t="n">
        <v>0</v>
      </c>
      <c r="M64" t="n">
        <v>0</v>
      </c>
      <c r="N64" t="n">
        <v>0</v>
      </c>
      <c r="O64" t="n">
        <v>0</v>
      </c>
      <c r="P64" t="n">
        <v>0</v>
      </c>
      <c r="Q64" t="n">
        <v>0</v>
      </c>
      <c r="R64" s="2" t="inlineStr"/>
    </row>
    <row r="65" ht="15" customHeight="1">
      <c r="A65" t="inlineStr">
        <is>
          <t>A 36403-2024</t>
        </is>
      </c>
      <c r="B65" s="1" t="n">
        <v>45535.69445601852</v>
      </c>
      <c r="C65" s="1" t="n">
        <v>45890</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200-2022</t>
        </is>
      </c>
      <c r="B66" s="1" t="n">
        <v>44564</v>
      </c>
      <c r="C66" s="1" t="n">
        <v>45890</v>
      </c>
      <c r="D66" t="inlineStr">
        <is>
          <t>VÄSTRA GÖTALANDS LÄN</t>
        </is>
      </c>
      <c r="E66" t="inlineStr">
        <is>
          <t>ALE</t>
        </is>
      </c>
      <c r="G66" t="n">
        <v>6.8</v>
      </c>
      <c r="H66" t="n">
        <v>0</v>
      </c>
      <c r="I66" t="n">
        <v>0</v>
      </c>
      <c r="J66" t="n">
        <v>0</v>
      </c>
      <c r="K66" t="n">
        <v>0</v>
      </c>
      <c r="L66" t="n">
        <v>0</v>
      </c>
      <c r="M66" t="n">
        <v>0</v>
      </c>
      <c r="N66" t="n">
        <v>0</v>
      </c>
      <c r="O66" t="n">
        <v>0</v>
      </c>
      <c r="P66" t="n">
        <v>0</v>
      </c>
      <c r="Q66" t="n">
        <v>0</v>
      </c>
      <c r="R66" s="2" t="inlineStr"/>
    </row>
    <row r="67" ht="15" customHeight="1">
      <c r="A67" t="inlineStr">
        <is>
          <t>A 15582-2025</t>
        </is>
      </c>
      <c r="B67" s="1" t="n">
        <v>45747.81394675926</v>
      </c>
      <c r="C67" s="1" t="n">
        <v>45890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7892-2024</t>
        </is>
      </c>
      <c r="B68" s="1" t="n">
        <v>45350.40921296296</v>
      </c>
      <c r="C68" s="1" t="n">
        <v>45890</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6916-2023</t>
        </is>
      </c>
      <c r="B69" s="1" t="n">
        <v>44967.53349537037</v>
      </c>
      <c r="C69" s="1" t="n">
        <v>45890</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6947-2024</t>
        </is>
      </c>
      <c r="B70" s="1" t="n">
        <v>45343</v>
      </c>
      <c r="C70" s="1" t="n">
        <v>45890</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4444-2024</t>
        </is>
      </c>
      <c r="B71" s="1" t="n">
        <v>45327</v>
      </c>
      <c r="C71" s="1" t="n">
        <v>45890</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72801-2021</t>
        </is>
      </c>
      <c r="B72" s="1" t="n">
        <v>44546</v>
      </c>
      <c r="C72" s="1" t="n">
        <v>45890</v>
      </c>
      <c r="D72" t="inlineStr">
        <is>
          <t>VÄSTRA GÖTALANDS LÄN</t>
        </is>
      </c>
      <c r="E72" t="inlineStr">
        <is>
          <t>ALE</t>
        </is>
      </c>
      <c r="F72" t="inlineStr">
        <is>
          <t>Naturvårdsverket</t>
        </is>
      </c>
      <c r="G72" t="n">
        <v>1.4</v>
      </c>
      <c r="H72" t="n">
        <v>0</v>
      </c>
      <c r="I72" t="n">
        <v>0</v>
      </c>
      <c r="J72" t="n">
        <v>0</v>
      </c>
      <c r="K72" t="n">
        <v>0</v>
      </c>
      <c r="L72" t="n">
        <v>0</v>
      </c>
      <c r="M72" t="n">
        <v>0</v>
      </c>
      <c r="N72" t="n">
        <v>0</v>
      </c>
      <c r="O72" t="n">
        <v>0</v>
      </c>
      <c r="P72" t="n">
        <v>0</v>
      </c>
      <c r="Q72" t="n">
        <v>0</v>
      </c>
      <c r="R72" s="2" t="inlineStr"/>
    </row>
    <row r="73" ht="15" customHeight="1">
      <c r="A73" t="inlineStr">
        <is>
          <t>A 5916-2023</t>
        </is>
      </c>
      <c r="B73" s="1" t="n">
        <v>44963</v>
      </c>
      <c r="C73" s="1" t="n">
        <v>45890</v>
      </c>
      <c r="D73" t="inlineStr">
        <is>
          <t>VÄSTRA GÖTALANDS LÄN</t>
        </is>
      </c>
      <c r="E73" t="inlineStr">
        <is>
          <t>ALE</t>
        </is>
      </c>
      <c r="G73" t="n">
        <v>4.2</v>
      </c>
      <c r="H73" t="n">
        <v>0</v>
      </c>
      <c r="I73" t="n">
        <v>0</v>
      </c>
      <c r="J73" t="n">
        <v>0</v>
      </c>
      <c r="K73" t="n">
        <v>0</v>
      </c>
      <c r="L73" t="n">
        <v>0</v>
      </c>
      <c r="M73" t="n">
        <v>0</v>
      </c>
      <c r="N73" t="n">
        <v>0</v>
      </c>
      <c r="O73" t="n">
        <v>0</v>
      </c>
      <c r="P73" t="n">
        <v>0</v>
      </c>
      <c r="Q73" t="n">
        <v>0</v>
      </c>
      <c r="R73" s="2" t="inlineStr"/>
    </row>
    <row r="74" ht="15" customHeight="1">
      <c r="A74" t="inlineStr">
        <is>
          <t>A 1822-2024</t>
        </is>
      </c>
      <c r="B74" s="1" t="n">
        <v>45307.6205787037</v>
      </c>
      <c r="C74" s="1" t="n">
        <v>45890</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3457-2022</t>
        </is>
      </c>
      <c r="B75" s="1" t="n">
        <v>44585</v>
      </c>
      <c r="C75" s="1" t="n">
        <v>45890</v>
      </c>
      <c r="D75" t="inlineStr">
        <is>
          <t>VÄSTRA GÖTALANDS LÄN</t>
        </is>
      </c>
      <c r="E75" t="inlineStr">
        <is>
          <t>ALE</t>
        </is>
      </c>
      <c r="G75" t="n">
        <v>5.1</v>
      </c>
      <c r="H75" t="n">
        <v>0</v>
      </c>
      <c r="I75" t="n">
        <v>0</v>
      </c>
      <c r="J75" t="n">
        <v>0</v>
      </c>
      <c r="K75" t="n">
        <v>0</v>
      </c>
      <c r="L75" t="n">
        <v>0</v>
      </c>
      <c r="M75" t="n">
        <v>0</v>
      </c>
      <c r="N75" t="n">
        <v>0</v>
      </c>
      <c r="O75" t="n">
        <v>0</v>
      </c>
      <c r="P75" t="n">
        <v>0</v>
      </c>
      <c r="Q75" t="n">
        <v>0</v>
      </c>
      <c r="R75" s="2" t="inlineStr"/>
    </row>
    <row r="76" ht="15" customHeight="1">
      <c r="A76" t="inlineStr">
        <is>
          <t>A 34104-2024</t>
        </is>
      </c>
      <c r="B76" s="1" t="n">
        <v>45523.79202546296</v>
      </c>
      <c r="C76" s="1" t="n">
        <v>45890</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45890</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3418-2023</t>
        </is>
      </c>
      <c r="B78" s="1" t="n">
        <v>44949.56182870371</v>
      </c>
      <c r="C78" s="1" t="n">
        <v>45890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57473-2022</t>
        </is>
      </c>
      <c r="B79" s="1" t="n">
        <v>44896</v>
      </c>
      <c r="C79" s="1" t="n">
        <v>45890</v>
      </c>
      <c r="D79" t="inlineStr">
        <is>
          <t>VÄSTRA GÖTALANDS LÄN</t>
        </is>
      </c>
      <c r="E79" t="inlineStr">
        <is>
          <t>ALE</t>
        </is>
      </c>
      <c r="G79" t="n">
        <v>0.7</v>
      </c>
      <c r="H79" t="n">
        <v>0</v>
      </c>
      <c r="I79" t="n">
        <v>0</v>
      </c>
      <c r="J79" t="n">
        <v>0</v>
      </c>
      <c r="K79" t="n">
        <v>0</v>
      </c>
      <c r="L79" t="n">
        <v>0</v>
      </c>
      <c r="M79" t="n">
        <v>0</v>
      </c>
      <c r="N79" t="n">
        <v>0</v>
      </c>
      <c r="O79" t="n">
        <v>0</v>
      </c>
      <c r="P79" t="n">
        <v>0</v>
      </c>
      <c r="Q79" t="n">
        <v>0</v>
      </c>
      <c r="R79" s="2" t="inlineStr"/>
    </row>
    <row r="80" ht="15" customHeight="1">
      <c r="A80" t="inlineStr">
        <is>
          <t>A 8956-2025</t>
        </is>
      </c>
      <c r="B80" s="1" t="n">
        <v>45713.46825231481</v>
      </c>
      <c r="C80" s="1" t="n">
        <v>45890</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50451-2024</t>
        </is>
      </c>
      <c r="B81" s="1" t="n">
        <v>45601.44248842593</v>
      </c>
      <c r="C81" s="1" t="n">
        <v>45890</v>
      </c>
      <c r="D81" t="inlineStr">
        <is>
          <t>VÄSTRA GÖTALANDS LÄN</t>
        </is>
      </c>
      <c r="E81" t="inlineStr">
        <is>
          <t>ALE</t>
        </is>
      </c>
      <c r="G81" t="n">
        <v>2.9</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45890</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4363-2024</t>
        </is>
      </c>
      <c r="B83" s="1" t="n">
        <v>45325</v>
      </c>
      <c r="C83" s="1" t="n">
        <v>45890</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45890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66551-2020</t>
        </is>
      </c>
      <c r="B85" s="1" t="n">
        <v>44179</v>
      </c>
      <c r="C85" s="1" t="n">
        <v>45890</v>
      </c>
      <c r="D85" t="inlineStr">
        <is>
          <t>VÄSTRA GÖTALANDS LÄN</t>
        </is>
      </c>
      <c r="E85" t="inlineStr">
        <is>
          <t>ALE</t>
        </is>
      </c>
      <c r="G85" t="n">
        <v>4.5</v>
      </c>
      <c r="H85" t="n">
        <v>0</v>
      </c>
      <c r="I85" t="n">
        <v>0</v>
      </c>
      <c r="J85" t="n">
        <v>0</v>
      </c>
      <c r="K85" t="n">
        <v>0</v>
      </c>
      <c r="L85" t="n">
        <v>0</v>
      </c>
      <c r="M85" t="n">
        <v>0</v>
      </c>
      <c r="N85" t="n">
        <v>0</v>
      </c>
      <c r="O85" t="n">
        <v>0</v>
      </c>
      <c r="P85" t="n">
        <v>0</v>
      </c>
      <c r="Q85" t="n">
        <v>0</v>
      </c>
      <c r="R85" s="2" t="inlineStr"/>
    </row>
    <row r="86" ht="15" customHeight="1">
      <c r="A86" t="inlineStr">
        <is>
          <t>A 1960-2024</t>
        </is>
      </c>
      <c r="B86" s="1" t="n">
        <v>45308.50962962963</v>
      </c>
      <c r="C86" s="1" t="n">
        <v>45890</v>
      </c>
      <c r="D86" t="inlineStr">
        <is>
          <t>VÄSTRA GÖTALANDS LÄN</t>
        </is>
      </c>
      <c r="E86" t="inlineStr">
        <is>
          <t>ALE</t>
        </is>
      </c>
      <c r="G86" t="n">
        <v>1.9</v>
      </c>
      <c r="H86" t="n">
        <v>0</v>
      </c>
      <c r="I86" t="n">
        <v>0</v>
      </c>
      <c r="J86" t="n">
        <v>0</v>
      </c>
      <c r="K86" t="n">
        <v>0</v>
      </c>
      <c r="L86" t="n">
        <v>0</v>
      </c>
      <c r="M86" t="n">
        <v>0</v>
      </c>
      <c r="N86" t="n">
        <v>0</v>
      </c>
      <c r="O86" t="n">
        <v>0</v>
      </c>
      <c r="P86" t="n">
        <v>0</v>
      </c>
      <c r="Q86" t="n">
        <v>0</v>
      </c>
      <c r="R86" s="2" t="inlineStr"/>
    </row>
    <row r="87" ht="15" customHeight="1">
      <c r="A87" t="inlineStr">
        <is>
          <t>A 41607-2022</t>
        </is>
      </c>
      <c r="B87" s="1" t="n">
        <v>44827.46658564815</v>
      </c>
      <c r="C87" s="1" t="n">
        <v>45890</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15499-2022</t>
        </is>
      </c>
      <c r="B88" s="1" t="n">
        <v>44662</v>
      </c>
      <c r="C88" s="1" t="n">
        <v>45890</v>
      </c>
      <c r="D88" t="inlineStr">
        <is>
          <t>VÄSTRA GÖTALANDS LÄN</t>
        </is>
      </c>
      <c r="E88" t="inlineStr">
        <is>
          <t>ALE</t>
        </is>
      </c>
      <c r="G88" t="n">
        <v>4.7</v>
      </c>
      <c r="H88" t="n">
        <v>0</v>
      </c>
      <c r="I88" t="n">
        <v>0</v>
      </c>
      <c r="J88" t="n">
        <v>0</v>
      </c>
      <c r="K88" t="n">
        <v>0</v>
      </c>
      <c r="L88" t="n">
        <v>0</v>
      </c>
      <c r="M88" t="n">
        <v>0</v>
      </c>
      <c r="N88" t="n">
        <v>0</v>
      </c>
      <c r="O88" t="n">
        <v>0</v>
      </c>
      <c r="P88" t="n">
        <v>0</v>
      </c>
      <c r="Q88" t="n">
        <v>0</v>
      </c>
      <c r="R88" s="2" t="inlineStr"/>
    </row>
    <row r="89" ht="15" customHeight="1">
      <c r="A89" t="inlineStr">
        <is>
          <t>A 20067-2023</t>
        </is>
      </c>
      <c r="B89" s="1" t="n">
        <v>45054</v>
      </c>
      <c r="C89" s="1" t="n">
        <v>45890</v>
      </c>
      <c r="D89" t="inlineStr">
        <is>
          <t>VÄSTRA GÖTALANDS LÄN</t>
        </is>
      </c>
      <c r="E89" t="inlineStr">
        <is>
          <t>ALE</t>
        </is>
      </c>
      <c r="G89" t="n">
        <v>0.4</v>
      </c>
      <c r="H89" t="n">
        <v>0</v>
      </c>
      <c r="I89" t="n">
        <v>0</v>
      </c>
      <c r="J89" t="n">
        <v>0</v>
      </c>
      <c r="K89" t="n">
        <v>0</v>
      </c>
      <c r="L89" t="n">
        <v>0</v>
      </c>
      <c r="M89" t="n">
        <v>0</v>
      </c>
      <c r="N89" t="n">
        <v>0</v>
      </c>
      <c r="O89" t="n">
        <v>0</v>
      </c>
      <c r="P89" t="n">
        <v>0</v>
      </c>
      <c r="Q89" t="n">
        <v>0</v>
      </c>
      <c r="R89" s="2" t="inlineStr"/>
    </row>
    <row r="90" ht="15" customHeight="1">
      <c r="A90" t="inlineStr">
        <is>
          <t>A 53476-2023</t>
        </is>
      </c>
      <c r="B90" s="1" t="n">
        <v>45230.33737268519</v>
      </c>
      <c r="C90" s="1" t="n">
        <v>45890</v>
      </c>
      <c r="D90" t="inlineStr">
        <is>
          <t>VÄSTRA GÖTALANDS LÄN</t>
        </is>
      </c>
      <c r="E90" t="inlineStr">
        <is>
          <t>ALE</t>
        </is>
      </c>
      <c r="G90" t="n">
        <v>1.9</v>
      </c>
      <c r="H90" t="n">
        <v>0</v>
      </c>
      <c r="I90" t="n">
        <v>0</v>
      </c>
      <c r="J90" t="n">
        <v>0</v>
      </c>
      <c r="K90" t="n">
        <v>0</v>
      </c>
      <c r="L90" t="n">
        <v>0</v>
      </c>
      <c r="M90" t="n">
        <v>0</v>
      </c>
      <c r="N90" t="n">
        <v>0</v>
      </c>
      <c r="O90" t="n">
        <v>0</v>
      </c>
      <c r="P90" t="n">
        <v>0</v>
      </c>
      <c r="Q90" t="n">
        <v>0</v>
      </c>
      <c r="R90" s="2" t="inlineStr"/>
    </row>
    <row r="91" ht="15" customHeight="1">
      <c r="A91" t="inlineStr">
        <is>
          <t>A 4971-2024</t>
        </is>
      </c>
      <c r="B91" s="1" t="n">
        <v>45329</v>
      </c>
      <c r="C91" s="1" t="n">
        <v>45890</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45890</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51164-2024</t>
        </is>
      </c>
      <c r="B93" s="1" t="n">
        <v>45603.5830787037</v>
      </c>
      <c r="C93" s="1" t="n">
        <v>45890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22946-2025</t>
        </is>
      </c>
      <c r="B94" s="1" t="n">
        <v>45790.48229166667</v>
      </c>
      <c r="C94" s="1" t="n">
        <v>45890</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63575-2023</t>
        </is>
      </c>
      <c r="B95" s="1" t="n">
        <v>45275.39715277778</v>
      </c>
      <c r="C95" s="1" t="n">
        <v>45890</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48257-2022</t>
        </is>
      </c>
      <c r="B96" s="1" t="n">
        <v>44858.47591435185</v>
      </c>
      <c r="C96" s="1" t="n">
        <v>45890</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56493-2021</t>
        </is>
      </c>
      <c r="B97" s="1" t="n">
        <v>44480.57173611111</v>
      </c>
      <c r="C97" s="1" t="n">
        <v>45890</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41309-2024</t>
        </is>
      </c>
      <c r="B98" s="1" t="n">
        <v>45559</v>
      </c>
      <c r="C98" s="1" t="n">
        <v>45890</v>
      </c>
      <c r="D98" t="inlineStr">
        <is>
          <t>VÄSTRA GÖTALANDS LÄN</t>
        </is>
      </c>
      <c r="E98" t="inlineStr">
        <is>
          <t>ALE</t>
        </is>
      </c>
      <c r="G98" t="n">
        <v>8.4</v>
      </c>
      <c r="H98" t="n">
        <v>0</v>
      </c>
      <c r="I98" t="n">
        <v>0</v>
      </c>
      <c r="J98" t="n">
        <v>0</v>
      </c>
      <c r="K98" t="n">
        <v>0</v>
      </c>
      <c r="L98" t="n">
        <v>0</v>
      </c>
      <c r="M98" t="n">
        <v>0</v>
      </c>
      <c r="N98" t="n">
        <v>0</v>
      </c>
      <c r="O98" t="n">
        <v>0</v>
      </c>
      <c r="P98" t="n">
        <v>0</v>
      </c>
      <c r="Q98" t="n">
        <v>0</v>
      </c>
      <c r="R98" s="2" t="inlineStr"/>
    </row>
    <row r="99" ht="15" customHeight="1">
      <c r="A99" t="inlineStr">
        <is>
          <t>A 24642-2022</t>
        </is>
      </c>
      <c r="B99" s="1" t="n">
        <v>44727.59578703704</v>
      </c>
      <c r="C99" s="1" t="n">
        <v>45890</v>
      </c>
      <c r="D99" t="inlineStr">
        <is>
          <t>VÄSTRA GÖTALANDS LÄN</t>
        </is>
      </c>
      <c r="E99" t="inlineStr">
        <is>
          <t>ALE</t>
        </is>
      </c>
      <c r="G99" t="n">
        <v>10</v>
      </c>
      <c r="H99" t="n">
        <v>0</v>
      </c>
      <c r="I99" t="n">
        <v>0</v>
      </c>
      <c r="J99" t="n">
        <v>0</v>
      </c>
      <c r="K99" t="n">
        <v>0</v>
      </c>
      <c r="L99" t="n">
        <v>0</v>
      </c>
      <c r="M99" t="n">
        <v>0</v>
      </c>
      <c r="N99" t="n">
        <v>0</v>
      </c>
      <c r="O99" t="n">
        <v>0</v>
      </c>
      <c r="P99" t="n">
        <v>0</v>
      </c>
      <c r="Q99" t="n">
        <v>0</v>
      </c>
      <c r="R99" s="2" t="inlineStr"/>
    </row>
    <row r="100" ht="15" customHeight="1">
      <c r="A100" t="inlineStr">
        <is>
          <t>A 37461-2024</t>
        </is>
      </c>
      <c r="B100" s="1" t="n">
        <v>45540.72516203704</v>
      </c>
      <c r="C100" s="1" t="n">
        <v>45890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7807-2023</t>
        </is>
      </c>
      <c r="B101" s="1" t="n">
        <v>44973</v>
      </c>
      <c r="C101" s="1" t="n">
        <v>45890</v>
      </c>
      <c r="D101" t="inlineStr">
        <is>
          <t>VÄSTRA GÖTALANDS LÄN</t>
        </is>
      </c>
      <c r="E101" t="inlineStr">
        <is>
          <t>ALE</t>
        </is>
      </c>
      <c r="G101" t="n">
        <v>10.5</v>
      </c>
      <c r="H101" t="n">
        <v>0</v>
      </c>
      <c r="I101" t="n">
        <v>0</v>
      </c>
      <c r="J101" t="n">
        <v>0</v>
      </c>
      <c r="K101" t="n">
        <v>0</v>
      </c>
      <c r="L101" t="n">
        <v>0</v>
      </c>
      <c r="M101" t="n">
        <v>0</v>
      </c>
      <c r="N101" t="n">
        <v>0</v>
      </c>
      <c r="O101" t="n">
        <v>0</v>
      </c>
      <c r="P101" t="n">
        <v>0</v>
      </c>
      <c r="Q101" t="n">
        <v>0</v>
      </c>
      <c r="R101" s="2" t="inlineStr"/>
    </row>
    <row r="102" ht="15" customHeight="1">
      <c r="A102" t="inlineStr">
        <is>
          <t>A 32762-2023</t>
        </is>
      </c>
      <c r="B102" s="1" t="n">
        <v>45123.46649305556</v>
      </c>
      <c r="C102" s="1" t="n">
        <v>45890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3413-2023</t>
        </is>
      </c>
      <c r="B103" s="1" t="n">
        <v>44949</v>
      </c>
      <c r="C103" s="1" t="n">
        <v>45890</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25849-2025</t>
        </is>
      </c>
      <c r="B104" s="1" t="n">
        <v>45804</v>
      </c>
      <c r="C104" s="1" t="n">
        <v>45890</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25848-2025</t>
        </is>
      </c>
      <c r="B105" s="1" t="n">
        <v>45804</v>
      </c>
      <c r="C105" s="1" t="n">
        <v>45890</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25840-2025</t>
        </is>
      </c>
      <c r="B106" s="1" t="n">
        <v>45804</v>
      </c>
      <c r="C106" s="1" t="n">
        <v>45890</v>
      </c>
      <c r="D106" t="inlineStr">
        <is>
          <t>VÄSTRA GÖTALANDS LÄN</t>
        </is>
      </c>
      <c r="E106" t="inlineStr">
        <is>
          <t>ALE</t>
        </is>
      </c>
      <c r="G106" t="n">
        <v>3.8</v>
      </c>
      <c r="H106" t="n">
        <v>0</v>
      </c>
      <c r="I106" t="n">
        <v>0</v>
      </c>
      <c r="J106" t="n">
        <v>0</v>
      </c>
      <c r="K106" t="n">
        <v>0</v>
      </c>
      <c r="L106" t="n">
        <v>0</v>
      </c>
      <c r="M106" t="n">
        <v>0</v>
      </c>
      <c r="N106" t="n">
        <v>0</v>
      </c>
      <c r="O106" t="n">
        <v>0</v>
      </c>
      <c r="P106" t="n">
        <v>0</v>
      </c>
      <c r="Q106" t="n">
        <v>0</v>
      </c>
      <c r="R106" s="2" t="inlineStr"/>
    </row>
    <row r="107" ht="15" customHeight="1">
      <c r="A107" t="inlineStr">
        <is>
          <t>A 51564-2023</t>
        </is>
      </c>
      <c r="B107" s="1" t="n">
        <v>45222</v>
      </c>
      <c r="C107" s="1" t="n">
        <v>45890</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18637-2023</t>
        </is>
      </c>
      <c r="B108" s="1" t="n">
        <v>45043</v>
      </c>
      <c r="C108" s="1" t="n">
        <v>45890</v>
      </c>
      <c r="D108" t="inlineStr">
        <is>
          <t>VÄSTRA GÖTALANDS LÄN</t>
        </is>
      </c>
      <c r="E108" t="inlineStr">
        <is>
          <t>ALE</t>
        </is>
      </c>
      <c r="G108" t="n">
        <v>3.6</v>
      </c>
      <c r="H108" t="n">
        <v>0</v>
      </c>
      <c r="I108" t="n">
        <v>0</v>
      </c>
      <c r="J108" t="n">
        <v>0</v>
      </c>
      <c r="K108" t="n">
        <v>0</v>
      </c>
      <c r="L108" t="n">
        <v>0</v>
      </c>
      <c r="M108" t="n">
        <v>0</v>
      </c>
      <c r="N108" t="n">
        <v>0</v>
      </c>
      <c r="O108" t="n">
        <v>0</v>
      </c>
      <c r="P108" t="n">
        <v>0</v>
      </c>
      <c r="Q108" t="n">
        <v>0</v>
      </c>
      <c r="R108" s="2" t="inlineStr"/>
    </row>
    <row r="109" ht="15" customHeight="1">
      <c r="A109" t="inlineStr">
        <is>
          <t>A 59933-2023</t>
        </is>
      </c>
      <c r="B109" s="1" t="n">
        <v>45257</v>
      </c>
      <c r="C109" s="1" t="n">
        <v>45890</v>
      </c>
      <c r="D109" t="inlineStr">
        <is>
          <t>VÄSTRA GÖTALANDS LÄN</t>
        </is>
      </c>
      <c r="E109" t="inlineStr">
        <is>
          <t>ALE</t>
        </is>
      </c>
      <c r="G109" t="n">
        <v>2.7</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44802.57002314815</v>
      </c>
      <c r="C110" s="1" t="n">
        <v>45890</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8659-2025</t>
        </is>
      </c>
      <c r="B111" s="1" t="n">
        <v>45712</v>
      </c>
      <c r="C111" s="1" t="n">
        <v>45890</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5344-2024</t>
        </is>
      </c>
      <c r="B112" s="1" t="n">
        <v>45331</v>
      </c>
      <c r="C112" s="1" t="n">
        <v>45890</v>
      </c>
      <c r="D112" t="inlineStr">
        <is>
          <t>VÄSTRA GÖTALANDS LÄN</t>
        </is>
      </c>
      <c r="E112" t="inlineStr">
        <is>
          <t>ALE</t>
        </is>
      </c>
      <c r="G112" t="n">
        <v>2.5</v>
      </c>
      <c r="H112" t="n">
        <v>0</v>
      </c>
      <c r="I112" t="n">
        <v>0</v>
      </c>
      <c r="J112" t="n">
        <v>0</v>
      </c>
      <c r="K112" t="n">
        <v>0</v>
      </c>
      <c r="L112" t="n">
        <v>0</v>
      </c>
      <c r="M112" t="n">
        <v>0</v>
      </c>
      <c r="N112" t="n">
        <v>0</v>
      </c>
      <c r="O112" t="n">
        <v>0</v>
      </c>
      <c r="P112" t="n">
        <v>0</v>
      </c>
      <c r="Q112" t="n">
        <v>0</v>
      </c>
      <c r="R112" s="2" t="inlineStr"/>
    </row>
    <row r="113" ht="15" customHeight="1">
      <c r="A113" t="inlineStr">
        <is>
          <t>A 14493-2024</t>
        </is>
      </c>
      <c r="B113" s="1" t="n">
        <v>45394.58491898148</v>
      </c>
      <c r="C113" s="1" t="n">
        <v>45890</v>
      </c>
      <c r="D113" t="inlineStr">
        <is>
          <t>VÄSTRA GÖTALANDS LÄN</t>
        </is>
      </c>
      <c r="E113" t="inlineStr">
        <is>
          <t>ALE</t>
        </is>
      </c>
      <c r="G113" t="n">
        <v>2.3</v>
      </c>
      <c r="H113" t="n">
        <v>0</v>
      </c>
      <c r="I113" t="n">
        <v>0</v>
      </c>
      <c r="J113" t="n">
        <v>0</v>
      </c>
      <c r="K113" t="n">
        <v>0</v>
      </c>
      <c r="L113" t="n">
        <v>0</v>
      </c>
      <c r="M113" t="n">
        <v>0</v>
      </c>
      <c r="N113" t="n">
        <v>0</v>
      </c>
      <c r="O113" t="n">
        <v>0</v>
      </c>
      <c r="P113" t="n">
        <v>0</v>
      </c>
      <c r="Q113" t="n">
        <v>0</v>
      </c>
      <c r="R113" s="2" t="inlineStr"/>
    </row>
    <row r="114" ht="15" customHeight="1">
      <c r="A114" t="inlineStr">
        <is>
          <t>A 1500-2024</t>
        </is>
      </c>
      <c r="B114" s="1" t="n">
        <v>45306</v>
      </c>
      <c r="C114" s="1" t="n">
        <v>45890</v>
      </c>
      <c r="D114" t="inlineStr">
        <is>
          <t>VÄSTRA GÖTALANDS LÄN</t>
        </is>
      </c>
      <c r="E114" t="inlineStr">
        <is>
          <t>ALE</t>
        </is>
      </c>
      <c r="G114" t="n">
        <v>1.3</v>
      </c>
      <c r="H114" t="n">
        <v>0</v>
      </c>
      <c r="I114" t="n">
        <v>0</v>
      </c>
      <c r="J114" t="n">
        <v>0</v>
      </c>
      <c r="K114" t="n">
        <v>0</v>
      </c>
      <c r="L114" t="n">
        <v>0</v>
      </c>
      <c r="M114" t="n">
        <v>0</v>
      </c>
      <c r="N114" t="n">
        <v>0</v>
      </c>
      <c r="O114" t="n">
        <v>0</v>
      </c>
      <c r="P114" t="n">
        <v>0</v>
      </c>
      <c r="Q114" t="n">
        <v>0</v>
      </c>
      <c r="R114" s="2" t="inlineStr"/>
    </row>
    <row r="115" ht="15" customHeight="1">
      <c r="A115" t="inlineStr">
        <is>
          <t>A 60232-2024</t>
        </is>
      </c>
      <c r="B115" s="1" t="n">
        <v>45642</v>
      </c>
      <c r="C115" s="1" t="n">
        <v>45890</v>
      </c>
      <c r="D115" t="inlineStr">
        <is>
          <t>VÄSTRA GÖTALANDS LÄN</t>
        </is>
      </c>
      <c r="E115" t="inlineStr">
        <is>
          <t>ALE</t>
        </is>
      </c>
      <c r="G115" t="n">
        <v>5</v>
      </c>
      <c r="H115" t="n">
        <v>0</v>
      </c>
      <c r="I115" t="n">
        <v>0</v>
      </c>
      <c r="J115" t="n">
        <v>0</v>
      </c>
      <c r="K115" t="n">
        <v>0</v>
      </c>
      <c r="L115" t="n">
        <v>0</v>
      </c>
      <c r="M115" t="n">
        <v>0</v>
      </c>
      <c r="N115" t="n">
        <v>0</v>
      </c>
      <c r="O115" t="n">
        <v>0</v>
      </c>
      <c r="P115" t="n">
        <v>0</v>
      </c>
      <c r="Q115" t="n">
        <v>0</v>
      </c>
      <c r="R115" s="2" t="inlineStr"/>
    </row>
    <row r="116" ht="15" customHeight="1">
      <c r="A116" t="inlineStr">
        <is>
          <t>A 26157-2023</t>
        </is>
      </c>
      <c r="B116" s="1" t="n">
        <v>45091.50479166667</v>
      </c>
      <c r="C116" s="1" t="n">
        <v>45890</v>
      </c>
      <c r="D116" t="inlineStr">
        <is>
          <t>VÄSTRA GÖTALANDS LÄN</t>
        </is>
      </c>
      <c r="E116" t="inlineStr">
        <is>
          <t>ALE</t>
        </is>
      </c>
      <c r="G116" t="n">
        <v>2.6</v>
      </c>
      <c r="H116" t="n">
        <v>0</v>
      </c>
      <c r="I116" t="n">
        <v>0</v>
      </c>
      <c r="J116" t="n">
        <v>0</v>
      </c>
      <c r="K116" t="n">
        <v>0</v>
      </c>
      <c r="L116" t="n">
        <v>0</v>
      </c>
      <c r="M116" t="n">
        <v>0</v>
      </c>
      <c r="N116" t="n">
        <v>0</v>
      </c>
      <c r="O116" t="n">
        <v>0</v>
      </c>
      <c r="P116" t="n">
        <v>0</v>
      </c>
      <c r="Q116" t="n">
        <v>0</v>
      </c>
      <c r="R116" s="2" t="inlineStr"/>
    </row>
    <row r="117" ht="15" customHeight="1">
      <c r="A117" t="inlineStr">
        <is>
          <t>A 1687-2024</t>
        </is>
      </c>
      <c r="B117" s="1" t="n">
        <v>45306</v>
      </c>
      <c r="C117" s="1" t="n">
        <v>45890</v>
      </c>
      <c r="D117" t="inlineStr">
        <is>
          <t>VÄSTRA GÖTALANDS LÄN</t>
        </is>
      </c>
      <c r="E117" t="inlineStr">
        <is>
          <t>ALE</t>
        </is>
      </c>
      <c r="G117" t="n">
        <v>3.4</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45890</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29373-2025</t>
        </is>
      </c>
      <c r="B119" s="1" t="n">
        <v>45824.579375</v>
      </c>
      <c r="C119" s="1" t="n">
        <v>45890</v>
      </c>
      <c r="D119" t="inlineStr">
        <is>
          <t>VÄSTRA GÖTALANDS LÄN</t>
        </is>
      </c>
      <c r="E119" t="inlineStr">
        <is>
          <t>ALE</t>
        </is>
      </c>
      <c r="G119" t="n">
        <v>4.6</v>
      </c>
      <c r="H119" t="n">
        <v>0</v>
      </c>
      <c r="I119" t="n">
        <v>0</v>
      </c>
      <c r="J119" t="n">
        <v>0</v>
      </c>
      <c r="K119" t="n">
        <v>0</v>
      </c>
      <c r="L119" t="n">
        <v>0</v>
      </c>
      <c r="M119" t="n">
        <v>0</v>
      </c>
      <c r="N119" t="n">
        <v>0</v>
      </c>
      <c r="O119" t="n">
        <v>0</v>
      </c>
      <c r="P119" t="n">
        <v>0</v>
      </c>
      <c r="Q119" t="n">
        <v>0</v>
      </c>
      <c r="R119" s="2" t="inlineStr"/>
    </row>
    <row r="120" ht="15" customHeight="1">
      <c r="A120" t="inlineStr">
        <is>
          <t>A 13426-2025</t>
        </is>
      </c>
      <c r="B120" s="1" t="n">
        <v>45736.32780092592</v>
      </c>
      <c r="C120" s="1" t="n">
        <v>45890</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13382-2025</t>
        </is>
      </c>
      <c r="B121" s="1" t="n">
        <v>45735.67928240741</v>
      </c>
      <c r="C121" s="1" t="n">
        <v>45890</v>
      </c>
      <c r="D121" t="inlineStr">
        <is>
          <t>VÄSTRA GÖTALANDS LÄN</t>
        </is>
      </c>
      <c r="E121" t="inlineStr">
        <is>
          <t>ALE</t>
        </is>
      </c>
      <c r="G121" t="n">
        <v>0.9</v>
      </c>
      <c r="H121" t="n">
        <v>0</v>
      </c>
      <c r="I121" t="n">
        <v>0</v>
      </c>
      <c r="J121" t="n">
        <v>0</v>
      </c>
      <c r="K121" t="n">
        <v>0</v>
      </c>
      <c r="L121" t="n">
        <v>0</v>
      </c>
      <c r="M121" t="n">
        <v>0</v>
      </c>
      <c r="N121" t="n">
        <v>0</v>
      </c>
      <c r="O121" t="n">
        <v>0</v>
      </c>
      <c r="P121" t="n">
        <v>0</v>
      </c>
      <c r="Q121" t="n">
        <v>0</v>
      </c>
      <c r="R121" s="2" t="inlineStr"/>
    </row>
    <row r="122" ht="15" customHeight="1">
      <c r="A122" t="inlineStr">
        <is>
          <t>A 13903-2025</t>
        </is>
      </c>
      <c r="B122" s="1" t="n">
        <v>45737.63481481482</v>
      </c>
      <c r="C122" s="1" t="n">
        <v>45890</v>
      </c>
      <c r="D122" t="inlineStr">
        <is>
          <t>VÄSTRA GÖTALANDS LÄN</t>
        </is>
      </c>
      <c r="E122" t="inlineStr">
        <is>
          <t>ALE</t>
        </is>
      </c>
      <c r="G122" t="n">
        <v>0.5</v>
      </c>
      <c r="H122" t="n">
        <v>0</v>
      </c>
      <c r="I122" t="n">
        <v>0</v>
      </c>
      <c r="J122" t="n">
        <v>0</v>
      </c>
      <c r="K122" t="n">
        <v>0</v>
      </c>
      <c r="L122" t="n">
        <v>0</v>
      </c>
      <c r="M122" t="n">
        <v>0</v>
      </c>
      <c r="N122" t="n">
        <v>0</v>
      </c>
      <c r="O122" t="n">
        <v>0</v>
      </c>
      <c r="P122" t="n">
        <v>0</v>
      </c>
      <c r="Q122" t="n">
        <v>0</v>
      </c>
      <c r="R122" s="2" t="inlineStr"/>
    </row>
    <row r="123" ht="15" customHeight="1">
      <c r="A123" t="inlineStr">
        <is>
          <t>A 27314-2021</t>
        </is>
      </c>
      <c r="B123" s="1" t="n">
        <v>44351.36537037037</v>
      </c>
      <c r="C123" s="1" t="n">
        <v>45890</v>
      </c>
      <c r="D123" t="inlineStr">
        <is>
          <t>VÄSTRA GÖTALANDS LÄN</t>
        </is>
      </c>
      <c r="E123" t="inlineStr">
        <is>
          <t>ALE</t>
        </is>
      </c>
      <c r="G123" t="n">
        <v>11.3</v>
      </c>
      <c r="H123" t="n">
        <v>0</v>
      </c>
      <c r="I123" t="n">
        <v>0</v>
      </c>
      <c r="J123" t="n">
        <v>0</v>
      </c>
      <c r="K123" t="n">
        <v>0</v>
      </c>
      <c r="L123" t="n">
        <v>0</v>
      </c>
      <c r="M123" t="n">
        <v>0</v>
      </c>
      <c r="N123" t="n">
        <v>0</v>
      </c>
      <c r="O123" t="n">
        <v>0</v>
      </c>
      <c r="P123" t="n">
        <v>0</v>
      </c>
      <c r="Q123" t="n">
        <v>0</v>
      </c>
      <c r="R123" s="2" t="inlineStr"/>
    </row>
    <row r="124" ht="15" customHeight="1">
      <c r="A124" t="inlineStr">
        <is>
          <t>A 37005-2025</t>
        </is>
      </c>
      <c r="B124" s="1" t="n">
        <v>45874.69311342593</v>
      </c>
      <c r="C124" s="1" t="n">
        <v>45890</v>
      </c>
      <c r="D124" t="inlineStr">
        <is>
          <t>VÄSTRA GÖTALANDS LÄN</t>
        </is>
      </c>
      <c r="E124" t="inlineStr">
        <is>
          <t>ALE</t>
        </is>
      </c>
      <c r="G124" t="n">
        <v>1.9</v>
      </c>
      <c r="H124" t="n">
        <v>0</v>
      </c>
      <c r="I124" t="n">
        <v>0</v>
      </c>
      <c r="J124" t="n">
        <v>0</v>
      </c>
      <c r="K124" t="n">
        <v>0</v>
      </c>
      <c r="L124" t="n">
        <v>0</v>
      </c>
      <c r="M124" t="n">
        <v>0</v>
      </c>
      <c r="N124" t="n">
        <v>0</v>
      </c>
      <c r="O124" t="n">
        <v>0</v>
      </c>
      <c r="P124" t="n">
        <v>0</v>
      </c>
      <c r="Q124" t="n">
        <v>0</v>
      </c>
      <c r="R124" s="2" t="inlineStr"/>
    </row>
    <row r="125" ht="15" customHeight="1">
      <c r="A125" t="inlineStr">
        <is>
          <t>A 31407-2025</t>
        </is>
      </c>
      <c r="B125" s="1" t="n">
        <v>45833</v>
      </c>
      <c r="C125" s="1" t="n">
        <v>45890</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31409-2025</t>
        </is>
      </c>
      <c r="B126" s="1" t="n">
        <v>45833</v>
      </c>
      <c r="C126" s="1" t="n">
        <v>45890</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14458-2024</t>
        </is>
      </c>
      <c r="B127" s="1" t="n">
        <v>45394</v>
      </c>
      <c r="C127" s="1" t="n">
        <v>45890</v>
      </c>
      <c r="D127" t="inlineStr">
        <is>
          <t>VÄSTRA GÖTALANDS LÄN</t>
        </is>
      </c>
      <c r="E127" t="inlineStr">
        <is>
          <t>ALE</t>
        </is>
      </c>
      <c r="G127" t="n">
        <v>0.5</v>
      </c>
      <c r="H127" t="n">
        <v>0</v>
      </c>
      <c r="I127" t="n">
        <v>0</v>
      </c>
      <c r="J127" t="n">
        <v>0</v>
      </c>
      <c r="K127" t="n">
        <v>0</v>
      </c>
      <c r="L127" t="n">
        <v>0</v>
      </c>
      <c r="M127" t="n">
        <v>0</v>
      </c>
      <c r="N127" t="n">
        <v>0</v>
      </c>
      <c r="O127" t="n">
        <v>0</v>
      </c>
      <c r="P127" t="n">
        <v>0</v>
      </c>
      <c r="Q127" t="n">
        <v>0</v>
      </c>
      <c r="R127" s="2" t="inlineStr"/>
    </row>
    <row r="128" ht="15" customHeight="1">
      <c r="A128" t="inlineStr">
        <is>
          <t>A 31488-2025</t>
        </is>
      </c>
      <c r="B128" s="1" t="n">
        <v>45833</v>
      </c>
      <c r="C128" s="1" t="n">
        <v>45890</v>
      </c>
      <c r="D128" t="inlineStr">
        <is>
          <t>VÄSTRA GÖTALANDS LÄN</t>
        </is>
      </c>
      <c r="E128" t="inlineStr">
        <is>
          <t>ALE</t>
        </is>
      </c>
      <c r="G128" t="n">
        <v>1.8</v>
      </c>
      <c r="H128" t="n">
        <v>0</v>
      </c>
      <c r="I128" t="n">
        <v>0</v>
      </c>
      <c r="J128" t="n">
        <v>0</v>
      </c>
      <c r="K128" t="n">
        <v>0</v>
      </c>
      <c r="L128" t="n">
        <v>0</v>
      </c>
      <c r="M128" t="n">
        <v>0</v>
      </c>
      <c r="N128" t="n">
        <v>0</v>
      </c>
      <c r="O128" t="n">
        <v>0</v>
      </c>
      <c r="P128" t="n">
        <v>0</v>
      </c>
      <c r="Q128" t="n">
        <v>0</v>
      </c>
      <c r="R128" s="2" t="inlineStr"/>
    </row>
    <row r="129" ht="15" customHeight="1">
      <c r="A129" t="inlineStr">
        <is>
          <t>A 31533-2025</t>
        </is>
      </c>
      <c r="B129" s="1" t="n">
        <v>45833</v>
      </c>
      <c r="C129" s="1" t="n">
        <v>45890</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45890</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42446-2023</t>
        </is>
      </c>
      <c r="B131" s="1" t="n">
        <v>45180</v>
      </c>
      <c r="C131" s="1" t="n">
        <v>45890</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64199-2021</t>
        </is>
      </c>
      <c r="B132" s="1" t="n">
        <v>44510</v>
      </c>
      <c r="C132" s="1" t="n">
        <v>45890</v>
      </c>
      <c r="D132" t="inlineStr">
        <is>
          <t>VÄSTRA GÖTALANDS LÄN</t>
        </is>
      </c>
      <c r="E132" t="inlineStr">
        <is>
          <t>ALE</t>
        </is>
      </c>
      <c r="G132" t="n">
        <v>5.7</v>
      </c>
      <c r="H132" t="n">
        <v>0</v>
      </c>
      <c r="I132" t="n">
        <v>0</v>
      </c>
      <c r="J132" t="n">
        <v>0</v>
      </c>
      <c r="K132" t="n">
        <v>0</v>
      </c>
      <c r="L132" t="n">
        <v>0</v>
      </c>
      <c r="M132" t="n">
        <v>0</v>
      </c>
      <c r="N132" t="n">
        <v>0</v>
      </c>
      <c r="O132" t="n">
        <v>0</v>
      </c>
      <c r="P132" t="n">
        <v>0</v>
      </c>
      <c r="Q132" t="n">
        <v>0</v>
      </c>
      <c r="R132" s="2" t="inlineStr"/>
    </row>
    <row r="133" ht="15" customHeight="1">
      <c r="A133" t="inlineStr">
        <is>
          <t>A 32394-2025</t>
        </is>
      </c>
      <c r="B133" s="1" t="n">
        <v>45837.91665509259</v>
      </c>
      <c r="C133" s="1" t="n">
        <v>45890</v>
      </c>
      <c r="D133" t="inlineStr">
        <is>
          <t>VÄSTRA GÖTALANDS LÄN</t>
        </is>
      </c>
      <c r="E133" t="inlineStr">
        <is>
          <t>ALE</t>
        </is>
      </c>
      <c r="G133" t="n">
        <v>3.4</v>
      </c>
      <c r="H133" t="n">
        <v>0</v>
      </c>
      <c r="I133" t="n">
        <v>0</v>
      </c>
      <c r="J133" t="n">
        <v>0</v>
      </c>
      <c r="K133" t="n">
        <v>0</v>
      </c>
      <c r="L133" t="n">
        <v>0</v>
      </c>
      <c r="M133" t="n">
        <v>0</v>
      </c>
      <c r="N133" t="n">
        <v>0</v>
      </c>
      <c r="O133" t="n">
        <v>0</v>
      </c>
      <c r="P133" t="n">
        <v>0</v>
      </c>
      <c r="Q133" t="n">
        <v>0</v>
      </c>
      <c r="R133" s="2" t="inlineStr"/>
    </row>
    <row r="134" ht="15" customHeight="1">
      <c r="A134" t="inlineStr">
        <is>
          <t>A 35905-2025</t>
        </is>
      </c>
      <c r="B134" s="1" t="n">
        <v>45862</v>
      </c>
      <c r="C134" s="1" t="n">
        <v>45890</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67160-2021</t>
        </is>
      </c>
      <c r="B135" s="1" t="n">
        <v>44523</v>
      </c>
      <c r="C135" s="1" t="n">
        <v>45890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53121-2024</t>
        </is>
      </c>
      <c r="B136" s="1" t="n">
        <v>45611</v>
      </c>
      <c r="C136" s="1" t="n">
        <v>45890</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45890</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12055-2022</t>
        </is>
      </c>
      <c r="B138" s="1" t="n">
        <v>44636</v>
      </c>
      <c r="C138" s="1" t="n">
        <v>45890</v>
      </c>
      <c r="D138" t="inlineStr">
        <is>
          <t>VÄSTRA GÖTALANDS LÄN</t>
        </is>
      </c>
      <c r="E138" t="inlineStr">
        <is>
          <t>ALE</t>
        </is>
      </c>
      <c r="G138" t="n">
        <v>0.2</v>
      </c>
      <c r="H138" t="n">
        <v>0</v>
      </c>
      <c r="I138" t="n">
        <v>0</v>
      </c>
      <c r="J138" t="n">
        <v>0</v>
      </c>
      <c r="K138" t="n">
        <v>0</v>
      </c>
      <c r="L138" t="n">
        <v>0</v>
      </c>
      <c r="M138" t="n">
        <v>0</v>
      </c>
      <c r="N138" t="n">
        <v>0</v>
      </c>
      <c r="O138" t="n">
        <v>0</v>
      </c>
      <c r="P138" t="n">
        <v>0</v>
      </c>
      <c r="Q138" t="n">
        <v>0</v>
      </c>
      <c r="R138" s="2" t="inlineStr"/>
    </row>
    <row r="139" ht="15" customHeight="1">
      <c r="A139" t="inlineStr">
        <is>
          <t>A 36763-2022</t>
        </is>
      </c>
      <c r="B139" s="1" t="n">
        <v>44805</v>
      </c>
      <c r="C139" s="1" t="n">
        <v>45890</v>
      </c>
      <c r="D139" t="inlineStr">
        <is>
          <t>VÄSTRA GÖTALANDS LÄN</t>
        </is>
      </c>
      <c r="E139" t="inlineStr">
        <is>
          <t>ALE</t>
        </is>
      </c>
      <c r="G139" t="n">
        <v>6.1</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44949.54909722223</v>
      </c>
      <c r="C140" s="1" t="n">
        <v>45890</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42660-2024</t>
        </is>
      </c>
      <c r="B141" s="1" t="n">
        <v>45566.33841435185</v>
      </c>
      <c r="C141" s="1" t="n">
        <v>45890</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15241-2025</t>
        </is>
      </c>
      <c r="B142" s="1" t="n">
        <v>45744.61255787037</v>
      </c>
      <c r="C142" s="1" t="n">
        <v>45890</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49680-2024</t>
        </is>
      </c>
      <c r="B143" s="1" t="n">
        <v>45596.66880787037</v>
      </c>
      <c r="C143" s="1" t="n">
        <v>45890</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34153-2024</t>
        </is>
      </c>
      <c r="B144" s="1" t="n">
        <v>45524.38400462963</v>
      </c>
      <c r="C144" s="1" t="n">
        <v>45890</v>
      </c>
      <c r="D144" t="inlineStr">
        <is>
          <t>VÄSTRA GÖTALANDS LÄN</t>
        </is>
      </c>
      <c r="E144" t="inlineStr">
        <is>
          <t>ALE</t>
        </is>
      </c>
      <c r="G144" t="n">
        <v>0.8</v>
      </c>
      <c r="H144" t="n">
        <v>0</v>
      </c>
      <c r="I144" t="n">
        <v>0</v>
      </c>
      <c r="J144" t="n">
        <v>0</v>
      </c>
      <c r="K144" t="n">
        <v>0</v>
      </c>
      <c r="L144" t="n">
        <v>0</v>
      </c>
      <c r="M144" t="n">
        <v>0</v>
      </c>
      <c r="N144" t="n">
        <v>0</v>
      </c>
      <c r="O144" t="n">
        <v>0</v>
      </c>
      <c r="P144" t="n">
        <v>0</v>
      </c>
      <c r="Q144" t="n">
        <v>0</v>
      </c>
      <c r="R144" s="2" t="inlineStr"/>
    </row>
    <row r="145" ht="15" customHeight="1">
      <c r="A145" t="inlineStr">
        <is>
          <t>A 14731-2022</t>
        </is>
      </c>
      <c r="B145" s="1" t="n">
        <v>44656</v>
      </c>
      <c r="C145" s="1" t="n">
        <v>45890</v>
      </c>
      <c r="D145" t="inlineStr">
        <is>
          <t>VÄSTRA GÖTALANDS LÄN</t>
        </is>
      </c>
      <c r="E145" t="inlineStr">
        <is>
          <t>ALE</t>
        </is>
      </c>
      <c r="G145" t="n">
        <v>1.8</v>
      </c>
      <c r="H145" t="n">
        <v>0</v>
      </c>
      <c r="I145" t="n">
        <v>0</v>
      </c>
      <c r="J145" t="n">
        <v>0</v>
      </c>
      <c r="K145" t="n">
        <v>0</v>
      </c>
      <c r="L145" t="n">
        <v>0</v>
      </c>
      <c r="M145" t="n">
        <v>0</v>
      </c>
      <c r="N145" t="n">
        <v>0</v>
      </c>
      <c r="O145" t="n">
        <v>0</v>
      </c>
      <c r="P145" t="n">
        <v>0</v>
      </c>
      <c r="Q145" t="n">
        <v>0</v>
      </c>
      <c r="R145" s="2" t="inlineStr"/>
    </row>
    <row r="146" ht="15" customHeight="1">
      <c r="A146" t="inlineStr">
        <is>
          <t>A 3520-2022</t>
        </is>
      </c>
      <c r="B146" s="1" t="n">
        <v>44585.72818287037</v>
      </c>
      <c r="C146" s="1" t="n">
        <v>45890</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65226-2021</t>
        </is>
      </c>
      <c r="B147" s="1" t="n">
        <v>44515</v>
      </c>
      <c r="C147" s="1" t="n">
        <v>45890</v>
      </c>
      <c r="D147" t="inlineStr">
        <is>
          <t>VÄSTRA GÖTALANDS LÄN</t>
        </is>
      </c>
      <c r="E147" t="inlineStr">
        <is>
          <t>ALE</t>
        </is>
      </c>
      <c r="G147" t="n">
        <v>0.7</v>
      </c>
      <c r="H147" t="n">
        <v>0</v>
      </c>
      <c r="I147" t="n">
        <v>0</v>
      </c>
      <c r="J147" t="n">
        <v>0</v>
      </c>
      <c r="K147" t="n">
        <v>0</v>
      </c>
      <c r="L147" t="n">
        <v>0</v>
      </c>
      <c r="M147" t="n">
        <v>0</v>
      </c>
      <c r="N147" t="n">
        <v>0</v>
      </c>
      <c r="O147" t="n">
        <v>0</v>
      </c>
      <c r="P147" t="n">
        <v>0</v>
      </c>
      <c r="Q147" t="n">
        <v>0</v>
      </c>
      <c r="R147" s="2" t="inlineStr"/>
    </row>
    <row r="148" ht="15" customHeight="1">
      <c r="A148" t="inlineStr">
        <is>
          <t>A 9193-2025</t>
        </is>
      </c>
      <c r="B148" s="1" t="n">
        <v>45714</v>
      </c>
      <c r="C148" s="1" t="n">
        <v>45890</v>
      </c>
      <c r="D148" t="inlineStr">
        <is>
          <t>VÄSTRA GÖTALANDS LÄN</t>
        </is>
      </c>
      <c r="E148" t="inlineStr">
        <is>
          <t>ALE</t>
        </is>
      </c>
      <c r="G148" t="n">
        <v>7.1</v>
      </c>
      <c r="H148" t="n">
        <v>0</v>
      </c>
      <c r="I148" t="n">
        <v>0</v>
      </c>
      <c r="J148" t="n">
        <v>0</v>
      </c>
      <c r="K148" t="n">
        <v>0</v>
      </c>
      <c r="L148" t="n">
        <v>0</v>
      </c>
      <c r="M148" t="n">
        <v>0</v>
      </c>
      <c r="N148" t="n">
        <v>0</v>
      </c>
      <c r="O148" t="n">
        <v>0</v>
      </c>
      <c r="P148" t="n">
        <v>0</v>
      </c>
      <c r="Q148" t="n">
        <v>0</v>
      </c>
      <c r="R148" s="2" t="inlineStr"/>
    </row>
    <row r="149" ht="15" customHeight="1">
      <c r="A149" t="inlineStr">
        <is>
          <t>A 18999-2021</t>
        </is>
      </c>
      <c r="B149" s="1" t="n">
        <v>44308</v>
      </c>
      <c r="C149" s="1" t="n">
        <v>45890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17044-2025</t>
        </is>
      </c>
      <c r="B150" s="1" t="n">
        <v>45755.58891203703</v>
      </c>
      <c r="C150" s="1" t="n">
        <v>45890</v>
      </c>
      <c r="D150" t="inlineStr">
        <is>
          <t>VÄSTRA GÖTALANDS LÄN</t>
        </is>
      </c>
      <c r="E150" t="inlineStr">
        <is>
          <t>ALE</t>
        </is>
      </c>
      <c r="G150" t="n">
        <v>1.5</v>
      </c>
      <c r="H150" t="n">
        <v>0</v>
      </c>
      <c r="I150" t="n">
        <v>0</v>
      </c>
      <c r="J150" t="n">
        <v>0</v>
      </c>
      <c r="K150" t="n">
        <v>0</v>
      </c>
      <c r="L150" t="n">
        <v>0</v>
      </c>
      <c r="M150" t="n">
        <v>0</v>
      </c>
      <c r="N150" t="n">
        <v>0</v>
      </c>
      <c r="O150" t="n">
        <v>0</v>
      </c>
      <c r="P150" t="n">
        <v>0</v>
      </c>
      <c r="Q150" t="n">
        <v>0</v>
      </c>
      <c r="R150" s="2" t="inlineStr"/>
    </row>
    <row r="151">
      <c r="A151" t="inlineStr">
        <is>
          <t>A 55488-2022</t>
        </is>
      </c>
      <c r="B151" s="1" t="n">
        <v>44887</v>
      </c>
      <c r="C151" s="1" t="n">
        <v>45890</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2025-08-21T08:26:49Z</dcterms:created>
  <dcterms:modified xmlns:dcterms="http://purl.org/dc/terms/" xmlns:xsi="http://www.w3.org/2001/XMLSchema-instance" xsi:type="dcterms:W3CDTF">2025-08-21T08:26:50Z</dcterms:modified>
</cp:coreProperties>
</file>