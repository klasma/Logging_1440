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46237</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46237</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46237</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46237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46237</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46237</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46237</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46237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46237</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46237</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46237</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46237</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46237</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46237</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46237</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46237</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46237</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46237</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46237</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46237</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46237</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3413-2023</t>
        </is>
      </c>
      <c r="B26" t="inlineStr">
        <is>
          <t>avverkningsanmälan</t>
        </is>
      </c>
      <c r="C26" t="inlineStr">
        <is>
          <t>Föryngringsavverkning</t>
        </is>
      </c>
      <c r="D26" s="1" t="n">
        <v>44949</v>
      </c>
      <c r="E26" s="1" t="n">
        <v>46237</v>
      </c>
      <c r="F26" t="inlineStr">
        <is>
          <t>VÄSTRA GÖTALANDS LÄN</t>
        </is>
      </c>
      <c r="G26" t="inlineStr">
        <is>
          <t>ALE</t>
        </is>
      </c>
      <c r="I26" t="n">
        <v>2.3</v>
      </c>
      <c r="J26" t="n">
        <v>2</v>
      </c>
      <c r="K26" t="n">
        <v>0</v>
      </c>
      <c r="L26" t="n">
        <v>0</v>
      </c>
      <c r="M26" t="n">
        <v>0</v>
      </c>
      <c r="N26" t="n">
        <v>0</v>
      </c>
      <c r="O26" t="n">
        <v>0</v>
      </c>
      <c r="P26" t="n">
        <v>0</v>
      </c>
      <c r="Q26" t="n">
        <v>0</v>
      </c>
      <c r="R26" t="n">
        <v>0</v>
      </c>
      <c r="S26" t="n">
        <v>2</v>
      </c>
      <c r="T26" t="n">
        <v>3</v>
      </c>
      <c r="U26" t="n">
        <v>3</v>
      </c>
      <c r="V26" s="2" t="inlineStr">
        <is>
          <t>Vanlig padda
Revlummer</t>
        </is>
      </c>
      <c r="W26">
        <f>HYPERLINK("https://klasma.github.io/Logging_1440/artfynd/A 3413-2023 artfynd.xlsx", "A 3413-2023")</f>
        <v/>
      </c>
      <c r="X26">
        <f>HYPERLINK("https://klasma.github.io/Logging_1440/kartor/A 3413-2023 karta.png", "A 3413-2023")</f>
        <v/>
      </c>
      <c r="Y26">
        <f>HYPERLINK("https://klasma.github.io/Logging_1440/kartor_geotiff/A 3413-2023 georefererad karta.tif", "A 3413-2023")</f>
        <v/>
      </c>
      <c r="AA26">
        <f>HYPERLINK("https://klasma.github.io/Logging_1440/klagomål/A 3413-2023 FSC-klagomål.docx", "A 3413-2023")</f>
        <v/>
      </c>
      <c r="AB26">
        <f>HYPERLINK("https://klasma.github.io/Logging_1440/klagomålsmail/A 3413-2023 FSC-klagomål mail.docx", "A 3413-2023")</f>
        <v/>
      </c>
      <c r="AC26">
        <f>HYPERLINK("https://klasma.github.io/Logging_1440/tillsyn/A 3413-2023 tillsynsbegäran.docx", "A 3413-2023")</f>
        <v/>
      </c>
      <c r="AD26">
        <f>HYPERLINK("https://klasma.github.io/Logging_1440/tillsynsmail/A 3413-2023 tillsynsbegäran mail.docx", "A 3413-2023")</f>
        <v/>
      </c>
    </row>
    <row r="27" ht="15" customHeight="1">
      <c r="A27" t="inlineStr">
        <is>
          <t>A 12982-2024</t>
        </is>
      </c>
      <c r="B27" t="inlineStr">
        <is>
          <t>avverkningsanmälan</t>
        </is>
      </c>
      <c r="C27" t="inlineStr">
        <is>
          <t>Föryngringsavverkning</t>
        </is>
      </c>
      <c r="D27" s="1" t="n">
        <v>45385</v>
      </c>
      <c r="E27" s="1" t="n">
        <v>46237</v>
      </c>
      <c r="F27" t="inlineStr">
        <is>
          <t>VÄSTRA GÖTALANDS LÄN</t>
        </is>
      </c>
      <c r="G27" t="inlineStr">
        <is>
          <t>ALE</t>
        </is>
      </c>
      <c r="I27" t="n">
        <v>3.3</v>
      </c>
      <c r="J27" t="n">
        <v>2</v>
      </c>
      <c r="K27" t="n">
        <v>0</v>
      </c>
      <c r="L27" t="n">
        <v>0</v>
      </c>
      <c r="M27" t="n">
        <v>0</v>
      </c>
      <c r="N27" t="n">
        <v>0</v>
      </c>
      <c r="O27" t="n">
        <v>0</v>
      </c>
      <c r="P27" t="n">
        <v>0</v>
      </c>
      <c r="Q27" t="n">
        <v>0</v>
      </c>
      <c r="R27" t="n">
        <v>0</v>
      </c>
      <c r="S27" t="n">
        <v>2</v>
      </c>
      <c r="T27" t="n">
        <v>2</v>
      </c>
      <c r="U27" t="n">
        <v>1</v>
      </c>
      <c r="V27" s="2" t="inlineStr">
        <is>
          <t>Orre
Revlummer</t>
        </is>
      </c>
      <c r="W27">
        <f>HYPERLINK("https://klasma.github.io/Logging_1440/artfynd/A 12982-2024 artfynd.xlsx", "A 12982-2024")</f>
        <v/>
      </c>
      <c r="X27">
        <f>HYPERLINK("https://klasma.github.io/Logging_1440/kartor/A 12982-2024 karta.png", "A 12982-2024")</f>
        <v/>
      </c>
      <c r="Y27">
        <f>HYPERLINK("https://klasma.github.io/Logging_1440/kartor_geotiff/A 12982-2024 georefererad karta.tif", "A 12982-2024")</f>
        <v/>
      </c>
      <c r="AA27">
        <f>HYPERLINK("https://klasma.github.io/Logging_1440/klagomål/A 12982-2024 FSC-klagomål.docx", "A 12982-2024")</f>
        <v/>
      </c>
      <c r="AB27">
        <f>HYPERLINK("https://klasma.github.io/Logging_1440/klagomålsmail/A 12982-2024 FSC-klagomål mail.docx", "A 12982-2024")</f>
        <v/>
      </c>
      <c r="AC27">
        <f>HYPERLINK("https://klasma.github.io/Logging_1440/tillsyn/A 12982-2024 tillsynsbegäran.docx", "A 12982-2024")</f>
        <v/>
      </c>
      <c r="AD27">
        <f>HYPERLINK("https://klasma.github.io/Logging_1440/tillsynsmail/A 12982-2024 tillsynsbegäran mail.docx", "A 12982-2024")</f>
        <v/>
      </c>
      <c r="AE27">
        <f>HYPERLINK("https://klasma.github.io/Logging_1440/fåglar/A 12982-2024 prioriterade fågelarter.docx", "A 12982-2024")</f>
        <v/>
      </c>
    </row>
    <row r="28" ht="15" customHeight="1">
      <c r="A28" t="inlineStr">
        <is>
          <t>A 63569-2023</t>
        </is>
      </c>
      <c r="B28" t="inlineStr">
        <is>
          <t>avverkningsanmälan</t>
        </is>
      </c>
      <c r="C28" t="inlineStr">
        <is>
          <t>Föryngringsavverkning</t>
        </is>
      </c>
      <c r="D28" s="1" t="n">
        <v>45275</v>
      </c>
      <c r="E28" s="1" t="n">
        <v>46237</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13306-2026</t>
        </is>
      </c>
      <c r="B29" t="inlineStr">
        <is>
          <t>avverkningsanmälan</t>
        </is>
      </c>
      <c r="C29" t="inlineStr">
        <is>
          <t>Föryngringsavverkning</t>
        </is>
      </c>
      <c r="D29" s="1" t="n">
        <v>46094</v>
      </c>
      <c r="E29" s="1" t="n">
        <v>46237</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2270-2025</t>
        </is>
      </c>
      <c r="B30" t="inlineStr">
        <is>
          <t>avverkningsanmälan</t>
        </is>
      </c>
      <c r="C30" t="inlineStr">
        <is>
          <t>Föryngringsavverkning</t>
        </is>
      </c>
      <c r="D30" s="1" t="n">
        <v>45673</v>
      </c>
      <c r="E30" s="1" t="n">
        <v>46237</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1503-2024</t>
        </is>
      </c>
      <c r="B31" t="inlineStr">
        <is>
          <t>avverkningsanmälan</t>
        </is>
      </c>
      <c r="C31" t="inlineStr">
        <is>
          <t>Föryngringsavverkning</t>
        </is>
      </c>
      <c r="D31" s="1" t="n">
        <v>45306</v>
      </c>
      <c r="E31" s="1" t="n">
        <v>46237</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13380-2025</t>
        </is>
      </c>
      <c r="B32" t="inlineStr">
        <is>
          <t>avverkningsanmälan</t>
        </is>
      </c>
      <c r="C32" t="inlineStr">
        <is>
          <t>Föryngringsavverkning</t>
        </is>
      </c>
      <c r="D32" s="1" t="n">
        <v>45735</v>
      </c>
      <c r="E32" s="1" t="n">
        <v>46237</v>
      </c>
      <c r="F32" t="inlineStr">
        <is>
          <t>VÄSTRA GÖTALANDS LÄN</t>
        </is>
      </c>
      <c r="G32" t="inlineStr">
        <is>
          <t>ALE</t>
        </is>
      </c>
      <c r="I32" t="n">
        <v>1.8</v>
      </c>
      <c r="J32" t="n">
        <v>2</v>
      </c>
      <c r="K32" t="n">
        <v>0</v>
      </c>
      <c r="L32" t="n">
        <v>1</v>
      </c>
      <c r="M32" t="n">
        <v>0</v>
      </c>
      <c r="N32" t="n">
        <v>0</v>
      </c>
      <c r="O32" t="n">
        <v>0</v>
      </c>
      <c r="P32" t="n">
        <v>0</v>
      </c>
      <c r="Q32" t="n">
        <v>1</v>
      </c>
      <c r="R32" t="n">
        <v>0</v>
      </c>
      <c r="S32" t="n">
        <v>2</v>
      </c>
      <c r="T32" t="n">
        <v>5</v>
      </c>
      <c r="U32" t="n">
        <v>5</v>
      </c>
      <c r="V32" s="2" t="inlineStr">
        <is>
          <t>Entita
Spillkråka</t>
        </is>
      </c>
      <c r="W32">
        <f>HYPERLINK("https://klasma.github.io/Logging_1440/artfynd/A 13380-2025 artfynd.xlsx", "A 13380-2025")</f>
        <v/>
      </c>
      <c r="X32">
        <f>HYPERLINK("https://klasma.github.io/Logging_1440/kartor/A 13380-2025 karta.png", "A 13380-2025")</f>
        <v/>
      </c>
      <c r="Y32">
        <f>HYPERLINK("https://klasma.github.io/Logging_1440/kartor_geotiff/A 13380-2025 georefererad karta.tif", "A 13380-2025")</f>
        <v/>
      </c>
      <c r="AA32">
        <f>HYPERLINK("https://klasma.github.io/Logging_1440/klagomål/A 13380-2025 FSC-klagomål.docx", "A 13380-2025")</f>
        <v/>
      </c>
      <c r="AB32">
        <f>HYPERLINK("https://klasma.github.io/Logging_1440/klagomålsmail/A 13380-2025 FSC-klagomål mail.docx", "A 13380-2025")</f>
        <v/>
      </c>
      <c r="AC32">
        <f>HYPERLINK("https://klasma.github.io/Logging_1440/tillsyn/A 13380-2025 tillsynsbegäran.docx", "A 13380-2025")</f>
        <v/>
      </c>
      <c r="AD32">
        <f>HYPERLINK("https://klasma.github.io/Logging_1440/tillsynsmail/A 13380-2025 tillsynsbegäran mail.docx", "A 13380-2025")</f>
        <v/>
      </c>
      <c r="AE32">
        <f>HYPERLINK("https://klasma.github.io/Logging_1440/fåglar/A 13380-2025 prioriterade fågelarter.docx", "A 13380-2025")</f>
        <v/>
      </c>
    </row>
    <row r="33" ht="15" customHeight="1">
      <c r="A33" t="inlineStr">
        <is>
          <t>A 16534-2025</t>
        </is>
      </c>
      <c r="B33" t="inlineStr">
        <is>
          <t>avverkningsanmälan</t>
        </is>
      </c>
      <c r="C33" t="inlineStr">
        <is>
          <t>Föryngringsavverkning</t>
        </is>
      </c>
      <c r="D33" s="1" t="n">
        <v>45751</v>
      </c>
      <c r="E33" s="1" t="n">
        <v>46237</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46237</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46237</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46237</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46237</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46237</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52423-2025</t>
        </is>
      </c>
      <c r="B39" t="inlineStr">
        <is>
          <t>avverkningsanmälan</t>
        </is>
      </c>
      <c r="C39" t="inlineStr">
        <is>
          <t>Föryngringsavverkning</t>
        </is>
      </c>
      <c r="D39" s="1" t="n">
        <v>45954</v>
      </c>
      <c r="E39" s="1" t="n">
        <v>46237</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200-2022</t>
        </is>
      </c>
      <c r="B40" t="inlineStr">
        <is>
          <t>avverkningsanmälan</t>
        </is>
      </c>
      <c r="C40" t="inlineStr">
        <is>
          <t>Föryngringsavverkning</t>
        </is>
      </c>
      <c r="D40" s="1" t="n">
        <v>44564</v>
      </c>
      <c r="E40" s="1" t="n">
        <v>46237</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62524-2025</t>
        </is>
      </c>
      <c r="B41" t="inlineStr">
        <is>
          <t>avverkningsanmälan</t>
        </is>
      </c>
      <c r="C41" t="inlineStr">
        <is>
          <t>Föryngringsavverkning</t>
        </is>
      </c>
      <c r="D41" s="1" t="n">
        <v>46007</v>
      </c>
      <c r="E41" s="1" t="n">
        <v>46237</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4363-2024</t>
        </is>
      </c>
      <c r="B42" t="inlineStr">
        <is>
          <t>avverkningsanmälan</t>
        </is>
      </c>
      <c r="C42" t="inlineStr">
        <is>
          <t>Avverkning för annat ändamål</t>
        </is>
      </c>
      <c r="D42" s="1" t="n">
        <v>45325</v>
      </c>
      <c r="E42" s="1" t="n">
        <v>46237</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8659-2025</t>
        </is>
      </c>
      <c r="B43" t="inlineStr">
        <is>
          <t>avverkningsanmälan</t>
        </is>
      </c>
      <c r="C43" t="inlineStr">
        <is>
          <t>Föryngringsavverkning</t>
        </is>
      </c>
      <c r="D43" s="1" t="n">
        <v>45712</v>
      </c>
      <c r="E43" s="1" t="n">
        <v>46237</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41598-2022</t>
        </is>
      </c>
      <c r="B44" t="inlineStr">
        <is>
          <t>avverkningsanmälan</t>
        </is>
      </c>
      <c r="C44" t="inlineStr">
        <is>
          <t>Föryngringsavverkning</t>
        </is>
      </c>
      <c r="D44" s="1" t="n">
        <v>44827</v>
      </c>
      <c r="E44" s="1" t="n">
        <v>46237</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46237</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9783-2026</t>
        </is>
      </c>
      <c r="B46" t="inlineStr">
        <is>
          <t>avverkningsanmälan</t>
        </is>
      </c>
      <c r="C46" t="inlineStr">
        <is>
          <t>Föryngringsavverkning</t>
        </is>
      </c>
      <c r="D46" s="1" t="n">
        <v>46072</v>
      </c>
      <c r="E46" s="1" t="n">
        <v>46237</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33237-2024</t>
        </is>
      </c>
      <c r="B47" t="inlineStr">
        <is>
          <t>avverkningsanmälan</t>
        </is>
      </c>
      <c r="C47" t="inlineStr">
        <is>
          <t>Föryngringsavverkning</t>
        </is>
      </c>
      <c r="D47" s="1" t="n">
        <v>45518</v>
      </c>
      <c r="E47" s="1" t="n">
        <v>46237</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26677-2025</t>
        </is>
      </c>
      <c r="B48" t="inlineStr">
        <is>
          <t>avverkningsanmälan</t>
        </is>
      </c>
      <c r="C48" t="inlineStr">
        <is>
          <t>Föryngringsavverkning</t>
        </is>
      </c>
      <c r="D48" s="1" t="n">
        <v>45810</v>
      </c>
      <c r="E48" s="1" t="n">
        <v>46237</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46237</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13902-2025</t>
        </is>
      </c>
      <c r="B50" t="inlineStr">
        <is>
          <t>avverkningsanmälan</t>
        </is>
      </c>
      <c r="C50" t="inlineStr">
        <is>
          <t>Föryngringsavverkning</t>
        </is>
      </c>
      <c r="D50" s="1" t="n">
        <v>45737</v>
      </c>
      <c r="E50" s="1" t="n">
        <v>46237</v>
      </c>
      <c r="F50" t="inlineStr">
        <is>
          <t>VÄSTRA GÖTALANDS LÄN</t>
        </is>
      </c>
      <c r="G50" t="inlineStr">
        <is>
          <t>ALE</t>
        </is>
      </c>
      <c r="I50" t="n">
        <v>1.4</v>
      </c>
      <c r="J50" t="n">
        <v>1</v>
      </c>
      <c r="K50" t="n">
        <v>0</v>
      </c>
      <c r="L50" t="n">
        <v>0</v>
      </c>
      <c r="M50" t="n">
        <v>0</v>
      </c>
      <c r="N50" t="n">
        <v>0</v>
      </c>
      <c r="O50" t="n">
        <v>0</v>
      </c>
      <c r="P50" t="n">
        <v>0</v>
      </c>
      <c r="Q50" t="n">
        <v>0</v>
      </c>
      <c r="R50" t="n">
        <v>0</v>
      </c>
      <c r="S50" t="n">
        <v>1</v>
      </c>
      <c r="T50" t="n">
        <v>1</v>
      </c>
      <c r="U50" t="n">
        <v>0</v>
      </c>
      <c r="V50" s="2" t="inlineStr">
        <is>
          <t>Svartvit flugsnappare</t>
        </is>
      </c>
      <c r="W50">
        <f>HYPERLINK("https://klasma.github.io/Logging_1440/artfynd/A 13902-2025 artfynd.xlsx", "A 13902-2025")</f>
        <v/>
      </c>
      <c r="X50">
        <f>HYPERLINK("https://klasma.github.io/Logging_1440/kartor/A 13902-2025 karta.png", "A 13902-2025")</f>
        <v/>
      </c>
      <c r="Y50">
        <f>HYPERLINK("https://klasma.github.io/Logging_1440/kartor_geotiff/A 13902-2025 georefererad karta.tif", "A 13902-2025")</f>
        <v/>
      </c>
      <c r="AA50">
        <f>HYPERLINK("https://klasma.github.io/Logging_1440/klagomål/A 13902-2025 FSC-klagomål.docx", "A 13902-2025")</f>
        <v/>
      </c>
      <c r="AB50">
        <f>HYPERLINK("https://klasma.github.io/Logging_1440/klagomålsmail/A 13902-2025 FSC-klagomål mail.docx", "A 13902-2025")</f>
        <v/>
      </c>
      <c r="AC50">
        <f>HYPERLINK("https://klasma.github.io/Logging_1440/tillsyn/A 13902-2025 tillsynsbegäran.docx", "A 13902-2025")</f>
        <v/>
      </c>
      <c r="AD50">
        <f>HYPERLINK("https://klasma.github.io/Logging_1440/tillsynsmail/A 13902-2025 tillsynsbegäran mail.docx", "A 13902-2025")</f>
        <v/>
      </c>
    </row>
    <row r="51" ht="15" customHeight="1">
      <c r="A51" t="inlineStr">
        <is>
          <t>S 1062-2023</t>
        </is>
      </c>
      <c r="B51" t="inlineStr">
        <is>
          <t>samrådsanmälan</t>
        </is>
      </c>
      <c r="C51" t="inlineStr">
        <is>
          <t>Annan skogsbruksåtgärd</t>
        </is>
      </c>
      <c r="D51" s="1" t="n">
        <v>45011</v>
      </c>
      <c r="E51" s="1" t="n">
        <v>46237</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46237</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46237</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46237</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46237</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46237</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46237</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15499-2022</t>
        </is>
      </c>
      <c r="B58" t="inlineStr">
        <is>
          <t>avverkningsanmälan</t>
        </is>
      </c>
      <c r="C58" t="inlineStr">
        <is>
          <t>Föryngringsavverkning</t>
        </is>
      </c>
      <c r="D58" s="1" t="n">
        <v>44662</v>
      </c>
      <c r="E58" s="1" t="n">
        <v>46237</v>
      </c>
      <c r="F58" t="inlineStr">
        <is>
          <t>VÄSTRA GÖTALANDS LÄN</t>
        </is>
      </c>
      <c r="G58" t="inlineStr">
        <is>
          <t>ALE</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5875-2023</t>
        </is>
      </c>
      <c r="B59" t="inlineStr">
        <is>
          <t>avverkningsanmälan</t>
        </is>
      </c>
      <c r="C59" t="inlineStr">
        <is>
          <t>Föryngringsavverkning</t>
        </is>
      </c>
      <c r="D59" s="1" t="n">
        <v>44963</v>
      </c>
      <c r="E59" s="1" t="n">
        <v>46237</v>
      </c>
      <c r="F59" t="inlineStr">
        <is>
          <t>VÄSTRA GÖTALANDS LÄN</t>
        </is>
      </c>
      <c r="G59" t="inlineStr">
        <is>
          <t>ALE</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46237</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46237</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46237</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3407-2023</t>
        </is>
      </c>
      <c r="B63" t="inlineStr">
        <is>
          <t>avverkningsanmälan</t>
        </is>
      </c>
      <c r="C63" t="inlineStr">
        <is>
          <t>Föryngringsavverkning</t>
        </is>
      </c>
      <c r="D63" s="1" t="n">
        <v>44949</v>
      </c>
      <c r="E63" s="1" t="n">
        <v>46237</v>
      </c>
      <c r="F63" t="inlineStr">
        <is>
          <t>VÄSTRA GÖTALANDS LÄN</t>
        </is>
      </c>
      <c r="G63" t="inlineStr">
        <is>
          <t>ALE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46391-2021</t>
        </is>
      </c>
      <c r="B64" t="inlineStr">
        <is>
          <t>avverkningsanmälan</t>
        </is>
      </c>
      <c r="C64" t="inlineStr">
        <is>
          <t>Avverkning för annat ändamål</t>
        </is>
      </c>
      <c r="D64" s="1" t="n">
        <v>44443</v>
      </c>
      <c r="E64" s="1" t="n">
        <v>46237</v>
      </c>
      <c r="F64" t="inlineStr">
        <is>
          <t>VÄSTRA GÖTALANDS LÄN</t>
        </is>
      </c>
      <c r="G64" t="inlineStr">
        <is>
          <t>ALE</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51564-2023</t>
        </is>
      </c>
      <c r="B65" t="inlineStr">
        <is>
          <t>avverkningsanmälan</t>
        </is>
      </c>
      <c r="C65" t="inlineStr">
        <is>
          <t>Föryngringsavverkning</t>
        </is>
      </c>
      <c r="D65" s="1" t="n">
        <v>45222</v>
      </c>
      <c r="E65" s="1" t="n">
        <v>46237</v>
      </c>
      <c r="F65" t="inlineStr">
        <is>
          <t>VÄSTRA GÖTALANDS LÄN</t>
        </is>
      </c>
      <c r="G65" t="inlineStr">
        <is>
          <t>ALE</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49955-2021</t>
        </is>
      </c>
      <c r="B66" t="inlineStr">
        <is>
          <t>avverkningsanmälan</t>
        </is>
      </c>
      <c r="C66" t="inlineStr">
        <is>
          <t>Föryngringsavverkning</t>
        </is>
      </c>
      <c r="D66" s="1" t="n">
        <v>44456</v>
      </c>
      <c r="E66" s="1" t="n">
        <v>46237</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53476-2023</t>
        </is>
      </c>
      <c r="B67" t="inlineStr">
        <is>
          <t>avverkningsanmälan</t>
        </is>
      </c>
      <c r="C67" t="inlineStr">
        <is>
          <t>Föryngringsavverkning</t>
        </is>
      </c>
      <c r="D67" s="1" t="n">
        <v>45230</v>
      </c>
      <c r="E67" s="1" t="n">
        <v>46237</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46237</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36403-2024</t>
        </is>
      </c>
      <c r="B69" t="inlineStr">
        <is>
          <t>avverkningsanmälan</t>
        </is>
      </c>
      <c r="C69" t="inlineStr">
        <is>
          <t>Föryngringsavverkning</t>
        </is>
      </c>
      <c r="D69" s="1" t="n">
        <v>45535</v>
      </c>
      <c r="E69" s="1" t="n">
        <v>46237</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26157-2023</t>
        </is>
      </c>
      <c r="B70" t="inlineStr">
        <is>
          <t>avverkningsanmälan</t>
        </is>
      </c>
      <c r="C70" t="inlineStr">
        <is>
          <t>Föryngringsavverkning</t>
        </is>
      </c>
      <c r="D70" s="1" t="n">
        <v>45091</v>
      </c>
      <c r="E70" s="1" t="n">
        <v>46237</v>
      </c>
      <c r="F70" t="inlineStr">
        <is>
          <t>VÄSTRA GÖTALANDS LÄN</t>
        </is>
      </c>
      <c r="G70" t="inlineStr">
        <is>
          <t>ALE</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3418-2023</t>
        </is>
      </c>
      <c r="B71" t="inlineStr">
        <is>
          <t>avverkningsanmälan</t>
        </is>
      </c>
      <c r="C71" t="inlineStr">
        <is>
          <t>Föryngringsavverkning</t>
        </is>
      </c>
      <c r="D71" s="1" t="n">
        <v>44949</v>
      </c>
      <c r="E71" s="1" t="n">
        <v>46237</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46237</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65226-2021</t>
        </is>
      </c>
      <c r="B73" t="inlineStr">
        <is>
          <t>avverkningsanmälan</t>
        </is>
      </c>
      <c r="C73" t="inlineStr">
        <is>
          <t>Föryngringsavverkning</t>
        </is>
      </c>
      <c r="D73" s="1" t="n">
        <v>44515</v>
      </c>
      <c r="E73" s="1" t="n">
        <v>46237</v>
      </c>
      <c r="F73" t="inlineStr">
        <is>
          <t>VÄSTRA GÖTALANDS LÄN</t>
        </is>
      </c>
      <c r="G73" t="inlineStr">
        <is>
          <t>ALE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12055-2022</t>
        </is>
      </c>
      <c r="B74" t="inlineStr">
        <is>
          <t>avverkningsanmälan</t>
        </is>
      </c>
      <c r="C74" t="inlineStr">
        <is>
          <t>Avverkning för annat ändamål</t>
        </is>
      </c>
      <c r="D74" s="1" t="n">
        <v>44636</v>
      </c>
      <c r="E74" s="1" t="n">
        <v>46237</v>
      </c>
      <c r="F74" t="inlineStr">
        <is>
          <t>VÄSTRA GÖTALANDS LÄN</t>
        </is>
      </c>
      <c r="G74" t="inlineStr">
        <is>
          <t>ALE</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36763-2022</t>
        </is>
      </c>
      <c r="B75" t="inlineStr">
        <is>
          <t>avverkningsanmälan</t>
        </is>
      </c>
      <c r="C75" t="inlineStr">
        <is>
          <t>Föryngringsavverkning</t>
        </is>
      </c>
      <c r="D75" s="1" t="n">
        <v>44805</v>
      </c>
      <c r="E75" s="1" t="n">
        <v>46237</v>
      </c>
      <c r="F75" t="inlineStr">
        <is>
          <t>VÄSTRA GÖTALANDS LÄN</t>
        </is>
      </c>
      <c r="G75" t="inlineStr">
        <is>
          <t>ALE</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56493-2021</t>
        </is>
      </c>
      <c r="B76" t="inlineStr">
        <is>
          <t>avverkningsanmälan</t>
        </is>
      </c>
      <c r="C76" t="inlineStr">
        <is>
          <t>Föryngringsavverkning</t>
        </is>
      </c>
      <c r="D76" s="1" t="n">
        <v>44480</v>
      </c>
      <c r="E76" s="1" t="n">
        <v>46237</v>
      </c>
      <c r="F76" t="inlineStr">
        <is>
          <t>VÄSTRA GÖTALANDS LÄN</t>
        </is>
      </c>
      <c r="G76" t="inlineStr">
        <is>
          <t>ALE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45988-2021</t>
        </is>
      </c>
      <c r="B77" t="inlineStr">
        <is>
          <t>avverkningsanmälan</t>
        </is>
      </c>
      <c r="C77" t="inlineStr">
        <is>
          <t>Föryngringsavverkning</t>
        </is>
      </c>
      <c r="D77" s="1" t="n">
        <v>44441</v>
      </c>
      <c r="E77" s="1" t="n">
        <v>46237</v>
      </c>
      <c r="F77" t="inlineStr">
        <is>
          <t>VÄSTRA GÖTALANDS LÄN</t>
        </is>
      </c>
      <c r="G77" t="inlineStr">
        <is>
          <t>ALE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46237</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62828-2025</t>
        </is>
      </c>
      <c r="B79" t="inlineStr">
        <is>
          <t>avverkningsanmälan</t>
        </is>
      </c>
      <c r="C79" t="inlineStr">
        <is>
          <t>Föryngringsavverkning</t>
        </is>
      </c>
      <c r="D79" s="1" t="n">
        <v>46008</v>
      </c>
      <c r="E79" s="1" t="n">
        <v>46237</v>
      </c>
      <c r="F79" t="inlineStr">
        <is>
          <t>VÄSTRA GÖTALANDS LÄN</t>
        </is>
      </c>
      <c r="G79" t="inlineStr">
        <is>
          <t>ALE</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3457-2022</t>
        </is>
      </c>
      <c r="B80" t="inlineStr">
        <is>
          <t>avverkningsanmälan</t>
        </is>
      </c>
      <c r="C80" t="inlineStr">
        <is>
          <t>Föryngringsavverkning</t>
        </is>
      </c>
      <c r="D80" s="1" t="n">
        <v>44585</v>
      </c>
      <c r="E80" s="1" t="n">
        <v>46237</v>
      </c>
      <c r="F80" t="inlineStr">
        <is>
          <t>VÄSTRA GÖTALANDS LÄN</t>
        </is>
      </c>
      <c r="G80" t="inlineStr">
        <is>
          <t>ALE</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40074-2025</t>
        </is>
      </c>
      <c r="B81" t="inlineStr">
        <is>
          <t>avverkningsanmälan</t>
        </is>
      </c>
      <c r="C81" t="inlineStr">
        <is>
          <t>Föryngringsavverkning</t>
        </is>
      </c>
      <c r="D81" s="1" t="n">
        <v>45894</v>
      </c>
      <c r="E81" s="1" t="n">
        <v>46237</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46237</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46237</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46237</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46237</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46237</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5916-2023</t>
        </is>
      </c>
      <c r="B87" t="inlineStr">
        <is>
          <t>avverkningsanmälan</t>
        </is>
      </c>
      <c r="C87" t="inlineStr">
        <is>
          <t>Föryngringsavverkning</t>
        </is>
      </c>
      <c r="D87" s="1" t="n">
        <v>44963</v>
      </c>
      <c r="E87" s="1" t="n">
        <v>46237</v>
      </c>
      <c r="F87" t="inlineStr">
        <is>
          <t>VÄSTRA GÖTALANDS LÄN</t>
        </is>
      </c>
      <c r="G87" t="inlineStr">
        <is>
          <t>ALE</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46237</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46237</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28028-2026</t>
        </is>
      </c>
      <c r="B90" t="inlineStr">
        <is>
          <t>avverkningsanmälan</t>
        </is>
      </c>
      <c r="C90" t="inlineStr">
        <is>
          <t>Föryngringsavverkning</t>
        </is>
      </c>
      <c r="D90" s="1" t="n">
        <v>46195</v>
      </c>
      <c r="E90" s="1" t="n">
        <v>46237</v>
      </c>
      <c r="F90" t="inlineStr">
        <is>
          <t>VÄSTRA GÖTALANDS LÄN</t>
        </is>
      </c>
      <c r="G90" t="inlineStr">
        <is>
          <t>ALE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46237</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28023-2026</t>
        </is>
      </c>
      <c r="B92" t="inlineStr">
        <is>
          <t>avverkningsanmälan</t>
        </is>
      </c>
      <c r="C92" t="inlineStr">
        <is>
          <t>Föryngringsavverkning</t>
        </is>
      </c>
      <c r="D92" s="1" t="n">
        <v>46195</v>
      </c>
      <c r="E92" s="1" t="n">
        <v>46237</v>
      </c>
      <c r="F92" t="inlineStr">
        <is>
          <t>VÄSTRA GÖTALANDS LÄN</t>
        </is>
      </c>
      <c r="G92" t="inlineStr">
        <is>
          <t>ALE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46237</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22420-2026</t>
        </is>
      </c>
      <c r="B94" t="inlineStr">
        <is>
          <t>avverkningsanmälan</t>
        </is>
      </c>
      <c r="C94" t="inlineStr">
        <is>
          <t>Föryngringsavverkning</t>
        </is>
      </c>
      <c r="D94" s="1" t="n">
        <v>46154</v>
      </c>
      <c r="E94" s="1" t="n">
        <v>46237</v>
      </c>
      <c r="F94" t="inlineStr">
        <is>
          <t>VÄSTRA GÖTALANDS LÄN</t>
        </is>
      </c>
      <c r="G94" t="inlineStr">
        <is>
          <t>ALE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46237</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46237</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34104-2024</t>
        </is>
      </c>
      <c r="B97" t="inlineStr">
        <is>
          <t>avverkningsanmälan</t>
        </is>
      </c>
      <c r="C97" t="inlineStr">
        <is>
          <t>Föryngringsavverkning</t>
        </is>
      </c>
      <c r="D97" s="1" t="n">
        <v>45523</v>
      </c>
      <c r="E97" s="1" t="n">
        <v>46237</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48257-2022</t>
        </is>
      </c>
      <c r="B98" t="inlineStr">
        <is>
          <t>avverkningsanmälan</t>
        </is>
      </c>
      <c r="C98" t="inlineStr">
        <is>
          <t>Föryngringsavverkning</t>
        </is>
      </c>
      <c r="D98" s="1" t="n">
        <v>44858</v>
      </c>
      <c r="E98" s="1" t="n">
        <v>46237</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1687-2024</t>
        </is>
      </c>
      <c r="B99" t="inlineStr">
        <is>
          <t>avverkningsanmälan</t>
        </is>
      </c>
      <c r="C99" t="inlineStr">
        <is>
          <t>Föryngringsavverkning</t>
        </is>
      </c>
      <c r="D99" s="1" t="n">
        <v>45306</v>
      </c>
      <c r="E99" s="1" t="n">
        <v>46237</v>
      </c>
      <c r="F99" t="inlineStr">
        <is>
          <t>VÄSTRA GÖTALANDS LÄN</t>
        </is>
      </c>
      <c r="G99" t="inlineStr">
        <is>
          <t>ALE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46237</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49680-2024</t>
        </is>
      </c>
      <c r="B101" t="inlineStr">
        <is>
          <t>avverkningsanmälan</t>
        </is>
      </c>
      <c r="C101" t="inlineStr">
        <is>
          <t>Föryngringsavverkning</t>
        </is>
      </c>
      <c r="D101" s="1" t="n">
        <v>45596</v>
      </c>
      <c r="E101" s="1" t="n">
        <v>46237</v>
      </c>
      <c r="F101" t="inlineStr">
        <is>
          <t>VÄSTRA GÖTALANDS LÄN</t>
        </is>
      </c>
      <c r="G101" t="inlineStr">
        <is>
          <t>ALE</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46237</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46237</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61744-2025</t>
        </is>
      </c>
      <c r="B104" t="inlineStr">
        <is>
          <t>avverkningsanmälan</t>
        </is>
      </c>
      <c r="C104" t="inlineStr">
        <is>
          <t>Föryngringsavverkning</t>
        </is>
      </c>
      <c r="D104" s="1" t="n">
        <v>46002</v>
      </c>
      <c r="E104" s="1" t="n">
        <v>46237</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46237</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20067-2023</t>
        </is>
      </c>
      <c r="B106" t="inlineStr">
        <is>
          <t>avverkningsanmälan</t>
        </is>
      </c>
      <c r="C106" t="inlineStr">
        <is>
          <t>Föryngringsavverkning</t>
        </is>
      </c>
      <c r="D106" s="1" t="n">
        <v>45054</v>
      </c>
      <c r="E106" s="1" t="n">
        <v>46237</v>
      </c>
      <c r="F106" t="inlineStr">
        <is>
          <t>VÄSTRA GÖTALANDS LÄN</t>
        </is>
      </c>
      <c r="G106" t="inlineStr">
        <is>
          <t>ALE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7807-2023</t>
        </is>
      </c>
      <c r="B107" t="inlineStr">
        <is>
          <t>avverkningsanmälan</t>
        </is>
      </c>
      <c r="C107" t="inlineStr">
        <is>
          <t>Föryngringsavverkning</t>
        </is>
      </c>
      <c r="D107" s="1" t="n">
        <v>44973</v>
      </c>
      <c r="E107" s="1" t="n">
        <v>46237</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55488-2022</t>
        </is>
      </c>
      <c r="B108" t="inlineStr">
        <is>
          <t>avverkningsanmälan</t>
        </is>
      </c>
      <c r="C108" t="inlineStr">
        <is>
          <t>Föryngringsavverkning</t>
        </is>
      </c>
      <c r="D108" s="1" t="n">
        <v>44887</v>
      </c>
      <c r="E108" s="1" t="n">
        <v>46237</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42446-2023</t>
        </is>
      </c>
      <c r="B109" t="inlineStr">
        <is>
          <t>avverkningsanmälan</t>
        </is>
      </c>
      <c r="C109" t="inlineStr">
        <is>
          <t>Föryngringsavverkning</t>
        </is>
      </c>
      <c r="D109" s="1" t="n">
        <v>45180</v>
      </c>
      <c r="E109" s="1" t="n">
        <v>46237</v>
      </c>
      <c r="F109" t="inlineStr">
        <is>
          <t>VÄSTRA GÖTALANDS LÄN</t>
        </is>
      </c>
      <c r="G109" t="inlineStr">
        <is>
          <t>ALE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46237</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47728-2025</t>
        </is>
      </c>
      <c r="B111" t="inlineStr">
        <is>
          <t>avverkningsanmälan</t>
        </is>
      </c>
      <c r="C111" t="inlineStr">
        <is>
          <t>Föryngringsavverkning</t>
        </is>
      </c>
      <c r="D111" s="1" t="n">
        <v>45931</v>
      </c>
      <c r="E111" s="1" t="n">
        <v>46237</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46237</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16344-2023</t>
        </is>
      </c>
      <c r="B113" t="inlineStr">
        <is>
          <t>avverkningsanmälan</t>
        </is>
      </c>
      <c r="C113" t="inlineStr">
        <is>
          <t>Föryngringsavverkning</t>
        </is>
      </c>
      <c r="D113" s="1" t="n">
        <v>45028</v>
      </c>
      <c r="E113" s="1" t="n">
        <v>46237</v>
      </c>
      <c r="F113" t="inlineStr">
        <is>
          <t>VÄSTRA GÖTALANDS LÄN</t>
        </is>
      </c>
      <c r="G113" t="inlineStr">
        <is>
          <t>ALE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32762-2023</t>
        </is>
      </c>
      <c r="B114" t="inlineStr">
        <is>
          <t>avverkningsanmälan</t>
        </is>
      </c>
      <c r="C114" t="inlineStr">
        <is>
          <t>Föryngringsavverkning</t>
        </is>
      </c>
      <c r="D114" s="1" t="n">
        <v>45123</v>
      </c>
      <c r="E114" s="1" t="n">
        <v>46237</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1500-2024</t>
        </is>
      </c>
      <c r="B115" t="inlineStr">
        <is>
          <t>avverkningsanmälan</t>
        </is>
      </c>
      <c r="C115" t="inlineStr">
        <is>
          <t>Föryngringsavverkning</t>
        </is>
      </c>
      <c r="D115" s="1" t="n">
        <v>45306</v>
      </c>
      <c r="E115" s="1" t="n">
        <v>46237</v>
      </c>
      <c r="F115" t="inlineStr">
        <is>
          <t>VÄSTRA GÖTALANDS LÄN</t>
        </is>
      </c>
      <c r="G115" t="inlineStr">
        <is>
          <t>ALE</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46237</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46237</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7296-2026</t>
        </is>
      </c>
      <c r="B118" t="inlineStr">
        <is>
          <t>avverkningsanmälan</t>
        </is>
      </c>
      <c r="C118" t="inlineStr">
        <is>
          <t>Föryngringsavverkning</t>
        </is>
      </c>
      <c r="D118" s="1" t="n">
        <v>46058</v>
      </c>
      <c r="E118" s="1" t="n">
        <v>46237</v>
      </c>
      <c r="F118" t="inlineStr">
        <is>
          <t>VÄSTRA GÖTALANDS LÄN</t>
        </is>
      </c>
      <c r="G118" t="inlineStr">
        <is>
          <t>ALE</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47087-2023</t>
        </is>
      </c>
      <c r="B119" t="inlineStr">
        <is>
          <t>avverkningsanmälan</t>
        </is>
      </c>
      <c r="C119" t="inlineStr">
        <is>
          <t>Föryngringsavverkning</t>
        </is>
      </c>
      <c r="D119" s="1" t="n">
        <v>45196</v>
      </c>
      <c r="E119" s="1" t="n">
        <v>46237</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4642-2024</t>
        </is>
      </c>
      <c r="B120" t="inlineStr">
        <is>
          <t>avverkningsanmälan</t>
        </is>
      </c>
      <c r="C120" t="inlineStr">
        <is>
          <t>Föryngringsavverkning</t>
        </is>
      </c>
      <c r="D120" s="1" t="n">
        <v>45328</v>
      </c>
      <c r="E120" s="1" t="n">
        <v>46237</v>
      </c>
      <c r="F120" t="inlineStr">
        <is>
          <t>VÄSTRA GÖTALANDS LÄN</t>
        </is>
      </c>
      <c r="G120" t="inlineStr">
        <is>
          <t>ALE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8110-2026</t>
        </is>
      </c>
      <c r="B121" t="inlineStr">
        <is>
          <t>avverkningsanmälan</t>
        </is>
      </c>
      <c r="C121" t="inlineStr">
        <is>
          <t>Föryngringsavverkning</t>
        </is>
      </c>
      <c r="D121" s="1" t="n">
        <v>46062</v>
      </c>
      <c r="E121" s="1" t="n">
        <v>46237</v>
      </c>
      <c r="F121" t="inlineStr">
        <is>
          <t>VÄSTRA GÖTALANDS LÄN</t>
        </is>
      </c>
      <c r="G121" t="inlineStr">
        <is>
          <t>ALE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8112-2026</t>
        </is>
      </c>
      <c r="B122" t="inlineStr">
        <is>
          <t>avverkningsanmälan</t>
        </is>
      </c>
      <c r="C122" t="inlineStr">
        <is>
          <t>Föryngringsavverkning</t>
        </is>
      </c>
      <c r="D122" s="1" t="n">
        <v>46062</v>
      </c>
      <c r="E122" s="1" t="n">
        <v>46237</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8111-2026</t>
        </is>
      </c>
      <c r="B123" t="inlineStr">
        <is>
          <t>avverkningsanmälan</t>
        </is>
      </c>
      <c r="C123" t="inlineStr">
        <is>
          <t>Föryngringsavverkning</t>
        </is>
      </c>
      <c r="D123" s="1" t="n">
        <v>46062</v>
      </c>
      <c r="E123" s="1" t="n">
        <v>46237</v>
      </c>
      <c r="F123" t="inlineStr">
        <is>
          <t>VÄSTRA GÖTALANDS LÄN</t>
        </is>
      </c>
      <c r="G123" t="inlineStr">
        <is>
          <t>ALE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14731-2022</t>
        </is>
      </c>
      <c r="B124" t="inlineStr">
        <is>
          <t>avverkningsanmälan</t>
        </is>
      </c>
      <c r="C124" t="inlineStr">
        <is>
          <t>Föryngringsavverkning</t>
        </is>
      </c>
      <c r="D124" s="1" t="n">
        <v>44656</v>
      </c>
      <c r="E124" s="1" t="n">
        <v>46237</v>
      </c>
      <c r="F124" t="inlineStr">
        <is>
          <t>VÄSTRA GÖTALANDS LÄN</t>
        </is>
      </c>
      <c r="G124" t="inlineStr">
        <is>
          <t>ALE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3520-2022</t>
        </is>
      </c>
      <c r="B125" t="inlineStr">
        <is>
          <t>avverkningsanmälan</t>
        </is>
      </c>
      <c r="C125" t="inlineStr">
        <is>
          <t>Föryngringsavverkning</t>
        </is>
      </c>
      <c r="D125" s="1" t="n">
        <v>44585</v>
      </c>
      <c r="E125" s="1" t="n">
        <v>46237</v>
      </c>
      <c r="F125" t="inlineStr">
        <is>
          <t>VÄSTRA GÖTALANDS LÄN</t>
        </is>
      </c>
      <c r="G125" t="inlineStr">
        <is>
          <t>ALE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10459-2026</t>
        </is>
      </c>
      <c r="B126" t="inlineStr">
        <is>
          <t>avverkningsanmälan</t>
        </is>
      </c>
      <c r="C126" t="inlineStr">
        <is>
          <t>Föryngringsavverkning</t>
        </is>
      </c>
      <c r="D126" s="1" t="n">
        <v>46077</v>
      </c>
      <c r="E126" s="1" t="n">
        <v>46237</v>
      </c>
      <c r="F126" t="inlineStr">
        <is>
          <t>VÄSTRA GÖTALANDS LÄN</t>
        </is>
      </c>
      <c r="G126" t="inlineStr">
        <is>
          <t>ALE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44429-2023</t>
        </is>
      </c>
      <c r="B127" t="inlineStr">
        <is>
          <t>avverkningsanmälan</t>
        </is>
      </c>
      <c r="C127" t="inlineStr">
        <is>
          <t>Föryngringsavverkning</t>
        </is>
      </c>
      <c r="D127" s="1" t="n">
        <v>45189</v>
      </c>
      <c r="E127" s="1" t="n">
        <v>46237</v>
      </c>
      <c r="F127" t="inlineStr">
        <is>
          <t>VÄSTRA GÖTALANDS LÄN</t>
        </is>
      </c>
      <c r="G127" t="inlineStr">
        <is>
          <t>ALE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7892-2024</t>
        </is>
      </c>
      <c r="B128" t="inlineStr">
        <is>
          <t>avverkningsanmälan</t>
        </is>
      </c>
      <c r="C128" t="inlineStr">
        <is>
          <t>Föryngringsavverkning</t>
        </is>
      </c>
      <c r="D128" s="1" t="n">
        <v>45350</v>
      </c>
      <c r="E128" s="1" t="n">
        <v>46237</v>
      </c>
      <c r="F128" t="inlineStr">
        <is>
          <t>VÄSTRA GÖTALANDS LÄN</t>
        </is>
      </c>
      <c r="G128" t="inlineStr">
        <is>
          <t>ALE</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51164-2024</t>
        </is>
      </c>
      <c r="B129" t="inlineStr">
        <is>
          <t>avverkningsanmälan</t>
        </is>
      </c>
      <c r="C129" t="inlineStr">
        <is>
          <t>Föryngringsavverkning</t>
        </is>
      </c>
      <c r="D129" s="1" t="n">
        <v>45603</v>
      </c>
      <c r="E129" s="1" t="n">
        <v>46237</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4444-2024</t>
        </is>
      </c>
      <c r="B130" t="inlineStr">
        <is>
          <t>avverkningsanmälan</t>
        </is>
      </c>
      <c r="C130" t="inlineStr">
        <is>
          <t>Föryngringsavverkning</t>
        </is>
      </c>
      <c r="D130" s="1" t="n">
        <v>45327</v>
      </c>
      <c r="E130" s="1" t="n">
        <v>46237</v>
      </c>
      <c r="F130" t="inlineStr">
        <is>
          <t>VÄSTRA GÖTALANDS LÄN</t>
        </is>
      </c>
      <c r="G130" t="inlineStr">
        <is>
          <t>ALE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72801-2021</t>
        </is>
      </c>
      <c r="B131" t="inlineStr">
        <is>
          <t>avverkningsanmälan</t>
        </is>
      </c>
      <c r="C131" t="inlineStr">
        <is>
          <t>Föryngringsavverkning</t>
        </is>
      </c>
      <c r="D131" s="1" t="n">
        <v>44546</v>
      </c>
      <c r="E131" s="1" t="n">
        <v>46237</v>
      </c>
      <c r="F131" t="inlineStr">
        <is>
          <t>VÄSTRA GÖTALANDS LÄN</t>
        </is>
      </c>
      <c r="G131" t="inlineStr">
        <is>
          <t>ALE</t>
        </is>
      </c>
      <c r="H131" t="inlineStr">
        <is>
          <t>Naturvårdsverket</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6916-2023</t>
        </is>
      </c>
      <c r="B132" t="inlineStr">
        <is>
          <t>avverkningsanmälan</t>
        </is>
      </c>
      <c r="C132" t="inlineStr">
        <is>
          <t>Föryngringsavverkning</t>
        </is>
      </c>
      <c r="D132" s="1" t="n">
        <v>44967</v>
      </c>
      <c r="E132" s="1" t="n">
        <v>46237</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64199-2021</t>
        </is>
      </c>
      <c r="B133" t="inlineStr">
        <is>
          <t>avverkningsanmälan</t>
        </is>
      </c>
      <c r="C133" t="inlineStr">
        <is>
          <t>Föryngringsavverkning</t>
        </is>
      </c>
      <c r="D133" s="1" t="n">
        <v>44510</v>
      </c>
      <c r="E133" s="1" t="n">
        <v>46237</v>
      </c>
      <c r="F133" t="inlineStr">
        <is>
          <t>VÄSTRA GÖTALANDS LÄN</t>
        </is>
      </c>
      <c r="G133" t="inlineStr">
        <is>
          <t>ALE</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15582-2025</t>
        </is>
      </c>
      <c r="B134" t="inlineStr">
        <is>
          <t>avverkningsanmälan</t>
        </is>
      </c>
      <c r="C134" t="inlineStr">
        <is>
          <t>Föryngringsavverkning</t>
        </is>
      </c>
      <c r="D134" s="1" t="n">
        <v>45747</v>
      </c>
      <c r="E134" s="1" t="n">
        <v>46237</v>
      </c>
      <c r="F134" t="inlineStr">
        <is>
          <t>VÄSTRA GÖTALANDS LÄN</t>
        </is>
      </c>
      <c r="G134" t="inlineStr">
        <is>
          <t>ALE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17199-2026</t>
        </is>
      </c>
      <c r="B135" t="inlineStr">
        <is>
          <t>avverkningsanmälan</t>
        </is>
      </c>
      <c r="C135" t="inlineStr">
        <is>
          <t>Föryngringsavverkning</t>
        </is>
      </c>
      <c r="D135" s="1" t="n">
        <v>46118</v>
      </c>
      <c r="E135" s="1" t="n">
        <v>46237</v>
      </c>
      <c r="F135" t="inlineStr">
        <is>
          <t>VÄSTRA GÖTALANDS LÄN</t>
        </is>
      </c>
      <c r="G135" t="inlineStr">
        <is>
          <t>ALE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1822-2024</t>
        </is>
      </c>
      <c r="B136" t="inlineStr">
        <is>
          <t>avverkningsanmälan</t>
        </is>
      </c>
      <c r="C136" t="inlineStr">
        <is>
          <t>Föryngringsavverkning</t>
        </is>
      </c>
      <c r="D136" s="1" t="n">
        <v>45307</v>
      </c>
      <c r="E136" s="1" t="n">
        <v>46237</v>
      </c>
      <c r="F136" t="inlineStr">
        <is>
          <t>VÄSTRA GÖTALANDS LÄN</t>
        </is>
      </c>
      <c r="G136" t="inlineStr">
        <is>
          <t>ALE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15241-2025</t>
        </is>
      </c>
      <c r="B137" t="inlineStr">
        <is>
          <t>avverkningsanmälan</t>
        </is>
      </c>
      <c r="C137" t="inlineStr">
        <is>
          <t>Föryngringsavverkning</t>
        </is>
      </c>
      <c r="D137" s="1" t="n">
        <v>45744</v>
      </c>
      <c r="E137" s="1" t="n">
        <v>46237</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19613-2026</t>
        </is>
      </c>
      <c r="B138" t="inlineStr">
        <is>
          <t>avverkningsanmälan</t>
        </is>
      </c>
      <c r="C138" t="inlineStr">
        <is>
          <t>Föryngringsavverkning</t>
        </is>
      </c>
      <c r="D138" s="1" t="n">
        <v>46134</v>
      </c>
      <c r="E138" s="1" t="n">
        <v>46237</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25840-2025</t>
        </is>
      </c>
      <c r="B139" t="inlineStr">
        <is>
          <t>avverkningsanmälan</t>
        </is>
      </c>
      <c r="C139" t="inlineStr">
        <is>
          <t>Avverkning för annat ändamål</t>
        </is>
      </c>
      <c r="D139" s="1" t="n">
        <v>45804</v>
      </c>
      <c r="E139" s="1" t="n">
        <v>46237</v>
      </c>
      <c r="F139" t="inlineStr">
        <is>
          <t>VÄSTRA GÖTALANDS LÄN</t>
        </is>
      </c>
      <c r="G139" t="inlineStr">
        <is>
          <t>ALE</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46237</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4971-2024</t>
        </is>
      </c>
      <c r="B141" t="inlineStr">
        <is>
          <t>avverkningsanmälan</t>
        </is>
      </c>
      <c r="C141" t="inlineStr">
        <is>
          <t>Föryngringsavverkning</t>
        </is>
      </c>
      <c r="D141" s="1" t="n">
        <v>45329</v>
      </c>
      <c r="E141" s="1" t="n">
        <v>46237</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34153-2024</t>
        </is>
      </c>
      <c r="B142" t="inlineStr">
        <is>
          <t>avverkningsanmälan</t>
        </is>
      </c>
      <c r="C142" t="inlineStr">
        <is>
          <t>Föryngringsavverkning</t>
        </is>
      </c>
      <c r="D142" s="1" t="n">
        <v>45524</v>
      </c>
      <c r="E142" s="1" t="n">
        <v>46237</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41309-2024</t>
        </is>
      </c>
      <c r="B143" t="inlineStr">
        <is>
          <t>avverkningsanmälan</t>
        </is>
      </c>
      <c r="C143" t="inlineStr">
        <is>
          <t>Föryngringsavverkning</t>
        </is>
      </c>
      <c r="D143" s="1" t="n">
        <v>45559</v>
      </c>
      <c r="E143" s="1" t="n">
        <v>46237</v>
      </c>
      <c r="F143" t="inlineStr">
        <is>
          <t>VÄSTRA GÖTALANDS LÄN</t>
        </is>
      </c>
      <c r="G143" t="inlineStr">
        <is>
          <t>ALE</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46237</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46237</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46237</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46237</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31533-2025</t>
        </is>
      </c>
      <c r="B148" t="inlineStr">
        <is>
          <t>avverkningsanmälan</t>
        </is>
      </c>
      <c r="C148" t="inlineStr">
        <is>
          <t>Föryngringsavverkning</t>
        </is>
      </c>
      <c r="D148" s="1" t="n">
        <v>45833</v>
      </c>
      <c r="E148" s="1" t="n">
        <v>46237</v>
      </c>
      <c r="F148" t="inlineStr">
        <is>
          <t>VÄSTRA GÖTALANDS LÄN</t>
        </is>
      </c>
      <c r="G148" t="inlineStr">
        <is>
          <t>ALE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46237</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46237</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46237</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46237</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2026-08-03T01:58:22Z</dcterms:created>
  <dcterms:modified xmlns:dcterms="http://purl.org/dc/terms/" xmlns:xsi="http://www.w3.org/2001/XMLSchema-instance" xsi:type="dcterms:W3CDTF">2026-08-03T01:58:22Z</dcterms:modified>
</cp:coreProperties>
</file>