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46074</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46074</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46074</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46074</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46074</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46074</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46074</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46074</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46074</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46074</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46074</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46074</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46074</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46074</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46074</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60293-2025</t>
        </is>
      </c>
      <c r="B18" s="1" t="n">
        <v>45994.65568287037</v>
      </c>
      <c r="C18" s="1" t="n">
        <v>46074</v>
      </c>
      <c r="D18" t="inlineStr">
        <is>
          <t>VÄSTRA GÖTALANDS LÄN</t>
        </is>
      </c>
      <c r="E18" t="inlineStr">
        <is>
          <t>ALE</t>
        </is>
      </c>
      <c r="G18" t="n">
        <v>1.9</v>
      </c>
      <c r="H18" t="n">
        <v>2</v>
      </c>
      <c r="I18" t="n">
        <v>2</v>
      </c>
      <c r="J18" t="n">
        <v>2</v>
      </c>
      <c r="K18" t="n">
        <v>0</v>
      </c>
      <c r="L18" t="n">
        <v>0</v>
      </c>
      <c r="M18" t="n">
        <v>0</v>
      </c>
      <c r="N18" t="n">
        <v>0</v>
      </c>
      <c r="O18" t="n">
        <v>2</v>
      </c>
      <c r="P18" t="n">
        <v>0</v>
      </c>
      <c r="Q18" t="n">
        <v>4</v>
      </c>
      <c r="R18" s="2" t="inlineStr">
        <is>
          <t>Entita
Rödvingetrast
Björksplintborre
Gulnål</t>
        </is>
      </c>
      <c r="S18">
        <f>HYPERLINK("https://klasma.github.io/Logging_1440/artfynd/A 60293-2025 artfynd.xlsx", "A 60293-2025")</f>
        <v/>
      </c>
      <c r="T18">
        <f>HYPERLINK("https://klasma.github.io/Logging_1440/kartor/A 60293-2025 karta.png", "A 60293-2025")</f>
        <v/>
      </c>
      <c r="V18">
        <f>HYPERLINK("https://klasma.github.io/Logging_1440/klagomål/A 60293-2025 FSC-klagomål.docx", "A 60293-2025")</f>
        <v/>
      </c>
      <c r="W18">
        <f>HYPERLINK("https://klasma.github.io/Logging_1440/klagomålsmail/A 60293-2025 FSC-klagomål mail.docx", "A 60293-2025")</f>
        <v/>
      </c>
      <c r="X18">
        <f>HYPERLINK("https://klasma.github.io/Logging_1440/tillsyn/A 60293-2025 tillsynsbegäran.docx", "A 60293-2025")</f>
        <v/>
      </c>
      <c r="Y18">
        <f>HYPERLINK("https://klasma.github.io/Logging_1440/tillsynsmail/A 60293-2025 tillsynsbegäran mail.docx", "A 60293-2025")</f>
        <v/>
      </c>
      <c r="Z18">
        <f>HYPERLINK("https://klasma.github.io/Logging_1440/fåglar/A 60293-2025 prioriterade fågelarter.docx", "A 60293-2025")</f>
        <v/>
      </c>
    </row>
    <row r="19" ht="15" customHeight="1">
      <c r="A19" t="inlineStr">
        <is>
          <t>A 63575-2023</t>
        </is>
      </c>
      <c r="B19" s="1" t="n">
        <v>45275.39715277778</v>
      </c>
      <c r="C19" s="1" t="n">
        <v>46074</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2270-2025</t>
        </is>
      </c>
      <c r="B20" s="1" t="n">
        <v>45673.54403935185</v>
      </c>
      <c r="C20" s="1" t="n">
        <v>46074</v>
      </c>
      <c r="D20" t="inlineStr">
        <is>
          <t>VÄSTRA GÖTALANDS LÄN</t>
        </is>
      </c>
      <c r="E20" t="inlineStr">
        <is>
          <t>ALE</t>
        </is>
      </c>
      <c r="G20" t="n">
        <v>4.1</v>
      </c>
      <c r="H20" t="n">
        <v>2</v>
      </c>
      <c r="I20" t="n">
        <v>0</v>
      </c>
      <c r="J20" t="n">
        <v>1</v>
      </c>
      <c r="K20" t="n">
        <v>0</v>
      </c>
      <c r="L20" t="n">
        <v>0</v>
      </c>
      <c r="M20" t="n">
        <v>0</v>
      </c>
      <c r="N20" t="n">
        <v>0</v>
      </c>
      <c r="O20" t="n">
        <v>1</v>
      </c>
      <c r="P20" t="n">
        <v>0</v>
      </c>
      <c r="Q20" t="n">
        <v>2</v>
      </c>
      <c r="R20" s="2" t="inlineStr">
        <is>
          <t>Spillkråka
Revlummer</t>
        </is>
      </c>
      <c r="S20">
        <f>HYPERLINK("https://klasma.github.io/Logging_1440/artfynd/A 2270-2025 artfynd.xlsx", "A 2270-2025")</f>
        <v/>
      </c>
      <c r="T20">
        <f>HYPERLINK("https://klasma.github.io/Logging_1440/kartor/A 2270-2025 karta.png", "A 2270-2025")</f>
        <v/>
      </c>
      <c r="V20">
        <f>HYPERLINK("https://klasma.github.io/Logging_1440/klagomål/A 2270-2025 FSC-klagomål.docx", "A 2270-2025")</f>
        <v/>
      </c>
      <c r="W20">
        <f>HYPERLINK("https://klasma.github.io/Logging_1440/klagomålsmail/A 2270-2025 FSC-klagomål mail.docx", "A 2270-2025")</f>
        <v/>
      </c>
      <c r="X20">
        <f>HYPERLINK("https://klasma.github.io/Logging_1440/tillsyn/A 2270-2025 tillsynsbegäran.docx", "A 2270-2025")</f>
        <v/>
      </c>
      <c r="Y20">
        <f>HYPERLINK("https://klasma.github.io/Logging_1440/tillsynsmail/A 2270-2025 tillsynsbegäran mail.docx", "A 2270-2025")</f>
        <v/>
      </c>
      <c r="Z20">
        <f>HYPERLINK("https://klasma.github.io/Logging_1440/fåglar/A 2270-2025 prioriterade fågelarter.docx", "A 2270-2025")</f>
        <v/>
      </c>
    </row>
    <row r="21" ht="15" customHeight="1">
      <c r="A21" t="inlineStr">
        <is>
          <t>A 63569-2023</t>
        </is>
      </c>
      <c r="B21" s="1" t="n">
        <v>45275</v>
      </c>
      <c r="C21" s="1" t="n">
        <v>46074</v>
      </c>
      <c r="D21" t="inlineStr">
        <is>
          <t>VÄSTRA GÖTALANDS LÄN</t>
        </is>
      </c>
      <c r="E21" t="inlineStr">
        <is>
          <t>ALE</t>
        </is>
      </c>
      <c r="G21" t="n">
        <v>2.4</v>
      </c>
      <c r="H21" t="n">
        <v>2</v>
      </c>
      <c r="I21" t="n">
        <v>0</v>
      </c>
      <c r="J21" t="n">
        <v>2</v>
      </c>
      <c r="K21" t="n">
        <v>0</v>
      </c>
      <c r="L21" t="n">
        <v>0</v>
      </c>
      <c r="M21" t="n">
        <v>0</v>
      </c>
      <c r="N21" t="n">
        <v>0</v>
      </c>
      <c r="O21" t="n">
        <v>2</v>
      </c>
      <c r="P21" t="n">
        <v>0</v>
      </c>
      <c r="Q21" t="n">
        <v>2</v>
      </c>
      <c r="R21" s="2" t="inlineStr">
        <is>
          <t>Spillkråka
Talltita</t>
        </is>
      </c>
      <c r="S21">
        <f>HYPERLINK("https://klasma.github.io/Logging_1440/artfynd/A 63569-2023 artfynd.xlsx", "A 63569-2023")</f>
        <v/>
      </c>
      <c r="T21">
        <f>HYPERLINK("https://klasma.github.io/Logging_1440/kartor/A 63569-2023 karta.png", "A 63569-2023")</f>
        <v/>
      </c>
      <c r="V21">
        <f>HYPERLINK("https://klasma.github.io/Logging_1440/klagomål/A 63569-2023 FSC-klagomål.docx", "A 63569-2023")</f>
        <v/>
      </c>
      <c r="W21">
        <f>HYPERLINK("https://klasma.github.io/Logging_1440/klagomålsmail/A 63569-2023 FSC-klagomål mail.docx", "A 63569-2023")</f>
        <v/>
      </c>
      <c r="X21">
        <f>HYPERLINK("https://klasma.github.io/Logging_1440/tillsyn/A 63569-2023 tillsynsbegäran.docx", "A 63569-2023")</f>
        <v/>
      </c>
      <c r="Y21">
        <f>HYPERLINK("https://klasma.github.io/Logging_1440/tillsynsmail/A 63569-2023 tillsynsbegäran mail.docx", "A 63569-2023")</f>
        <v/>
      </c>
      <c r="Z21">
        <f>HYPERLINK("https://klasma.github.io/Logging_1440/fåglar/A 63569-2023 prioriterade fågelarter.docx", "A 63569-2023")</f>
        <v/>
      </c>
    </row>
    <row r="22" ht="15" customHeight="1">
      <c r="A22" t="inlineStr">
        <is>
          <t>A 13380-2025</t>
        </is>
      </c>
      <c r="B22" s="1" t="n">
        <v>45735.6765162037</v>
      </c>
      <c r="C22" s="1" t="n">
        <v>46074</v>
      </c>
      <c r="D22" t="inlineStr">
        <is>
          <t>VÄSTRA GÖTALANDS LÄN</t>
        </is>
      </c>
      <c r="E22" t="inlineStr">
        <is>
          <t>ALE</t>
        </is>
      </c>
      <c r="G22" t="n">
        <v>1.8</v>
      </c>
      <c r="H22" t="n">
        <v>2</v>
      </c>
      <c r="I22" t="n">
        <v>0</v>
      </c>
      <c r="J22" t="n">
        <v>2</v>
      </c>
      <c r="K22" t="n">
        <v>0</v>
      </c>
      <c r="L22" t="n">
        <v>0</v>
      </c>
      <c r="M22" t="n">
        <v>0</v>
      </c>
      <c r="N22" t="n">
        <v>0</v>
      </c>
      <c r="O22" t="n">
        <v>2</v>
      </c>
      <c r="P22" t="n">
        <v>0</v>
      </c>
      <c r="Q22" t="n">
        <v>2</v>
      </c>
      <c r="R22" s="2" t="inlineStr">
        <is>
          <t>Entita
Spillkråka</t>
        </is>
      </c>
      <c r="S22">
        <f>HYPERLINK("https://klasma.github.io/Logging_1440/artfynd/A 13380-2025 artfynd.xlsx", "A 13380-2025")</f>
        <v/>
      </c>
      <c r="T22">
        <f>HYPERLINK("https://klasma.github.io/Logging_1440/kartor/A 13380-2025 karta.png", "A 13380-2025")</f>
        <v/>
      </c>
      <c r="V22">
        <f>HYPERLINK("https://klasma.github.io/Logging_1440/klagomål/A 13380-2025 FSC-klagomål.docx", "A 13380-2025")</f>
        <v/>
      </c>
      <c r="W22">
        <f>HYPERLINK("https://klasma.github.io/Logging_1440/klagomålsmail/A 13380-2025 FSC-klagomål mail.docx", "A 13380-2025")</f>
        <v/>
      </c>
      <c r="X22">
        <f>HYPERLINK("https://klasma.github.io/Logging_1440/tillsyn/A 13380-2025 tillsynsbegäran.docx", "A 13380-2025")</f>
        <v/>
      </c>
      <c r="Y22">
        <f>HYPERLINK("https://klasma.github.io/Logging_1440/tillsynsmail/A 13380-2025 tillsynsbegäran mail.docx", "A 13380-2025")</f>
        <v/>
      </c>
      <c r="Z22">
        <f>HYPERLINK("https://klasma.github.io/Logging_1440/fåglar/A 13380-2025 prioriterade fågelarter.docx", "A 13380-2025")</f>
        <v/>
      </c>
    </row>
    <row r="23" ht="15" customHeight="1">
      <c r="A23" t="inlineStr">
        <is>
          <t>A 40931-2025</t>
        </is>
      </c>
      <c r="B23" s="1" t="n">
        <v>45897.64783564815</v>
      </c>
      <c r="C23" s="1" t="n">
        <v>46074</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16534-2025</t>
        </is>
      </c>
      <c r="B24" s="1" t="n">
        <v>45751.65315972222</v>
      </c>
      <c r="C24" s="1" t="n">
        <v>46074</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46074</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46074</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8955-2025</t>
        </is>
      </c>
      <c r="B27" s="1" t="n">
        <v>45713.46528935185</v>
      </c>
      <c r="C27" s="1" t="n">
        <v>46074</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46074</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58954-2022</t>
        </is>
      </c>
      <c r="B29" s="1" t="n">
        <v>44903</v>
      </c>
      <c r="C29" s="1" t="n">
        <v>46074</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1503-2024</t>
        </is>
      </c>
      <c r="B30" s="1" t="n">
        <v>45306.35041666667</v>
      </c>
      <c r="C30" s="1" t="n">
        <v>46074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13902-2025</t>
        </is>
      </c>
      <c r="B31" s="1" t="n">
        <v>45737.63446759259</v>
      </c>
      <c r="C31" s="1" t="n">
        <v>46074</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47330-2025</t>
        </is>
      </c>
      <c r="B32" s="1" t="n">
        <v>45930.56170138889</v>
      </c>
      <c r="C32" s="1" t="n">
        <v>46074</v>
      </c>
      <c r="D32" t="inlineStr">
        <is>
          <t>VÄSTRA GÖTALANDS LÄN</t>
        </is>
      </c>
      <c r="E32" t="inlineStr">
        <is>
          <t>ALE</t>
        </is>
      </c>
      <c r="G32" t="n">
        <v>3.7</v>
      </c>
      <c r="H32" t="n">
        <v>1</v>
      </c>
      <c r="I32" t="n">
        <v>0</v>
      </c>
      <c r="J32" t="n">
        <v>1</v>
      </c>
      <c r="K32" t="n">
        <v>0</v>
      </c>
      <c r="L32" t="n">
        <v>0</v>
      </c>
      <c r="M32" t="n">
        <v>0</v>
      </c>
      <c r="N32" t="n">
        <v>0</v>
      </c>
      <c r="O32" t="n">
        <v>1</v>
      </c>
      <c r="P32" t="n">
        <v>0</v>
      </c>
      <c r="Q32" t="n">
        <v>1</v>
      </c>
      <c r="R32" s="2" t="inlineStr">
        <is>
          <t>Spillkråka</t>
        </is>
      </c>
      <c r="S32">
        <f>HYPERLINK("https://klasma.github.io/Logging_1440/artfynd/A 47330-2025 artfynd.xlsx", "A 47330-2025")</f>
        <v/>
      </c>
      <c r="T32">
        <f>HYPERLINK("https://klasma.github.io/Logging_1440/kartor/A 47330-2025 karta.png", "A 47330-2025")</f>
        <v/>
      </c>
      <c r="V32">
        <f>HYPERLINK("https://klasma.github.io/Logging_1440/klagomål/A 47330-2025 FSC-klagomål.docx", "A 47330-2025")</f>
        <v/>
      </c>
      <c r="W32">
        <f>HYPERLINK("https://klasma.github.io/Logging_1440/klagomålsmail/A 47330-2025 FSC-klagomål mail.docx", "A 47330-2025")</f>
        <v/>
      </c>
      <c r="X32">
        <f>HYPERLINK("https://klasma.github.io/Logging_1440/tillsyn/A 47330-2025 tillsynsbegäran.docx", "A 47330-2025")</f>
        <v/>
      </c>
      <c r="Y32">
        <f>HYPERLINK("https://klasma.github.io/Logging_1440/tillsynsmail/A 47330-2025 tillsynsbegäran mail.docx", "A 47330-2025")</f>
        <v/>
      </c>
      <c r="Z32">
        <f>HYPERLINK("https://klasma.github.io/Logging_1440/fåglar/A 47330-2025 prioriterade fågelarter.docx", "A 47330-2025")</f>
        <v/>
      </c>
    </row>
    <row r="33" ht="15" customHeight="1">
      <c r="A33" t="inlineStr">
        <is>
          <t>A 58412-2025</t>
        </is>
      </c>
      <c r="B33" s="1" t="n">
        <v>45985.57564814815</v>
      </c>
      <c r="C33" s="1" t="n">
        <v>46074</v>
      </c>
      <c r="D33" t="inlineStr">
        <is>
          <t>VÄSTRA GÖTALANDS LÄN</t>
        </is>
      </c>
      <c r="E33" t="inlineStr">
        <is>
          <t>ALE</t>
        </is>
      </c>
      <c r="G33" t="n">
        <v>3.2</v>
      </c>
      <c r="H33" t="n">
        <v>1</v>
      </c>
      <c r="I33" t="n">
        <v>0</v>
      </c>
      <c r="J33" t="n">
        <v>0</v>
      </c>
      <c r="K33" t="n">
        <v>0</v>
      </c>
      <c r="L33" t="n">
        <v>0</v>
      </c>
      <c r="M33" t="n">
        <v>0</v>
      </c>
      <c r="N33" t="n">
        <v>0</v>
      </c>
      <c r="O33" t="n">
        <v>0</v>
      </c>
      <c r="P33" t="n">
        <v>0</v>
      </c>
      <c r="Q33" t="n">
        <v>1</v>
      </c>
      <c r="R33" s="2" t="inlineStr">
        <is>
          <t>Äkta lopplummer</t>
        </is>
      </c>
      <c r="S33">
        <f>HYPERLINK("https://klasma.github.io/Logging_1440/artfynd/A 58412-2025 artfynd.xlsx", "A 58412-2025")</f>
        <v/>
      </c>
      <c r="T33">
        <f>HYPERLINK("https://klasma.github.io/Logging_1440/kartor/A 58412-2025 karta.png", "A 58412-2025")</f>
        <v/>
      </c>
      <c r="V33">
        <f>HYPERLINK("https://klasma.github.io/Logging_1440/klagomål/A 58412-2025 FSC-klagomål.docx", "A 58412-2025")</f>
        <v/>
      </c>
      <c r="W33">
        <f>HYPERLINK("https://klasma.github.io/Logging_1440/klagomålsmail/A 58412-2025 FSC-klagomål mail.docx", "A 58412-2025")</f>
        <v/>
      </c>
      <c r="X33">
        <f>HYPERLINK("https://klasma.github.io/Logging_1440/tillsyn/A 58412-2025 tillsynsbegäran.docx", "A 58412-2025")</f>
        <v/>
      </c>
      <c r="Y33">
        <f>HYPERLINK("https://klasma.github.io/Logging_1440/tillsynsmail/A 58412-2025 tillsynsbegäran mail.docx", "A 58412-2025")</f>
        <v/>
      </c>
    </row>
    <row r="34" ht="15" customHeight="1">
      <c r="A34" t="inlineStr">
        <is>
          <t>A 62524-2025</t>
        </is>
      </c>
      <c r="B34" s="1" t="n">
        <v>46007.6247337963</v>
      </c>
      <c r="C34" s="1" t="n">
        <v>46074</v>
      </c>
      <c r="D34" t="inlineStr">
        <is>
          <t>VÄSTRA GÖTALANDS LÄN</t>
        </is>
      </c>
      <c r="E34" t="inlineStr">
        <is>
          <t>ALE</t>
        </is>
      </c>
      <c r="G34" t="n">
        <v>8</v>
      </c>
      <c r="H34" t="n">
        <v>1</v>
      </c>
      <c r="I34" t="n">
        <v>0</v>
      </c>
      <c r="J34" t="n">
        <v>0</v>
      </c>
      <c r="K34" t="n">
        <v>0</v>
      </c>
      <c r="L34" t="n">
        <v>0</v>
      </c>
      <c r="M34" t="n">
        <v>0</v>
      </c>
      <c r="N34" t="n">
        <v>0</v>
      </c>
      <c r="O34" t="n">
        <v>0</v>
      </c>
      <c r="P34" t="n">
        <v>0</v>
      </c>
      <c r="Q34" t="n">
        <v>1</v>
      </c>
      <c r="R34" s="2" t="inlineStr">
        <is>
          <t>Revlummer</t>
        </is>
      </c>
      <c r="S34">
        <f>HYPERLINK("https://klasma.github.io/Logging_1440/artfynd/A 62524-2025 artfynd.xlsx", "A 62524-2025")</f>
        <v/>
      </c>
      <c r="T34">
        <f>HYPERLINK("https://klasma.github.io/Logging_1440/kartor/A 62524-2025 karta.png", "A 62524-2025")</f>
        <v/>
      </c>
      <c r="V34">
        <f>HYPERLINK("https://klasma.github.io/Logging_1440/klagomål/A 62524-2025 FSC-klagomål.docx", "A 62524-2025")</f>
        <v/>
      </c>
      <c r="W34">
        <f>HYPERLINK("https://klasma.github.io/Logging_1440/klagomålsmail/A 62524-2025 FSC-klagomål mail.docx", "A 62524-2025")</f>
        <v/>
      </c>
      <c r="X34">
        <f>HYPERLINK("https://klasma.github.io/Logging_1440/tillsyn/A 62524-2025 tillsynsbegäran.docx", "A 62524-2025")</f>
        <v/>
      </c>
      <c r="Y34">
        <f>HYPERLINK("https://klasma.github.io/Logging_1440/tillsynsmail/A 62524-2025 tillsynsbegäran mail.docx", "A 62524-2025")</f>
        <v/>
      </c>
    </row>
    <row r="35" ht="15" customHeight="1">
      <c r="A35" t="inlineStr">
        <is>
          <t>A 12084-2025</t>
        </is>
      </c>
      <c r="B35" s="1" t="n">
        <v>45728.95387731482</v>
      </c>
      <c r="C35" s="1" t="n">
        <v>46074</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26493-2024</t>
        </is>
      </c>
      <c r="B36" s="1" t="n">
        <v>45469</v>
      </c>
      <c r="C36" s="1" t="n">
        <v>46074</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46074</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26677-2025</t>
        </is>
      </c>
      <c r="B38" s="1" t="n">
        <v>45810.42446759259</v>
      </c>
      <c r="C38" s="1" t="n">
        <v>46074</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21281-2021</t>
        </is>
      </c>
      <c r="B39" s="1" t="n">
        <v>44320.61850694445</v>
      </c>
      <c r="C39" s="1" t="n">
        <v>46074</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46074</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46074</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46074</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46074</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46074</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46074</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46074</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46074</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46074</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46074</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46074</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46074</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46074</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46074</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46074</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46074</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46074</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46074</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46074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44429-2023</t>
        </is>
      </c>
      <c r="B59" s="1" t="n">
        <v>45189.35101851852</v>
      </c>
      <c r="C59" s="1" t="n">
        <v>46074</v>
      </c>
      <c r="D59" t="inlineStr">
        <is>
          <t>VÄSTRA GÖTALANDS LÄN</t>
        </is>
      </c>
      <c r="E59" t="inlineStr">
        <is>
          <t>ALE</t>
        </is>
      </c>
      <c r="G59" t="n">
        <v>0.1</v>
      </c>
      <c r="H59" t="n">
        <v>0</v>
      </c>
      <c r="I59" t="n">
        <v>0</v>
      </c>
      <c r="J59" t="n">
        <v>0</v>
      </c>
      <c r="K59" t="n">
        <v>0</v>
      </c>
      <c r="L59" t="n">
        <v>0</v>
      </c>
      <c r="M59" t="n">
        <v>0</v>
      </c>
      <c r="N59" t="n">
        <v>0</v>
      </c>
      <c r="O59" t="n">
        <v>0</v>
      </c>
      <c r="P59" t="n">
        <v>0</v>
      </c>
      <c r="Q59" t="n">
        <v>0</v>
      </c>
      <c r="R59" s="2" t="inlineStr"/>
    </row>
    <row r="60" ht="15" customHeight="1">
      <c r="A60" t="inlineStr">
        <is>
          <t>A 6916-2023</t>
        </is>
      </c>
      <c r="B60" s="1" t="n">
        <v>44967.53349537037</v>
      </c>
      <c r="C60" s="1" t="n">
        <v>46074</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1822-2024</t>
        </is>
      </c>
      <c r="B61" s="1" t="n">
        <v>45307.6205787037</v>
      </c>
      <c r="C61" s="1" t="n">
        <v>46074</v>
      </c>
      <c r="D61" t="inlineStr">
        <is>
          <t>VÄSTRA GÖTALANDS LÄN</t>
        </is>
      </c>
      <c r="E61" t="inlineStr">
        <is>
          <t>ALE</t>
        </is>
      </c>
      <c r="G61" t="n">
        <v>2</v>
      </c>
      <c r="H61" t="n">
        <v>0</v>
      </c>
      <c r="I61" t="n">
        <v>0</v>
      </c>
      <c r="J61" t="n">
        <v>0</v>
      </c>
      <c r="K61" t="n">
        <v>0</v>
      </c>
      <c r="L61" t="n">
        <v>0</v>
      </c>
      <c r="M61" t="n">
        <v>0</v>
      </c>
      <c r="N61" t="n">
        <v>0</v>
      </c>
      <c r="O61" t="n">
        <v>0</v>
      </c>
      <c r="P61" t="n">
        <v>0</v>
      </c>
      <c r="Q61" t="n">
        <v>0</v>
      </c>
      <c r="R61" s="2" t="inlineStr"/>
    </row>
    <row r="62" ht="15" customHeight="1">
      <c r="A62" t="inlineStr">
        <is>
          <t>A 34104-2024</t>
        </is>
      </c>
      <c r="B62" s="1" t="n">
        <v>45523.79202546296</v>
      </c>
      <c r="C62" s="1" t="n">
        <v>46074</v>
      </c>
      <c r="D62" t="inlineStr">
        <is>
          <t>VÄSTRA GÖTALANDS LÄN</t>
        </is>
      </c>
      <c r="E62" t="inlineStr">
        <is>
          <t>ALE</t>
        </is>
      </c>
      <c r="G62" t="n">
        <v>2.2</v>
      </c>
      <c r="H62" t="n">
        <v>0</v>
      </c>
      <c r="I62" t="n">
        <v>0</v>
      </c>
      <c r="J62" t="n">
        <v>0</v>
      </c>
      <c r="K62" t="n">
        <v>0</v>
      </c>
      <c r="L62" t="n">
        <v>0</v>
      </c>
      <c r="M62" t="n">
        <v>0</v>
      </c>
      <c r="N62" t="n">
        <v>0</v>
      </c>
      <c r="O62" t="n">
        <v>0</v>
      </c>
      <c r="P62" t="n">
        <v>0</v>
      </c>
      <c r="Q62" t="n">
        <v>0</v>
      </c>
      <c r="R62" s="2" t="inlineStr"/>
    </row>
    <row r="63" ht="15" customHeight="1">
      <c r="A63" t="inlineStr">
        <is>
          <t>A 3418-2023</t>
        </is>
      </c>
      <c r="B63" s="1" t="n">
        <v>44949.56182870371</v>
      </c>
      <c r="C63" s="1" t="n">
        <v>46074</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46074</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15499-2022</t>
        </is>
      </c>
      <c r="B65" s="1" t="n">
        <v>44662</v>
      </c>
      <c r="C65" s="1" t="n">
        <v>46074</v>
      </c>
      <c r="D65" t="inlineStr">
        <is>
          <t>VÄSTRA GÖTALANDS LÄN</t>
        </is>
      </c>
      <c r="E65" t="inlineStr">
        <is>
          <t>ALE</t>
        </is>
      </c>
      <c r="G65" t="n">
        <v>4.7</v>
      </c>
      <c r="H65" t="n">
        <v>0</v>
      </c>
      <c r="I65" t="n">
        <v>0</v>
      </c>
      <c r="J65" t="n">
        <v>0</v>
      </c>
      <c r="K65" t="n">
        <v>0</v>
      </c>
      <c r="L65" t="n">
        <v>0</v>
      </c>
      <c r="M65" t="n">
        <v>0</v>
      </c>
      <c r="N65" t="n">
        <v>0</v>
      </c>
      <c r="O65" t="n">
        <v>0</v>
      </c>
      <c r="P65" t="n">
        <v>0</v>
      </c>
      <c r="Q65" t="n">
        <v>0</v>
      </c>
      <c r="R65" s="2" t="inlineStr"/>
    </row>
    <row r="66" ht="15" customHeight="1">
      <c r="A66" t="inlineStr">
        <is>
          <t>A 1960-2024</t>
        </is>
      </c>
      <c r="B66" s="1" t="n">
        <v>45308.50962962963</v>
      </c>
      <c r="C66" s="1" t="n">
        <v>46074</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53476-2023</t>
        </is>
      </c>
      <c r="B67" s="1" t="n">
        <v>45230.33737268519</v>
      </c>
      <c r="C67" s="1" t="n">
        <v>46074</v>
      </c>
      <c r="D67" t="inlineStr">
        <is>
          <t>VÄSTRA GÖTALANDS LÄN</t>
        </is>
      </c>
      <c r="E67" t="inlineStr">
        <is>
          <t>ALE</t>
        </is>
      </c>
      <c r="G67" t="n">
        <v>1.9</v>
      </c>
      <c r="H67" t="n">
        <v>0</v>
      </c>
      <c r="I67" t="n">
        <v>0</v>
      </c>
      <c r="J67" t="n">
        <v>0</v>
      </c>
      <c r="K67" t="n">
        <v>0</v>
      </c>
      <c r="L67" t="n">
        <v>0</v>
      </c>
      <c r="M67" t="n">
        <v>0</v>
      </c>
      <c r="N67" t="n">
        <v>0</v>
      </c>
      <c r="O67" t="n">
        <v>0</v>
      </c>
      <c r="P67" t="n">
        <v>0</v>
      </c>
      <c r="Q67" t="n">
        <v>0</v>
      </c>
      <c r="R67" s="2" t="inlineStr"/>
    </row>
    <row r="68" ht="15" customHeight="1">
      <c r="A68" t="inlineStr">
        <is>
          <t>A 55405-2021</t>
        </is>
      </c>
      <c r="B68" s="1" t="n">
        <v>44475.53733796296</v>
      </c>
      <c r="C68" s="1" t="n">
        <v>46074</v>
      </c>
      <c r="D68" t="inlineStr">
        <is>
          <t>VÄSTRA GÖTALANDS LÄN</t>
        </is>
      </c>
      <c r="E68" t="inlineStr">
        <is>
          <t>ALE</t>
        </is>
      </c>
      <c r="G68" t="n">
        <v>0.5</v>
      </c>
      <c r="H68" t="n">
        <v>0</v>
      </c>
      <c r="I68" t="n">
        <v>0</v>
      </c>
      <c r="J68" t="n">
        <v>0</v>
      </c>
      <c r="K68" t="n">
        <v>0</v>
      </c>
      <c r="L68" t="n">
        <v>0</v>
      </c>
      <c r="M68" t="n">
        <v>0</v>
      </c>
      <c r="N68" t="n">
        <v>0</v>
      </c>
      <c r="O68" t="n">
        <v>0</v>
      </c>
      <c r="P68" t="n">
        <v>0</v>
      </c>
      <c r="Q68" t="n">
        <v>0</v>
      </c>
      <c r="R68" s="2" t="inlineStr"/>
    </row>
    <row r="69" ht="15" customHeight="1">
      <c r="A69" t="inlineStr">
        <is>
          <t>A 51164-2024</t>
        </is>
      </c>
      <c r="B69" s="1" t="n">
        <v>45603.5830787037</v>
      </c>
      <c r="C69" s="1" t="n">
        <v>46074</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56493-2021</t>
        </is>
      </c>
      <c r="B70" s="1" t="n">
        <v>44480.57173611111</v>
      </c>
      <c r="C70" s="1" t="n">
        <v>46074</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24642-2022</t>
        </is>
      </c>
      <c r="B71" s="1" t="n">
        <v>44727.59578703704</v>
      </c>
      <c r="C71" s="1" t="n">
        <v>46074</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49955-2021</t>
        </is>
      </c>
      <c r="B72" s="1" t="n">
        <v>44456</v>
      </c>
      <c r="C72" s="1" t="n">
        <v>46074</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5344-2024</t>
        </is>
      </c>
      <c r="B73" s="1" t="n">
        <v>45331</v>
      </c>
      <c r="C73" s="1" t="n">
        <v>46074</v>
      </c>
      <c r="D73" t="inlineStr">
        <is>
          <t>VÄSTRA GÖTALANDS LÄN</t>
        </is>
      </c>
      <c r="E73" t="inlineStr">
        <is>
          <t>ALE</t>
        </is>
      </c>
      <c r="G73" t="n">
        <v>2.5</v>
      </c>
      <c r="H73" t="n">
        <v>0</v>
      </c>
      <c r="I73" t="n">
        <v>0</v>
      </c>
      <c r="J73" t="n">
        <v>0</v>
      </c>
      <c r="K73" t="n">
        <v>0</v>
      </c>
      <c r="L73" t="n">
        <v>0</v>
      </c>
      <c r="M73" t="n">
        <v>0</v>
      </c>
      <c r="N73" t="n">
        <v>0</v>
      </c>
      <c r="O73" t="n">
        <v>0</v>
      </c>
      <c r="P73" t="n">
        <v>0</v>
      </c>
      <c r="Q73" t="n">
        <v>0</v>
      </c>
      <c r="R73" s="2" t="inlineStr"/>
    </row>
    <row r="74" ht="15" customHeight="1">
      <c r="A74" t="inlineStr">
        <is>
          <t>A 32762-2023</t>
        </is>
      </c>
      <c r="B74" s="1" t="n">
        <v>45123.46649305556</v>
      </c>
      <c r="C74" s="1" t="n">
        <v>46074</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51564-2023</t>
        </is>
      </c>
      <c r="B75" s="1" t="n">
        <v>45222</v>
      </c>
      <c r="C75" s="1" t="n">
        <v>46074</v>
      </c>
      <c r="D75" t="inlineStr">
        <is>
          <t>VÄSTRA GÖTALANDS LÄN</t>
        </is>
      </c>
      <c r="E75" t="inlineStr">
        <is>
          <t>ALE</t>
        </is>
      </c>
      <c r="G75" t="n">
        <v>1.5</v>
      </c>
      <c r="H75" t="n">
        <v>0</v>
      </c>
      <c r="I75" t="n">
        <v>0</v>
      </c>
      <c r="J75" t="n">
        <v>0</v>
      </c>
      <c r="K75" t="n">
        <v>0</v>
      </c>
      <c r="L75" t="n">
        <v>0</v>
      </c>
      <c r="M75" t="n">
        <v>0</v>
      </c>
      <c r="N75" t="n">
        <v>0</v>
      </c>
      <c r="O75" t="n">
        <v>0</v>
      </c>
      <c r="P75" t="n">
        <v>0</v>
      </c>
      <c r="Q75" t="n">
        <v>0</v>
      </c>
      <c r="R75" s="2" t="inlineStr"/>
    </row>
    <row r="76" ht="15" customHeight="1">
      <c r="A76" t="inlineStr">
        <is>
          <t>A 29373-2025</t>
        </is>
      </c>
      <c r="B76" s="1" t="n">
        <v>45824.579375</v>
      </c>
      <c r="C76" s="1" t="n">
        <v>46074</v>
      </c>
      <c r="D76" t="inlineStr">
        <is>
          <t>VÄSTRA GÖTALANDS LÄN</t>
        </is>
      </c>
      <c r="E76" t="inlineStr">
        <is>
          <t>ALE</t>
        </is>
      </c>
      <c r="G76" t="n">
        <v>4.6</v>
      </c>
      <c r="H76" t="n">
        <v>0</v>
      </c>
      <c r="I76" t="n">
        <v>0</v>
      </c>
      <c r="J76" t="n">
        <v>0</v>
      </c>
      <c r="K76" t="n">
        <v>0</v>
      </c>
      <c r="L76" t="n">
        <v>0</v>
      </c>
      <c r="M76" t="n">
        <v>0</v>
      </c>
      <c r="N76" t="n">
        <v>0</v>
      </c>
      <c r="O76" t="n">
        <v>0</v>
      </c>
      <c r="P76" t="n">
        <v>0</v>
      </c>
      <c r="Q76" t="n">
        <v>0</v>
      </c>
      <c r="R76" s="2" t="inlineStr"/>
    </row>
    <row r="77" ht="15" customHeight="1">
      <c r="A77" t="inlineStr">
        <is>
          <t>A 13382-2025</t>
        </is>
      </c>
      <c r="B77" s="1" t="n">
        <v>45735.67928240741</v>
      </c>
      <c r="C77" s="1" t="n">
        <v>46074</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40074-2025</t>
        </is>
      </c>
      <c r="B78" s="1" t="n">
        <v>45894.44685185186</v>
      </c>
      <c r="C78" s="1" t="n">
        <v>46074</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13903-2025</t>
        </is>
      </c>
      <c r="B79" s="1" t="n">
        <v>45737.63481481482</v>
      </c>
      <c r="C79" s="1" t="n">
        <v>46074</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31409-2025</t>
        </is>
      </c>
      <c r="B80" s="1" t="n">
        <v>45833</v>
      </c>
      <c r="C80" s="1" t="n">
        <v>46074</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31488-2025</t>
        </is>
      </c>
      <c r="B81" s="1" t="n">
        <v>45833</v>
      </c>
      <c r="C81" s="1" t="n">
        <v>46074</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31533-2025</t>
        </is>
      </c>
      <c r="B82" s="1" t="n">
        <v>45833</v>
      </c>
      <c r="C82" s="1" t="n">
        <v>46074</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13426-2025</t>
        </is>
      </c>
      <c r="B83" s="1" t="n">
        <v>45736.32780092592</v>
      </c>
      <c r="C83" s="1" t="n">
        <v>46074</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26157-2023</t>
        </is>
      </c>
      <c r="B84" s="1" t="n">
        <v>45091.50479166667</v>
      </c>
      <c r="C84" s="1" t="n">
        <v>46074</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47087-2023</t>
        </is>
      </c>
      <c r="B85" s="1" t="n">
        <v>45196</v>
      </c>
      <c r="C85" s="1" t="n">
        <v>46074</v>
      </c>
      <c r="D85" t="inlineStr">
        <is>
          <t>VÄSTRA GÖTALANDS LÄN</t>
        </is>
      </c>
      <c r="E85" t="inlineStr">
        <is>
          <t>ALE</t>
        </is>
      </c>
      <c r="G85" t="n">
        <v>1.6</v>
      </c>
      <c r="H85" t="n">
        <v>0</v>
      </c>
      <c r="I85" t="n">
        <v>0</v>
      </c>
      <c r="J85" t="n">
        <v>0</v>
      </c>
      <c r="K85" t="n">
        <v>0</v>
      </c>
      <c r="L85" t="n">
        <v>0</v>
      </c>
      <c r="M85" t="n">
        <v>0</v>
      </c>
      <c r="N85" t="n">
        <v>0</v>
      </c>
      <c r="O85" t="n">
        <v>0</v>
      </c>
      <c r="P85" t="n">
        <v>0</v>
      </c>
      <c r="Q85" t="n">
        <v>0</v>
      </c>
      <c r="R85" s="2" t="inlineStr"/>
    </row>
    <row r="86" ht="15" customHeight="1">
      <c r="A86" t="inlineStr">
        <is>
          <t>A 27314-2021</t>
        </is>
      </c>
      <c r="B86" s="1" t="n">
        <v>44351.36537037037</v>
      </c>
      <c r="C86" s="1" t="n">
        <v>46074</v>
      </c>
      <c r="D86" t="inlineStr">
        <is>
          <t>VÄSTRA GÖTALANDS LÄN</t>
        </is>
      </c>
      <c r="E86" t="inlineStr">
        <is>
          <t>ALE</t>
        </is>
      </c>
      <c r="G86" t="n">
        <v>11.3</v>
      </c>
      <c r="H86" t="n">
        <v>0</v>
      </c>
      <c r="I86" t="n">
        <v>0</v>
      </c>
      <c r="J86" t="n">
        <v>0</v>
      </c>
      <c r="K86" t="n">
        <v>0</v>
      </c>
      <c r="L86" t="n">
        <v>0</v>
      </c>
      <c r="M86" t="n">
        <v>0</v>
      </c>
      <c r="N86" t="n">
        <v>0</v>
      </c>
      <c r="O86" t="n">
        <v>0</v>
      </c>
      <c r="P86" t="n">
        <v>0</v>
      </c>
      <c r="Q86" t="n">
        <v>0</v>
      </c>
      <c r="R86" s="2" t="inlineStr"/>
    </row>
    <row r="87" ht="15" customHeight="1">
      <c r="A87" t="inlineStr">
        <is>
          <t>A 46226-2025</t>
        </is>
      </c>
      <c r="B87" s="1" t="n">
        <v>45924</v>
      </c>
      <c r="C87" s="1" t="n">
        <v>46074</v>
      </c>
      <c r="D87" t="inlineStr">
        <is>
          <t>VÄSTRA GÖTALANDS LÄN</t>
        </is>
      </c>
      <c r="E87" t="inlineStr">
        <is>
          <t>ALE</t>
        </is>
      </c>
      <c r="G87" t="n">
        <v>2.3</v>
      </c>
      <c r="H87" t="n">
        <v>0</v>
      </c>
      <c r="I87" t="n">
        <v>0</v>
      </c>
      <c r="J87" t="n">
        <v>0</v>
      </c>
      <c r="K87" t="n">
        <v>0</v>
      </c>
      <c r="L87" t="n">
        <v>0</v>
      </c>
      <c r="M87" t="n">
        <v>0</v>
      </c>
      <c r="N87" t="n">
        <v>0</v>
      </c>
      <c r="O87" t="n">
        <v>0</v>
      </c>
      <c r="P87" t="n">
        <v>0</v>
      </c>
      <c r="Q87" t="n">
        <v>0</v>
      </c>
      <c r="R87" s="2" t="inlineStr"/>
    </row>
    <row r="88" ht="15" customHeight="1">
      <c r="A88" t="inlineStr">
        <is>
          <t>A 46227-2025</t>
        </is>
      </c>
      <c r="B88" s="1" t="n">
        <v>45924.90386574074</v>
      </c>
      <c r="C88" s="1" t="n">
        <v>46074</v>
      </c>
      <c r="D88" t="inlineStr">
        <is>
          <t>VÄSTRA GÖTALANDS LÄN</t>
        </is>
      </c>
      <c r="E88" t="inlineStr">
        <is>
          <t>ALE</t>
        </is>
      </c>
      <c r="G88" t="n">
        <v>0.3</v>
      </c>
      <c r="H88" t="n">
        <v>0</v>
      </c>
      <c r="I88" t="n">
        <v>0</v>
      </c>
      <c r="J88" t="n">
        <v>0</v>
      </c>
      <c r="K88" t="n">
        <v>0</v>
      </c>
      <c r="L88" t="n">
        <v>0</v>
      </c>
      <c r="M88" t="n">
        <v>0</v>
      </c>
      <c r="N88" t="n">
        <v>0</v>
      </c>
      <c r="O88" t="n">
        <v>0</v>
      </c>
      <c r="P88" t="n">
        <v>0</v>
      </c>
      <c r="Q88" t="n">
        <v>0</v>
      </c>
      <c r="R88" s="2" t="inlineStr"/>
    </row>
    <row r="89" ht="15" customHeight="1">
      <c r="A89" t="inlineStr">
        <is>
          <t>A 5875-2023</t>
        </is>
      </c>
      <c r="B89" s="1" t="n">
        <v>44963</v>
      </c>
      <c r="C89" s="1" t="n">
        <v>46074</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46074</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47592-2025</t>
        </is>
      </c>
      <c r="B91" s="1" t="n">
        <v>45931.44649305556</v>
      </c>
      <c r="C91" s="1" t="n">
        <v>46074</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47593-2025</t>
        </is>
      </c>
      <c r="B92" s="1" t="n">
        <v>45931.4480787037</v>
      </c>
      <c r="C92" s="1" t="n">
        <v>46074</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47728-2025</t>
        </is>
      </c>
      <c r="B93" s="1" t="n">
        <v>45931.63186342592</v>
      </c>
      <c r="C93" s="1" t="n">
        <v>46074</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46074</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46074</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57473-2022</t>
        </is>
      </c>
      <c r="B96" s="1" t="n">
        <v>44896</v>
      </c>
      <c r="C96" s="1" t="n">
        <v>46074</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67160-2021</t>
        </is>
      </c>
      <c r="B97" s="1" t="n">
        <v>44523</v>
      </c>
      <c r="C97" s="1" t="n">
        <v>46074</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48213-2025</t>
        </is>
      </c>
      <c r="B98" s="1" t="n">
        <v>45933</v>
      </c>
      <c r="C98" s="1" t="n">
        <v>46074</v>
      </c>
      <c r="D98" t="inlineStr">
        <is>
          <t>VÄSTRA GÖTALANDS LÄN</t>
        </is>
      </c>
      <c r="E98" t="inlineStr">
        <is>
          <t>ALE</t>
        </is>
      </c>
      <c r="G98" t="n">
        <v>3.3</v>
      </c>
      <c r="H98" t="n">
        <v>0</v>
      </c>
      <c r="I98" t="n">
        <v>0</v>
      </c>
      <c r="J98" t="n">
        <v>0</v>
      </c>
      <c r="K98" t="n">
        <v>0</v>
      </c>
      <c r="L98" t="n">
        <v>0</v>
      </c>
      <c r="M98" t="n">
        <v>0</v>
      </c>
      <c r="N98" t="n">
        <v>0</v>
      </c>
      <c r="O98" t="n">
        <v>0</v>
      </c>
      <c r="P98" t="n">
        <v>0</v>
      </c>
      <c r="Q98" t="n">
        <v>0</v>
      </c>
      <c r="R98" s="2" t="inlineStr"/>
    </row>
    <row r="99" ht="15" customHeight="1">
      <c r="A99" t="inlineStr">
        <is>
          <t>A 48218-2025</t>
        </is>
      </c>
      <c r="B99" s="1" t="n">
        <v>45933</v>
      </c>
      <c r="C99" s="1" t="n">
        <v>46074</v>
      </c>
      <c r="D99" t="inlineStr">
        <is>
          <t>VÄSTRA GÖTALANDS LÄN</t>
        </is>
      </c>
      <c r="E99" t="inlineStr">
        <is>
          <t>ALE</t>
        </is>
      </c>
      <c r="G99" t="n">
        <v>1.4</v>
      </c>
      <c r="H99" t="n">
        <v>0</v>
      </c>
      <c r="I99" t="n">
        <v>0</v>
      </c>
      <c r="J99" t="n">
        <v>0</v>
      </c>
      <c r="K99" t="n">
        <v>0</v>
      </c>
      <c r="L99" t="n">
        <v>0</v>
      </c>
      <c r="M99" t="n">
        <v>0</v>
      </c>
      <c r="N99" t="n">
        <v>0</v>
      </c>
      <c r="O99" t="n">
        <v>0</v>
      </c>
      <c r="P99" t="n">
        <v>0</v>
      </c>
      <c r="Q99" t="n">
        <v>0</v>
      </c>
      <c r="R99" s="2" t="inlineStr"/>
    </row>
    <row r="100" ht="15" customHeight="1">
      <c r="A100" t="inlineStr">
        <is>
          <t>A 50189-2025</t>
        </is>
      </c>
      <c r="B100" s="1" t="n">
        <v>45943.63476851852</v>
      </c>
      <c r="C100" s="1" t="n">
        <v>46074</v>
      </c>
      <c r="D100" t="inlineStr">
        <is>
          <t>VÄSTRA GÖTALANDS LÄN</t>
        </is>
      </c>
      <c r="E100" t="inlineStr">
        <is>
          <t>ALE</t>
        </is>
      </c>
      <c r="G100" t="n">
        <v>3</v>
      </c>
      <c r="H100" t="n">
        <v>0</v>
      </c>
      <c r="I100" t="n">
        <v>0</v>
      </c>
      <c r="J100" t="n">
        <v>0</v>
      </c>
      <c r="K100" t="n">
        <v>0</v>
      </c>
      <c r="L100" t="n">
        <v>0</v>
      </c>
      <c r="M100" t="n">
        <v>0</v>
      </c>
      <c r="N100" t="n">
        <v>0</v>
      </c>
      <c r="O100" t="n">
        <v>0</v>
      </c>
      <c r="P100" t="n">
        <v>0</v>
      </c>
      <c r="Q100" t="n">
        <v>0</v>
      </c>
      <c r="R100" s="2" t="inlineStr"/>
    </row>
    <row r="101" ht="15" customHeight="1">
      <c r="A101" t="inlineStr">
        <is>
          <t>A 3520-2022</t>
        </is>
      </c>
      <c r="B101" s="1" t="n">
        <v>44585.72818287037</v>
      </c>
      <c r="C101" s="1" t="n">
        <v>46074</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65226-2021</t>
        </is>
      </c>
      <c r="B102" s="1" t="n">
        <v>44515</v>
      </c>
      <c r="C102" s="1" t="n">
        <v>46074</v>
      </c>
      <c r="D102" t="inlineStr">
        <is>
          <t>VÄSTRA GÖTALANDS LÄN</t>
        </is>
      </c>
      <c r="E102" t="inlineStr">
        <is>
          <t>ALE</t>
        </is>
      </c>
      <c r="G102" t="n">
        <v>0.7</v>
      </c>
      <c r="H102" t="n">
        <v>0</v>
      </c>
      <c r="I102" t="n">
        <v>0</v>
      </c>
      <c r="J102" t="n">
        <v>0</v>
      </c>
      <c r="K102" t="n">
        <v>0</v>
      </c>
      <c r="L102" t="n">
        <v>0</v>
      </c>
      <c r="M102" t="n">
        <v>0</v>
      </c>
      <c r="N102" t="n">
        <v>0</v>
      </c>
      <c r="O102" t="n">
        <v>0</v>
      </c>
      <c r="P102" t="n">
        <v>0</v>
      </c>
      <c r="Q102" t="n">
        <v>0</v>
      </c>
      <c r="R102" s="2" t="inlineStr"/>
    </row>
    <row r="103" ht="15" customHeight="1">
      <c r="A103" t="inlineStr">
        <is>
          <t>A 50973-2025</t>
        </is>
      </c>
      <c r="B103" s="1" t="n">
        <v>45947.31263888889</v>
      </c>
      <c r="C103" s="1" t="n">
        <v>46074</v>
      </c>
      <c r="D103" t="inlineStr">
        <is>
          <t>VÄSTRA GÖTALANDS LÄN</t>
        </is>
      </c>
      <c r="E103" t="inlineStr">
        <is>
          <t>ALE</t>
        </is>
      </c>
      <c r="G103" t="n">
        <v>12</v>
      </c>
      <c r="H103" t="n">
        <v>0</v>
      </c>
      <c r="I103" t="n">
        <v>0</v>
      </c>
      <c r="J103" t="n">
        <v>0</v>
      </c>
      <c r="K103" t="n">
        <v>0</v>
      </c>
      <c r="L103" t="n">
        <v>0</v>
      </c>
      <c r="M103" t="n">
        <v>0</v>
      </c>
      <c r="N103" t="n">
        <v>0</v>
      </c>
      <c r="O103" t="n">
        <v>0</v>
      </c>
      <c r="P103" t="n">
        <v>0</v>
      </c>
      <c r="Q103" t="n">
        <v>0</v>
      </c>
      <c r="R103" s="2" t="inlineStr"/>
    </row>
    <row r="104" ht="15" customHeight="1">
      <c r="A104" t="inlineStr">
        <is>
          <t>A 18999-2021</t>
        </is>
      </c>
      <c r="B104" s="1" t="n">
        <v>44308</v>
      </c>
      <c r="C104" s="1" t="n">
        <v>46074</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51976-2025</t>
        </is>
      </c>
      <c r="B105" s="1" t="n">
        <v>45952.56412037037</v>
      </c>
      <c r="C105" s="1" t="n">
        <v>46074</v>
      </c>
      <c r="D105" t="inlineStr">
        <is>
          <t>VÄSTRA GÖTALANDS LÄN</t>
        </is>
      </c>
      <c r="E105" t="inlineStr">
        <is>
          <t>ALE</t>
        </is>
      </c>
      <c r="G105" t="n">
        <v>5.2</v>
      </c>
      <c r="H105" t="n">
        <v>0</v>
      </c>
      <c r="I105" t="n">
        <v>0</v>
      </c>
      <c r="J105" t="n">
        <v>0</v>
      </c>
      <c r="K105" t="n">
        <v>0</v>
      </c>
      <c r="L105" t="n">
        <v>0</v>
      </c>
      <c r="M105" t="n">
        <v>0</v>
      </c>
      <c r="N105" t="n">
        <v>0</v>
      </c>
      <c r="O105" t="n">
        <v>0</v>
      </c>
      <c r="P105" t="n">
        <v>0</v>
      </c>
      <c r="Q105" t="n">
        <v>0</v>
      </c>
      <c r="R105" s="2" t="inlineStr"/>
    </row>
    <row r="106" ht="15" customHeight="1">
      <c r="A106" t="inlineStr">
        <is>
          <t>A 52423-2025</t>
        </is>
      </c>
      <c r="B106" s="1" t="n">
        <v>45954.37650462963</v>
      </c>
      <c r="C106" s="1" t="n">
        <v>46074</v>
      </c>
      <c r="D106" t="inlineStr">
        <is>
          <t>VÄSTRA GÖTALANDS LÄN</t>
        </is>
      </c>
      <c r="E106" t="inlineStr">
        <is>
          <t>ALE</t>
        </is>
      </c>
      <c r="G106" t="n">
        <v>4.1</v>
      </c>
      <c r="H106" t="n">
        <v>0</v>
      </c>
      <c r="I106" t="n">
        <v>0</v>
      </c>
      <c r="J106" t="n">
        <v>0</v>
      </c>
      <c r="K106" t="n">
        <v>0</v>
      </c>
      <c r="L106" t="n">
        <v>0</v>
      </c>
      <c r="M106" t="n">
        <v>0</v>
      </c>
      <c r="N106" t="n">
        <v>0</v>
      </c>
      <c r="O106" t="n">
        <v>0</v>
      </c>
      <c r="P106" t="n">
        <v>0</v>
      </c>
      <c r="Q106" t="n">
        <v>0</v>
      </c>
      <c r="R106" s="2" t="inlineStr"/>
    </row>
    <row r="107" ht="15" customHeight="1">
      <c r="A107" t="inlineStr">
        <is>
          <t>A 52391-2025</t>
        </is>
      </c>
      <c r="B107" s="1" t="n">
        <v>45954.34305555555</v>
      </c>
      <c r="C107" s="1" t="n">
        <v>46074</v>
      </c>
      <c r="D107" t="inlineStr">
        <is>
          <t>VÄSTRA GÖTALANDS LÄN</t>
        </is>
      </c>
      <c r="E107" t="inlineStr">
        <is>
          <t>ALE</t>
        </is>
      </c>
      <c r="G107" t="n">
        <v>10.6</v>
      </c>
      <c r="H107" t="n">
        <v>0</v>
      </c>
      <c r="I107" t="n">
        <v>0</v>
      </c>
      <c r="J107" t="n">
        <v>0</v>
      </c>
      <c r="K107" t="n">
        <v>0</v>
      </c>
      <c r="L107" t="n">
        <v>0</v>
      </c>
      <c r="M107" t="n">
        <v>0</v>
      </c>
      <c r="N107" t="n">
        <v>0</v>
      </c>
      <c r="O107" t="n">
        <v>0</v>
      </c>
      <c r="P107" t="n">
        <v>0</v>
      </c>
      <c r="Q107" t="n">
        <v>0</v>
      </c>
      <c r="R107" s="2" t="inlineStr"/>
    </row>
    <row r="108" ht="15" customHeight="1">
      <c r="A108" t="inlineStr">
        <is>
          <t>A 17044-2025</t>
        </is>
      </c>
      <c r="B108" s="1" t="n">
        <v>45755.58891203703</v>
      </c>
      <c r="C108" s="1" t="n">
        <v>46074</v>
      </c>
      <c r="D108" t="inlineStr">
        <is>
          <t>VÄSTRA GÖTALANDS LÄN</t>
        </is>
      </c>
      <c r="E108" t="inlineStr">
        <is>
          <t>ALE</t>
        </is>
      </c>
      <c r="G108" t="n">
        <v>1.5</v>
      </c>
      <c r="H108" t="n">
        <v>0</v>
      </c>
      <c r="I108" t="n">
        <v>0</v>
      </c>
      <c r="J108" t="n">
        <v>0</v>
      </c>
      <c r="K108" t="n">
        <v>0</v>
      </c>
      <c r="L108" t="n">
        <v>0</v>
      </c>
      <c r="M108" t="n">
        <v>0</v>
      </c>
      <c r="N108" t="n">
        <v>0</v>
      </c>
      <c r="O108" t="n">
        <v>0</v>
      </c>
      <c r="P108" t="n">
        <v>0</v>
      </c>
      <c r="Q108" t="n">
        <v>0</v>
      </c>
      <c r="R108" s="2" t="inlineStr"/>
    </row>
    <row r="109" ht="15" customHeight="1">
      <c r="A109" t="inlineStr">
        <is>
          <t>A 55488-2022</t>
        </is>
      </c>
      <c r="B109" s="1" t="n">
        <v>44887</v>
      </c>
      <c r="C109" s="1" t="n">
        <v>46074</v>
      </c>
      <c r="D109" t="inlineStr">
        <is>
          <t>VÄSTRA GÖTALANDS LÄN</t>
        </is>
      </c>
      <c r="E109" t="inlineStr">
        <is>
          <t>ALE</t>
        </is>
      </c>
      <c r="G109" t="n">
        <v>2.5</v>
      </c>
      <c r="H109" t="n">
        <v>0</v>
      </c>
      <c r="I109" t="n">
        <v>0</v>
      </c>
      <c r="J109" t="n">
        <v>0</v>
      </c>
      <c r="K109" t="n">
        <v>0</v>
      </c>
      <c r="L109" t="n">
        <v>0</v>
      </c>
      <c r="M109" t="n">
        <v>0</v>
      </c>
      <c r="N109" t="n">
        <v>0</v>
      </c>
      <c r="O109" t="n">
        <v>0</v>
      </c>
      <c r="P109" t="n">
        <v>0</v>
      </c>
      <c r="Q109" t="n">
        <v>0</v>
      </c>
      <c r="R109" s="2" t="inlineStr"/>
    </row>
    <row r="110" ht="15" customHeight="1">
      <c r="A110" t="inlineStr">
        <is>
          <t>A 16601-2025</t>
        </is>
      </c>
      <c r="B110" s="1" t="n">
        <v>45753.53189814815</v>
      </c>
      <c r="C110" s="1" t="n">
        <v>46074</v>
      </c>
      <c r="D110" t="inlineStr">
        <is>
          <t>VÄSTRA GÖTALANDS LÄN</t>
        </is>
      </c>
      <c r="E110" t="inlineStr">
        <is>
          <t>ALE</t>
        </is>
      </c>
      <c r="G110" t="n">
        <v>1.7</v>
      </c>
      <c r="H110" t="n">
        <v>0</v>
      </c>
      <c r="I110" t="n">
        <v>0</v>
      </c>
      <c r="J110" t="n">
        <v>0</v>
      </c>
      <c r="K110" t="n">
        <v>0</v>
      </c>
      <c r="L110" t="n">
        <v>0</v>
      </c>
      <c r="M110" t="n">
        <v>0</v>
      </c>
      <c r="N110" t="n">
        <v>0</v>
      </c>
      <c r="O110" t="n">
        <v>0</v>
      </c>
      <c r="P110" t="n">
        <v>0</v>
      </c>
      <c r="Q110" t="n">
        <v>0</v>
      </c>
      <c r="R110" s="2" t="inlineStr"/>
    </row>
    <row r="111" ht="15" customHeight="1">
      <c r="A111" t="inlineStr">
        <is>
          <t>A 36403-2024</t>
        </is>
      </c>
      <c r="B111" s="1" t="n">
        <v>45535.69445601852</v>
      </c>
      <c r="C111" s="1" t="n">
        <v>46074</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46074</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15582-2025</t>
        </is>
      </c>
      <c r="B113" s="1" t="n">
        <v>45747.81394675926</v>
      </c>
      <c r="C113" s="1" t="n">
        <v>46074</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7892-2024</t>
        </is>
      </c>
      <c r="B114" s="1" t="n">
        <v>45350.40921296296</v>
      </c>
      <c r="C114" s="1" t="n">
        <v>46074</v>
      </c>
      <c r="D114" t="inlineStr">
        <is>
          <t>VÄSTRA GÖTALANDS LÄN</t>
        </is>
      </c>
      <c r="E114" t="inlineStr">
        <is>
          <t>ALE</t>
        </is>
      </c>
      <c r="G114" t="n">
        <v>3.6</v>
      </c>
      <c r="H114" t="n">
        <v>0</v>
      </c>
      <c r="I114" t="n">
        <v>0</v>
      </c>
      <c r="J114" t="n">
        <v>0</v>
      </c>
      <c r="K114" t="n">
        <v>0</v>
      </c>
      <c r="L114" t="n">
        <v>0</v>
      </c>
      <c r="M114" t="n">
        <v>0</v>
      </c>
      <c r="N114" t="n">
        <v>0</v>
      </c>
      <c r="O114" t="n">
        <v>0</v>
      </c>
      <c r="P114" t="n">
        <v>0</v>
      </c>
      <c r="Q114" t="n">
        <v>0</v>
      </c>
      <c r="R114" s="2" t="inlineStr"/>
    </row>
    <row r="115" ht="15" customHeight="1">
      <c r="A115" t="inlineStr">
        <is>
          <t>A 56905-2025</t>
        </is>
      </c>
      <c r="B115" s="1" t="n">
        <v>45978.57502314815</v>
      </c>
      <c r="C115" s="1" t="n">
        <v>46074</v>
      </c>
      <c r="D115" t="inlineStr">
        <is>
          <t>VÄSTRA GÖTALANDS LÄN</t>
        </is>
      </c>
      <c r="E115" t="inlineStr">
        <is>
          <t>ALE</t>
        </is>
      </c>
      <c r="G115" t="n">
        <v>5.2</v>
      </c>
      <c r="H115" t="n">
        <v>0</v>
      </c>
      <c r="I115" t="n">
        <v>0</v>
      </c>
      <c r="J115" t="n">
        <v>0</v>
      </c>
      <c r="K115" t="n">
        <v>0</v>
      </c>
      <c r="L115" t="n">
        <v>0</v>
      </c>
      <c r="M115" t="n">
        <v>0</v>
      </c>
      <c r="N115" t="n">
        <v>0</v>
      </c>
      <c r="O115" t="n">
        <v>0</v>
      </c>
      <c r="P115" t="n">
        <v>0</v>
      </c>
      <c r="Q115" t="n">
        <v>0</v>
      </c>
      <c r="R115" s="2" t="inlineStr"/>
    </row>
    <row r="116" ht="15" customHeight="1">
      <c r="A116" t="inlineStr">
        <is>
          <t>A 6947-2024</t>
        </is>
      </c>
      <c r="B116" s="1" t="n">
        <v>45343</v>
      </c>
      <c r="C116" s="1" t="n">
        <v>46074</v>
      </c>
      <c r="D116" t="inlineStr">
        <is>
          <t>VÄSTRA GÖTALANDS LÄN</t>
        </is>
      </c>
      <c r="E116" t="inlineStr">
        <is>
          <t>ALE</t>
        </is>
      </c>
      <c r="G116" t="n">
        <v>3.7</v>
      </c>
      <c r="H116" t="n">
        <v>0</v>
      </c>
      <c r="I116" t="n">
        <v>0</v>
      </c>
      <c r="J116" t="n">
        <v>0</v>
      </c>
      <c r="K116" t="n">
        <v>0</v>
      </c>
      <c r="L116" t="n">
        <v>0</v>
      </c>
      <c r="M116" t="n">
        <v>0</v>
      </c>
      <c r="N116" t="n">
        <v>0</v>
      </c>
      <c r="O116" t="n">
        <v>0</v>
      </c>
      <c r="P116" t="n">
        <v>0</v>
      </c>
      <c r="Q116" t="n">
        <v>0</v>
      </c>
      <c r="R116" s="2" t="inlineStr"/>
    </row>
    <row r="117" ht="15" customHeight="1">
      <c r="A117" t="inlineStr">
        <is>
          <t>A 4444-2024</t>
        </is>
      </c>
      <c r="B117" s="1" t="n">
        <v>45327</v>
      </c>
      <c r="C117" s="1" t="n">
        <v>46074</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72801-2021</t>
        </is>
      </c>
      <c r="B118" s="1" t="n">
        <v>44546</v>
      </c>
      <c r="C118" s="1" t="n">
        <v>46074</v>
      </c>
      <c r="D118" t="inlineStr">
        <is>
          <t>VÄSTRA GÖTALANDS LÄN</t>
        </is>
      </c>
      <c r="E118" t="inlineStr">
        <is>
          <t>ALE</t>
        </is>
      </c>
      <c r="F118" t="inlineStr">
        <is>
          <t>Naturvårdsverket</t>
        </is>
      </c>
      <c r="G118" t="n">
        <v>1.4</v>
      </c>
      <c r="H118" t="n">
        <v>0</v>
      </c>
      <c r="I118" t="n">
        <v>0</v>
      </c>
      <c r="J118" t="n">
        <v>0</v>
      </c>
      <c r="K118" t="n">
        <v>0</v>
      </c>
      <c r="L118" t="n">
        <v>0</v>
      </c>
      <c r="M118" t="n">
        <v>0</v>
      </c>
      <c r="N118" t="n">
        <v>0</v>
      </c>
      <c r="O118" t="n">
        <v>0</v>
      </c>
      <c r="P118" t="n">
        <v>0</v>
      </c>
      <c r="Q118" t="n">
        <v>0</v>
      </c>
      <c r="R118" s="2" t="inlineStr"/>
    </row>
    <row r="119" ht="15" customHeight="1">
      <c r="A119" t="inlineStr">
        <is>
          <t>A 58414-2025</t>
        </is>
      </c>
      <c r="B119" s="1" t="n">
        <v>45985.57778935185</v>
      </c>
      <c r="C119" s="1" t="n">
        <v>46074</v>
      </c>
      <c r="D119" t="inlineStr">
        <is>
          <t>VÄSTRA GÖTALANDS LÄN</t>
        </is>
      </c>
      <c r="E119" t="inlineStr">
        <is>
          <t>ALE</t>
        </is>
      </c>
      <c r="G119" t="n">
        <v>4.3</v>
      </c>
      <c r="H119" t="n">
        <v>0</v>
      </c>
      <c r="I119" t="n">
        <v>0</v>
      </c>
      <c r="J119" t="n">
        <v>0</v>
      </c>
      <c r="K119" t="n">
        <v>0</v>
      </c>
      <c r="L119" t="n">
        <v>0</v>
      </c>
      <c r="M119" t="n">
        <v>0</v>
      </c>
      <c r="N119" t="n">
        <v>0</v>
      </c>
      <c r="O119" t="n">
        <v>0</v>
      </c>
      <c r="P119" t="n">
        <v>0</v>
      </c>
      <c r="Q119" t="n">
        <v>0</v>
      </c>
      <c r="R119" s="2" t="inlineStr"/>
    </row>
    <row r="120" ht="15" customHeight="1">
      <c r="A120" t="inlineStr">
        <is>
          <t>A 31407-2025</t>
        </is>
      </c>
      <c r="B120" s="1" t="n">
        <v>45833</v>
      </c>
      <c r="C120" s="1" t="n">
        <v>46074</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59409-2025</t>
        </is>
      </c>
      <c r="B121" s="1" t="n">
        <v>45989.49545138889</v>
      </c>
      <c r="C121" s="1" t="n">
        <v>46074</v>
      </c>
      <c r="D121" t="inlineStr">
        <is>
          <t>VÄSTRA GÖTALANDS LÄN</t>
        </is>
      </c>
      <c r="E121" t="inlineStr">
        <is>
          <t>ALE</t>
        </is>
      </c>
      <c r="G121" t="n">
        <v>0.3</v>
      </c>
      <c r="H121" t="n">
        <v>0</v>
      </c>
      <c r="I121" t="n">
        <v>0</v>
      </c>
      <c r="J121" t="n">
        <v>0</v>
      </c>
      <c r="K121" t="n">
        <v>0</v>
      </c>
      <c r="L121" t="n">
        <v>0</v>
      </c>
      <c r="M121" t="n">
        <v>0</v>
      </c>
      <c r="N121" t="n">
        <v>0</v>
      </c>
      <c r="O121" t="n">
        <v>0</v>
      </c>
      <c r="P121" t="n">
        <v>0</v>
      </c>
      <c r="Q121" t="n">
        <v>0</v>
      </c>
      <c r="R121" s="2" t="inlineStr"/>
    </row>
    <row r="122" ht="15" customHeight="1">
      <c r="A122" t="inlineStr">
        <is>
          <t>A 26083-2023</t>
        </is>
      </c>
      <c r="B122" s="1" t="n">
        <v>45091</v>
      </c>
      <c r="C122" s="1" t="n">
        <v>46074</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2414-2026</t>
        </is>
      </c>
      <c r="B123" s="1" t="n">
        <v>46036.74319444445</v>
      </c>
      <c r="C123" s="1" t="n">
        <v>46074</v>
      </c>
      <c r="D123" t="inlineStr">
        <is>
          <t>VÄSTRA GÖTALANDS LÄN</t>
        </is>
      </c>
      <c r="E123" t="inlineStr">
        <is>
          <t>ALE</t>
        </is>
      </c>
      <c r="G123" t="n">
        <v>3.3</v>
      </c>
      <c r="H123" t="n">
        <v>0</v>
      </c>
      <c r="I123" t="n">
        <v>0</v>
      </c>
      <c r="J123" t="n">
        <v>0</v>
      </c>
      <c r="K123" t="n">
        <v>0</v>
      </c>
      <c r="L123" t="n">
        <v>0</v>
      </c>
      <c r="M123" t="n">
        <v>0</v>
      </c>
      <c r="N123" t="n">
        <v>0</v>
      </c>
      <c r="O123" t="n">
        <v>0</v>
      </c>
      <c r="P123" t="n">
        <v>0</v>
      </c>
      <c r="Q123" t="n">
        <v>0</v>
      </c>
      <c r="R123" s="2" t="inlineStr"/>
    </row>
    <row r="124" ht="15" customHeight="1">
      <c r="A124" t="inlineStr">
        <is>
          <t>A 16344-2023</t>
        </is>
      </c>
      <c r="B124" s="1" t="n">
        <v>45028</v>
      </c>
      <c r="C124" s="1" t="n">
        <v>46074</v>
      </c>
      <c r="D124" t="inlineStr">
        <is>
          <t>VÄSTRA GÖTALANDS LÄN</t>
        </is>
      </c>
      <c r="E124" t="inlineStr">
        <is>
          <t>ALE</t>
        </is>
      </c>
      <c r="G124" t="n">
        <v>6.6</v>
      </c>
      <c r="H124" t="n">
        <v>0</v>
      </c>
      <c r="I124" t="n">
        <v>0</v>
      </c>
      <c r="J124" t="n">
        <v>0</v>
      </c>
      <c r="K124" t="n">
        <v>0</v>
      </c>
      <c r="L124" t="n">
        <v>0</v>
      </c>
      <c r="M124" t="n">
        <v>0</v>
      </c>
      <c r="N124" t="n">
        <v>0</v>
      </c>
      <c r="O124" t="n">
        <v>0</v>
      </c>
      <c r="P124" t="n">
        <v>0</v>
      </c>
      <c r="Q124" t="n">
        <v>0</v>
      </c>
      <c r="R124" s="2" t="inlineStr"/>
    </row>
    <row r="125" ht="15" customHeight="1">
      <c r="A125" t="inlineStr">
        <is>
          <t>A 60287-2025</t>
        </is>
      </c>
      <c r="B125" s="1" t="n">
        <v>45994.64711805555</v>
      </c>
      <c r="C125" s="1" t="n">
        <v>46074</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3261-2026</t>
        </is>
      </c>
      <c r="B126" s="1" t="n">
        <v>46041.5952662037</v>
      </c>
      <c r="C126" s="1" t="n">
        <v>46074</v>
      </c>
      <c r="D126" t="inlineStr">
        <is>
          <t>VÄSTRA GÖTALANDS LÄN</t>
        </is>
      </c>
      <c r="E126" t="inlineStr">
        <is>
          <t>ALE</t>
        </is>
      </c>
      <c r="G126" t="n">
        <v>3.4</v>
      </c>
      <c r="H126" t="n">
        <v>0</v>
      </c>
      <c r="I126" t="n">
        <v>0</v>
      </c>
      <c r="J126" t="n">
        <v>0</v>
      </c>
      <c r="K126" t="n">
        <v>0</v>
      </c>
      <c r="L126" t="n">
        <v>0</v>
      </c>
      <c r="M126" t="n">
        <v>0</v>
      </c>
      <c r="N126" t="n">
        <v>0</v>
      </c>
      <c r="O126" t="n">
        <v>0</v>
      </c>
      <c r="P126" t="n">
        <v>0</v>
      </c>
      <c r="Q126" t="n">
        <v>0</v>
      </c>
      <c r="R126" s="2" t="inlineStr"/>
    </row>
    <row r="127" ht="15" customHeight="1">
      <c r="A127" t="inlineStr">
        <is>
          <t>A 4363-2024</t>
        </is>
      </c>
      <c r="B127" s="1" t="n">
        <v>45325</v>
      </c>
      <c r="C127" s="1" t="n">
        <v>46074</v>
      </c>
      <c r="D127" t="inlineStr">
        <is>
          <t>VÄSTRA GÖTALANDS LÄN</t>
        </is>
      </c>
      <c r="E127" t="inlineStr">
        <is>
          <t>ALE</t>
        </is>
      </c>
      <c r="G127" t="n">
        <v>0.6</v>
      </c>
      <c r="H127" t="n">
        <v>0</v>
      </c>
      <c r="I127" t="n">
        <v>0</v>
      </c>
      <c r="J127" t="n">
        <v>0</v>
      </c>
      <c r="K127" t="n">
        <v>0</v>
      </c>
      <c r="L127" t="n">
        <v>0</v>
      </c>
      <c r="M127" t="n">
        <v>0</v>
      </c>
      <c r="N127" t="n">
        <v>0</v>
      </c>
      <c r="O127" t="n">
        <v>0</v>
      </c>
      <c r="P127" t="n">
        <v>0</v>
      </c>
      <c r="Q127" t="n">
        <v>0</v>
      </c>
      <c r="R127" s="2" t="inlineStr"/>
    </row>
    <row r="128" ht="15" customHeight="1">
      <c r="A128" t="inlineStr">
        <is>
          <t>A 45988-2021</t>
        </is>
      </c>
      <c r="B128" s="1" t="n">
        <v>44441</v>
      </c>
      <c r="C128" s="1" t="n">
        <v>46074</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61771-2025</t>
        </is>
      </c>
      <c r="B129" s="1" t="n">
        <v>46002.6478587963</v>
      </c>
      <c r="C129" s="1" t="n">
        <v>46074</v>
      </c>
      <c r="D129" t="inlineStr">
        <is>
          <t>VÄSTRA GÖTALANDS LÄN</t>
        </is>
      </c>
      <c r="E129" t="inlineStr">
        <is>
          <t>ALE</t>
        </is>
      </c>
      <c r="G129" t="n">
        <v>3.9</v>
      </c>
      <c r="H129" t="n">
        <v>0</v>
      </c>
      <c r="I129" t="n">
        <v>0</v>
      </c>
      <c r="J129" t="n">
        <v>0</v>
      </c>
      <c r="K129" t="n">
        <v>0</v>
      </c>
      <c r="L129" t="n">
        <v>0</v>
      </c>
      <c r="M129" t="n">
        <v>0</v>
      </c>
      <c r="N129" t="n">
        <v>0</v>
      </c>
      <c r="O129" t="n">
        <v>0</v>
      </c>
      <c r="P129" t="n">
        <v>0</v>
      </c>
      <c r="Q129" t="n">
        <v>0</v>
      </c>
      <c r="R129" s="2" t="inlineStr"/>
    </row>
    <row r="130" ht="15" customHeight="1">
      <c r="A130" t="inlineStr">
        <is>
          <t>A 20067-2023</t>
        </is>
      </c>
      <c r="B130" s="1" t="n">
        <v>45054</v>
      </c>
      <c r="C130" s="1" t="n">
        <v>46074</v>
      </c>
      <c r="D130" t="inlineStr">
        <is>
          <t>VÄSTRA GÖTALANDS LÄN</t>
        </is>
      </c>
      <c r="E130" t="inlineStr">
        <is>
          <t>ALE</t>
        </is>
      </c>
      <c r="G130" t="n">
        <v>0.4</v>
      </c>
      <c r="H130" t="n">
        <v>0</v>
      </c>
      <c r="I130" t="n">
        <v>0</v>
      </c>
      <c r="J130" t="n">
        <v>0</v>
      </c>
      <c r="K130" t="n">
        <v>0</v>
      </c>
      <c r="L130" t="n">
        <v>0</v>
      </c>
      <c r="M130" t="n">
        <v>0</v>
      </c>
      <c r="N130" t="n">
        <v>0</v>
      </c>
      <c r="O130" t="n">
        <v>0</v>
      </c>
      <c r="P130" t="n">
        <v>0</v>
      </c>
      <c r="Q130" t="n">
        <v>0</v>
      </c>
      <c r="R130" s="2" t="inlineStr"/>
    </row>
    <row r="131" ht="15" customHeight="1">
      <c r="A131" t="inlineStr">
        <is>
          <t>A 61744-2025</t>
        </is>
      </c>
      <c r="B131" s="1" t="n">
        <v>46002.60298611111</v>
      </c>
      <c r="C131" s="1" t="n">
        <v>46074</v>
      </c>
      <c r="D131" t="inlineStr">
        <is>
          <t>VÄSTRA GÖTALANDS LÄN</t>
        </is>
      </c>
      <c r="E131" t="inlineStr">
        <is>
          <t>ALE</t>
        </is>
      </c>
      <c r="G131" t="n">
        <v>3.1</v>
      </c>
      <c r="H131" t="n">
        <v>0</v>
      </c>
      <c r="I131" t="n">
        <v>0</v>
      </c>
      <c r="J131" t="n">
        <v>0</v>
      </c>
      <c r="K131" t="n">
        <v>0</v>
      </c>
      <c r="L131" t="n">
        <v>0</v>
      </c>
      <c r="M131" t="n">
        <v>0</v>
      </c>
      <c r="N131" t="n">
        <v>0</v>
      </c>
      <c r="O131" t="n">
        <v>0</v>
      </c>
      <c r="P131" t="n">
        <v>0</v>
      </c>
      <c r="Q131" t="n">
        <v>0</v>
      </c>
      <c r="R131" s="2" t="inlineStr"/>
    </row>
    <row r="132" ht="15" customHeight="1">
      <c r="A132" t="inlineStr">
        <is>
          <t>A 61819-2025</t>
        </is>
      </c>
      <c r="B132" s="1" t="n">
        <v>46003.3241087963</v>
      </c>
      <c r="C132" s="1" t="n">
        <v>46074</v>
      </c>
      <c r="D132" t="inlineStr">
        <is>
          <t>VÄSTRA GÖTALANDS LÄN</t>
        </is>
      </c>
      <c r="E132" t="inlineStr">
        <is>
          <t>ALE</t>
        </is>
      </c>
      <c r="G132" t="n">
        <v>5.1</v>
      </c>
      <c r="H132" t="n">
        <v>0</v>
      </c>
      <c r="I132" t="n">
        <v>0</v>
      </c>
      <c r="J132" t="n">
        <v>0</v>
      </c>
      <c r="K132" t="n">
        <v>0</v>
      </c>
      <c r="L132" t="n">
        <v>0</v>
      </c>
      <c r="M132" t="n">
        <v>0</v>
      </c>
      <c r="N132" t="n">
        <v>0</v>
      </c>
      <c r="O132" t="n">
        <v>0</v>
      </c>
      <c r="P132" t="n">
        <v>0</v>
      </c>
      <c r="Q132" t="n">
        <v>0</v>
      </c>
      <c r="R132" s="2" t="inlineStr"/>
    </row>
    <row r="133" ht="15" customHeight="1">
      <c r="A133" t="inlineStr">
        <is>
          <t>A 62828-2025</t>
        </is>
      </c>
      <c r="B133" s="1" t="n">
        <v>46008.66553240741</v>
      </c>
      <c r="C133" s="1" t="n">
        <v>46074</v>
      </c>
      <c r="D133" t="inlineStr">
        <is>
          <t>VÄSTRA GÖTALANDS LÄN</t>
        </is>
      </c>
      <c r="E133" t="inlineStr">
        <is>
          <t>ALE</t>
        </is>
      </c>
      <c r="G133" t="n">
        <v>2.6</v>
      </c>
      <c r="H133" t="n">
        <v>0</v>
      </c>
      <c r="I133" t="n">
        <v>0</v>
      </c>
      <c r="J133" t="n">
        <v>0</v>
      </c>
      <c r="K133" t="n">
        <v>0</v>
      </c>
      <c r="L133" t="n">
        <v>0</v>
      </c>
      <c r="M133" t="n">
        <v>0</v>
      </c>
      <c r="N133" t="n">
        <v>0</v>
      </c>
      <c r="O133" t="n">
        <v>0</v>
      </c>
      <c r="P133" t="n">
        <v>0</v>
      </c>
      <c r="Q133" t="n">
        <v>0</v>
      </c>
      <c r="R133" s="2" t="inlineStr"/>
    </row>
    <row r="134" ht="15" customHeight="1">
      <c r="A134" t="inlineStr">
        <is>
          <t>A 48257-2022</t>
        </is>
      </c>
      <c r="B134" s="1" t="n">
        <v>44858.47591435185</v>
      </c>
      <c r="C134" s="1" t="n">
        <v>46074</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41309-2024</t>
        </is>
      </c>
      <c r="B135" s="1" t="n">
        <v>45559</v>
      </c>
      <c r="C135" s="1" t="n">
        <v>46074</v>
      </c>
      <c r="D135" t="inlineStr">
        <is>
          <t>VÄSTRA GÖTALANDS LÄN</t>
        </is>
      </c>
      <c r="E135" t="inlineStr">
        <is>
          <t>ALE</t>
        </is>
      </c>
      <c r="G135" t="n">
        <v>8.4</v>
      </c>
      <c r="H135" t="n">
        <v>0</v>
      </c>
      <c r="I135" t="n">
        <v>0</v>
      </c>
      <c r="J135" t="n">
        <v>0</v>
      </c>
      <c r="K135" t="n">
        <v>0</v>
      </c>
      <c r="L135" t="n">
        <v>0</v>
      </c>
      <c r="M135" t="n">
        <v>0</v>
      </c>
      <c r="N135" t="n">
        <v>0</v>
      </c>
      <c r="O135" t="n">
        <v>0</v>
      </c>
      <c r="P135" t="n">
        <v>0</v>
      </c>
      <c r="Q135" t="n">
        <v>0</v>
      </c>
      <c r="R135" s="2" t="inlineStr"/>
    </row>
    <row r="136" ht="15" customHeight="1">
      <c r="A136" t="inlineStr">
        <is>
          <t>A 8956-2025</t>
        </is>
      </c>
      <c r="B136" s="1" t="n">
        <v>45713.46825231481</v>
      </c>
      <c r="C136" s="1" t="n">
        <v>46074</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7807-2023</t>
        </is>
      </c>
      <c r="B137" s="1" t="n">
        <v>44973</v>
      </c>
      <c r="C137" s="1" t="n">
        <v>46074</v>
      </c>
      <c r="D137" t="inlineStr">
        <is>
          <t>VÄSTRA GÖTALANDS LÄN</t>
        </is>
      </c>
      <c r="E137" t="inlineStr">
        <is>
          <t>ALE</t>
        </is>
      </c>
      <c r="G137" t="n">
        <v>10.5</v>
      </c>
      <c r="H137" t="n">
        <v>0</v>
      </c>
      <c r="I137" t="n">
        <v>0</v>
      </c>
      <c r="J137" t="n">
        <v>0</v>
      </c>
      <c r="K137" t="n">
        <v>0</v>
      </c>
      <c r="L137" t="n">
        <v>0</v>
      </c>
      <c r="M137" t="n">
        <v>0</v>
      </c>
      <c r="N137" t="n">
        <v>0</v>
      </c>
      <c r="O137" t="n">
        <v>0</v>
      </c>
      <c r="P137" t="n">
        <v>0</v>
      </c>
      <c r="Q137" t="n">
        <v>0</v>
      </c>
      <c r="R137" s="2" t="inlineStr"/>
    </row>
    <row r="138" ht="15" customHeight="1">
      <c r="A138" t="inlineStr">
        <is>
          <t>A 6621-2026</t>
        </is>
      </c>
      <c r="B138" s="1" t="n">
        <v>46056.4970949074</v>
      </c>
      <c r="C138" s="1" t="n">
        <v>46074</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8659-2025</t>
        </is>
      </c>
      <c r="B139" s="1" t="n">
        <v>45712</v>
      </c>
      <c r="C139" s="1" t="n">
        <v>46074</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7296-2026</t>
        </is>
      </c>
      <c r="B140" s="1" t="n">
        <v>46058.64341435185</v>
      </c>
      <c r="C140" s="1" t="n">
        <v>46074</v>
      </c>
      <c r="D140" t="inlineStr">
        <is>
          <t>VÄSTRA GÖTALANDS LÄN</t>
        </is>
      </c>
      <c r="E140" t="inlineStr">
        <is>
          <t>ALE</t>
        </is>
      </c>
      <c r="G140" t="n">
        <v>7.2</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46074</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8111-2026</t>
        </is>
      </c>
      <c r="B142" s="1" t="n">
        <v>46062</v>
      </c>
      <c r="C142" s="1" t="n">
        <v>46074</v>
      </c>
      <c r="D142" t="inlineStr">
        <is>
          <t>VÄSTRA GÖTALANDS LÄN</t>
        </is>
      </c>
      <c r="E142" t="inlineStr">
        <is>
          <t>ALE</t>
        </is>
      </c>
      <c r="G142" t="n">
        <v>0.3</v>
      </c>
      <c r="H142" t="n">
        <v>0</v>
      </c>
      <c r="I142" t="n">
        <v>0</v>
      </c>
      <c r="J142" t="n">
        <v>0</v>
      </c>
      <c r="K142" t="n">
        <v>0</v>
      </c>
      <c r="L142" t="n">
        <v>0</v>
      </c>
      <c r="M142" t="n">
        <v>0</v>
      </c>
      <c r="N142" t="n">
        <v>0</v>
      </c>
      <c r="O142" t="n">
        <v>0</v>
      </c>
      <c r="P142" t="n">
        <v>0</v>
      </c>
      <c r="Q142" t="n">
        <v>0</v>
      </c>
      <c r="R142" s="2" t="inlineStr"/>
    </row>
    <row r="143" ht="15" customHeight="1">
      <c r="A143" t="inlineStr">
        <is>
          <t>A 8110-2026</t>
        </is>
      </c>
      <c r="B143" s="1" t="n">
        <v>46062</v>
      </c>
      <c r="C143" s="1" t="n">
        <v>46074</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8112-2026</t>
        </is>
      </c>
      <c r="B144" s="1" t="n">
        <v>46062</v>
      </c>
      <c r="C144" s="1" t="n">
        <v>46074</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35959-2022</t>
        </is>
      </c>
      <c r="B145" s="1" t="n">
        <v>44802.57002314815</v>
      </c>
      <c r="C145" s="1" t="n">
        <v>46074</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14493-2024</t>
        </is>
      </c>
      <c r="B146" s="1" t="n">
        <v>45394.58491898148</v>
      </c>
      <c r="C146" s="1" t="n">
        <v>46074</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1500-2024</t>
        </is>
      </c>
      <c r="B147" s="1" t="n">
        <v>45306</v>
      </c>
      <c r="C147" s="1" t="n">
        <v>46074</v>
      </c>
      <c r="D147" t="inlineStr">
        <is>
          <t>VÄSTRA GÖTALANDS LÄN</t>
        </is>
      </c>
      <c r="E147" t="inlineStr">
        <is>
          <t>ALE</t>
        </is>
      </c>
      <c r="G147" t="n">
        <v>1.3</v>
      </c>
      <c r="H147" t="n">
        <v>0</v>
      </c>
      <c r="I147" t="n">
        <v>0</v>
      </c>
      <c r="J147" t="n">
        <v>0</v>
      </c>
      <c r="K147" t="n">
        <v>0</v>
      </c>
      <c r="L147" t="n">
        <v>0</v>
      </c>
      <c r="M147" t="n">
        <v>0</v>
      </c>
      <c r="N147" t="n">
        <v>0</v>
      </c>
      <c r="O147" t="n">
        <v>0</v>
      </c>
      <c r="P147" t="n">
        <v>0</v>
      </c>
      <c r="Q147" t="n">
        <v>0</v>
      </c>
      <c r="R147" s="2" t="inlineStr"/>
    </row>
    <row r="148" ht="15" customHeight="1">
      <c r="A148" t="inlineStr">
        <is>
          <t>A 1687-2024</t>
        </is>
      </c>
      <c r="B148" s="1" t="n">
        <v>45306</v>
      </c>
      <c r="C148" s="1" t="n">
        <v>46074</v>
      </c>
      <c r="D148" t="inlineStr">
        <is>
          <t>VÄSTRA GÖTALANDS LÄN</t>
        </is>
      </c>
      <c r="E148" t="inlineStr">
        <is>
          <t>ALE</t>
        </is>
      </c>
      <c r="G148" t="n">
        <v>3.4</v>
      </c>
      <c r="H148" t="n">
        <v>0</v>
      </c>
      <c r="I148" t="n">
        <v>0</v>
      </c>
      <c r="J148" t="n">
        <v>0</v>
      </c>
      <c r="K148" t="n">
        <v>0</v>
      </c>
      <c r="L148" t="n">
        <v>0</v>
      </c>
      <c r="M148" t="n">
        <v>0</v>
      </c>
      <c r="N148" t="n">
        <v>0</v>
      </c>
      <c r="O148" t="n">
        <v>0</v>
      </c>
      <c r="P148" t="n">
        <v>0</v>
      </c>
      <c r="Q148" t="n">
        <v>0</v>
      </c>
      <c r="R148" s="2" t="inlineStr"/>
    </row>
    <row r="149" ht="15" customHeight="1">
      <c r="A149" t="inlineStr">
        <is>
          <t>A 1291-2026</t>
        </is>
      </c>
      <c r="B149" s="1" t="n">
        <v>46031.50569444444</v>
      </c>
      <c r="C149" s="1" t="n">
        <v>46074</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9783-2026</t>
        </is>
      </c>
      <c r="B150" s="1" t="n">
        <v>46072.58835648148</v>
      </c>
      <c r="C150" s="1" t="n">
        <v>46074</v>
      </c>
      <c r="D150" t="inlineStr">
        <is>
          <t>VÄSTRA GÖTALANDS LÄN</t>
        </is>
      </c>
      <c r="E150" t="inlineStr">
        <is>
          <t>ALE</t>
        </is>
      </c>
      <c r="G150" t="n">
        <v>4.9</v>
      </c>
      <c r="H150" t="n">
        <v>0</v>
      </c>
      <c r="I150" t="n">
        <v>0</v>
      </c>
      <c r="J150" t="n">
        <v>0</v>
      </c>
      <c r="K150" t="n">
        <v>0</v>
      </c>
      <c r="L150" t="n">
        <v>0</v>
      </c>
      <c r="M150" t="n">
        <v>0</v>
      </c>
      <c r="N150" t="n">
        <v>0</v>
      </c>
      <c r="O150" t="n">
        <v>0</v>
      </c>
      <c r="P150" t="n">
        <v>0</v>
      </c>
      <c r="Q150" t="n">
        <v>0</v>
      </c>
      <c r="R150" s="2" t="inlineStr"/>
    </row>
    <row r="151" ht="15" customHeight="1">
      <c r="A151" t="inlineStr">
        <is>
          <t>A 14458-2024</t>
        </is>
      </c>
      <c r="B151" s="1" t="n">
        <v>45394</v>
      </c>
      <c r="C151" s="1" t="n">
        <v>46074</v>
      </c>
      <c r="D151" t="inlineStr">
        <is>
          <t>VÄSTRA GÖTALANDS LÄN</t>
        </is>
      </c>
      <c r="E151" t="inlineStr">
        <is>
          <t>ALE</t>
        </is>
      </c>
      <c r="G151" t="n">
        <v>0.5</v>
      </c>
      <c r="H151" t="n">
        <v>0</v>
      </c>
      <c r="I151" t="n">
        <v>0</v>
      </c>
      <c r="J151" t="n">
        <v>0</v>
      </c>
      <c r="K151" t="n">
        <v>0</v>
      </c>
      <c r="L151" t="n">
        <v>0</v>
      </c>
      <c r="M151" t="n">
        <v>0</v>
      </c>
      <c r="N151" t="n">
        <v>0</v>
      </c>
      <c r="O151" t="n">
        <v>0</v>
      </c>
      <c r="P151" t="n">
        <v>0</v>
      </c>
      <c r="Q151" t="n">
        <v>0</v>
      </c>
      <c r="R151" s="2" t="inlineStr"/>
    </row>
    <row r="152" ht="15" customHeight="1">
      <c r="A152" t="inlineStr">
        <is>
          <t>A 42446-2023</t>
        </is>
      </c>
      <c r="B152" s="1" t="n">
        <v>45180</v>
      </c>
      <c r="C152" s="1" t="n">
        <v>46074</v>
      </c>
      <c r="D152" t="inlineStr">
        <is>
          <t>VÄSTRA GÖTALANDS LÄN</t>
        </is>
      </c>
      <c r="E152" t="inlineStr">
        <is>
          <t>ALE</t>
        </is>
      </c>
      <c r="G152" t="n">
        <v>0.8</v>
      </c>
      <c r="H152" t="n">
        <v>0</v>
      </c>
      <c r="I152" t="n">
        <v>0</v>
      </c>
      <c r="J152" t="n">
        <v>0</v>
      </c>
      <c r="K152" t="n">
        <v>0</v>
      </c>
      <c r="L152" t="n">
        <v>0</v>
      </c>
      <c r="M152" t="n">
        <v>0</v>
      </c>
      <c r="N152" t="n">
        <v>0</v>
      </c>
      <c r="O152" t="n">
        <v>0</v>
      </c>
      <c r="P152" t="n">
        <v>0</v>
      </c>
      <c r="Q152" t="n">
        <v>0</v>
      </c>
      <c r="R152" s="2" t="inlineStr"/>
    </row>
    <row r="153" ht="15" customHeight="1">
      <c r="A153" t="inlineStr">
        <is>
          <t>A 33237-2024</t>
        </is>
      </c>
      <c r="B153" s="1" t="n">
        <v>45518.59173611111</v>
      </c>
      <c r="C153" s="1" t="n">
        <v>46074</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12055-2022</t>
        </is>
      </c>
      <c r="B154" s="1" t="n">
        <v>44636</v>
      </c>
      <c r="C154" s="1" t="n">
        <v>46074</v>
      </c>
      <c r="D154" t="inlineStr">
        <is>
          <t>VÄSTRA GÖTALANDS LÄN</t>
        </is>
      </c>
      <c r="E154" t="inlineStr">
        <is>
          <t>ALE</t>
        </is>
      </c>
      <c r="G154" t="n">
        <v>0.2</v>
      </c>
      <c r="H154" t="n">
        <v>0</v>
      </c>
      <c r="I154" t="n">
        <v>0</v>
      </c>
      <c r="J154" t="n">
        <v>0</v>
      </c>
      <c r="K154" t="n">
        <v>0</v>
      </c>
      <c r="L154" t="n">
        <v>0</v>
      </c>
      <c r="M154" t="n">
        <v>0</v>
      </c>
      <c r="N154" t="n">
        <v>0</v>
      </c>
      <c r="O154" t="n">
        <v>0</v>
      </c>
      <c r="P154" t="n">
        <v>0</v>
      </c>
      <c r="Q154" t="n">
        <v>0</v>
      </c>
      <c r="R154" s="2" t="inlineStr"/>
    </row>
    <row r="155" ht="15" customHeight="1">
      <c r="A155" t="inlineStr">
        <is>
          <t>A 36763-2022</t>
        </is>
      </c>
      <c r="B155" s="1" t="n">
        <v>44805</v>
      </c>
      <c r="C155" s="1" t="n">
        <v>46074</v>
      </c>
      <c r="D155" t="inlineStr">
        <is>
          <t>VÄSTRA GÖTALANDS LÄN</t>
        </is>
      </c>
      <c r="E155" t="inlineStr">
        <is>
          <t>ALE</t>
        </is>
      </c>
      <c r="G155" t="n">
        <v>6.1</v>
      </c>
      <c r="H155" t="n">
        <v>0</v>
      </c>
      <c r="I155" t="n">
        <v>0</v>
      </c>
      <c r="J155" t="n">
        <v>0</v>
      </c>
      <c r="K155" t="n">
        <v>0</v>
      </c>
      <c r="L155" t="n">
        <v>0</v>
      </c>
      <c r="M155" t="n">
        <v>0</v>
      </c>
      <c r="N155" t="n">
        <v>0</v>
      </c>
      <c r="O155" t="n">
        <v>0</v>
      </c>
      <c r="P155" t="n">
        <v>0</v>
      </c>
      <c r="Q155" t="n">
        <v>0</v>
      </c>
      <c r="R155" s="2" t="inlineStr"/>
    </row>
    <row r="156" ht="15" customHeight="1">
      <c r="A156" t="inlineStr">
        <is>
          <t>A 3407-2023</t>
        </is>
      </c>
      <c r="B156" s="1" t="n">
        <v>44949.54909722223</v>
      </c>
      <c r="C156" s="1" t="n">
        <v>46074</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15241-2025</t>
        </is>
      </c>
      <c r="B157" s="1" t="n">
        <v>45744.61255787037</v>
      </c>
      <c r="C157" s="1" t="n">
        <v>46074</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49680-2024</t>
        </is>
      </c>
      <c r="B158" s="1" t="n">
        <v>45596.66880787037</v>
      </c>
      <c r="C158" s="1" t="n">
        <v>46074</v>
      </c>
      <c r="D158" t="inlineStr">
        <is>
          <t>VÄSTRA GÖTALANDS LÄN</t>
        </is>
      </c>
      <c r="E158" t="inlineStr">
        <is>
          <t>ALE</t>
        </is>
      </c>
      <c r="G158" t="n">
        <v>3.7</v>
      </c>
      <c r="H158" t="n">
        <v>0</v>
      </c>
      <c r="I158" t="n">
        <v>0</v>
      </c>
      <c r="J158" t="n">
        <v>0</v>
      </c>
      <c r="K158" t="n">
        <v>0</v>
      </c>
      <c r="L158" t="n">
        <v>0</v>
      </c>
      <c r="M158" t="n">
        <v>0</v>
      </c>
      <c r="N158" t="n">
        <v>0</v>
      </c>
      <c r="O158" t="n">
        <v>0</v>
      </c>
      <c r="P158" t="n">
        <v>0</v>
      </c>
      <c r="Q158" t="n">
        <v>0</v>
      </c>
      <c r="R158" s="2" t="inlineStr"/>
    </row>
    <row r="159" ht="15" customHeight="1">
      <c r="A159" t="inlineStr">
        <is>
          <t>A 34153-2024</t>
        </is>
      </c>
      <c r="B159" s="1" t="n">
        <v>45524.38400462963</v>
      </c>
      <c r="C159" s="1" t="n">
        <v>46074</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14731-2022</t>
        </is>
      </c>
      <c r="B160" s="1" t="n">
        <v>44656</v>
      </c>
      <c r="C160" s="1" t="n">
        <v>46074</v>
      </c>
      <c r="D160" t="inlineStr">
        <is>
          <t>VÄSTRA GÖTALANDS LÄN</t>
        </is>
      </c>
      <c r="E160" t="inlineStr">
        <is>
          <t>ALE</t>
        </is>
      </c>
      <c r="G160" t="n">
        <v>1.8</v>
      </c>
      <c r="H160" t="n">
        <v>0</v>
      </c>
      <c r="I160" t="n">
        <v>0</v>
      </c>
      <c r="J160" t="n">
        <v>0</v>
      </c>
      <c r="K160" t="n">
        <v>0</v>
      </c>
      <c r="L160" t="n">
        <v>0</v>
      </c>
      <c r="M160" t="n">
        <v>0</v>
      </c>
      <c r="N160" t="n">
        <v>0</v>
      </c>
      <c r="O160" t="n">
        <v>0</v>
      </c>
      <c r="P160" t="n">
        <v>0</v>
      </c>
      <c r="Q160" t="n">
        <v>0</v>
      </c>
      <c r="R160" s="2" t="inlineStr"/>
    </row>
    <row r="161" ht="15" customHeight="1">
      <c r="A161" t="inlineStr">
        <is>
          <t>A 41598-2022</t>
        </is>
      </c>
      <c r="B161" s="1" t="n">
        <v>44827.4609837963</v>
      </c>
      <c r="C161" s="1" t="n">
        <v>46074</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4642-2024</t>
        </is>
      </c>
      <c r="B162" s="1" t="n">
        <v>45328.43502314815</v>
      </c>
      <c r="C162" s="1" t="n">
        <v>46074</v>
      </c>
      <c r="D162" t="inlineStr">
        <is>
          <t>VÄSTRA GÖTALANDS LÄN</t>
        </is>
      </c>
      <c r="E162" t="inlineStr">
        <is>
          <t>ALE</t>
        </is>
      </c>
      <c r="G162" t="n">
        <v>7.1</v>
      </c>
      <c r="H162" t="n">
        <v>0</v>
      </c>
      <c r="I162" t="n">
        <v>0</v>
      </c>
      <c r="J162" t="n">
        <v>0</v>
      </c>
      <c r="K162" t="n">
        <v>0</v>
      </c>
      <c r="L162" t="n">
        <v>0</v>
      </c>
      <c r="M162" t="n">
        <v>0</v>
      </c>
      <c r="N162" t="n">
        <v>0</v>
      </c>
      <c r="O162" t="n">
        <v>0</v>
      </c>
      <c r="P162" t="n">
        <v>0</v>
      </c>
      <c r="Q162" t="n">
        <v>0</v>
      </c>
      <c r="R162" s="2" t="inlineStr"/>
    </row>
    <row r="163" ht="15" customHeight="1">
      <c r="A163" t="inlineStr">
        <is>
          <t>A 5916-2023</t>
        </is>
      </c>
      <c r="B163" s="1" t="n">
        <v>44963</v>
      </c>
      <c r="C163" s="1" t="n">
        <v>46074</v>
      </c>
      <c r="D163" t="inlineStr">
        <is>
          <t>VÄSTRA GÖTALANDS LÄN</t>
        </is>
      </c>
      <c r="E163" t="inlineStr">
        <is>
          <t>ALE</t>
        </is>
      </c>
      <c r="G163" t="n">
        <v>4.2</v>
      </c>
      <c r="H163" t="n">
        <v>0</v>
      </c>
      <c r="I163" t="n">
        <v>0</v>
      </c>
      <c r="J163" t="n">
        <v>0</v>
      </c>
      <c r="K163" t="n">
        <v>0</v>
      </c>
      <c r="L163" t="n">
        <v>0</v>
      </c>
      <c r="M163" t="n">
        <v>0</v>
      </c>
      <c r="N163" t="n">
        <v>0</v>
      </c>
      <c r="O163" t="n">
        <v>0</v>
      </c>
      <c r="P163" t="n">
        <v>0</v>
      </c>
      <c r="Q163" t="n">
        <v>0</v>
      </c>
      <c r="R163" s="2" t="inlineStr"/>
    </row>
    <row r="164" ht="15" customHeight="1">
      <c r="A164" t="inlineStr">
        <is>
          <t>A 3457-2022</t>
        </is>
      </c>
      <c r="B164" s="1" t="n">
        <v>44585</v>
      </c>
      <c r="C164" s="1" t="n">
        <v>46074</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50451-2024</t>
        </is>
      </c>
      <c r="B165" s="1" t="n">
        <v>45601.44248842593</v>
      </c>
      <c r="C165" s="1" t="n">
        <v>46074</v>
      </c>
      <c r="D165" t="inlineStr">
        <is>
          <t>VÄSTRA GÖTALANDS LÄN</t>
        </is>
      </c>
      <c r="E165" t="inlineStr">
        <is>
          <t>ALE</t>
        </is>
      </c>
      <c r="G165" t="n">
        <v>2.9</v>
      </c>
      <c r="H165" t="n">
        <v>0</v>
      </c>
      <c r="I165" t="n">
        <v>0</v>
      </c>
      <c r="J165" t="n">
        <v>0</v>
      </c>
      <c r="K165" t="n">
        <v>0</v>
      </c>
      <c r="L165" t="n">
        <v>0</v>
      </c>
      <c r="M165" t="n">
        <v>0</v>
      </c>
      <c r="N165" t="n">
        <v>0</v>
      </c>
      <c r="O165" t="n">
        <v>0</v>
      </c>
      <c r="P165" t="n">
        <v>0</v>
      </c>
      <c r="Q165" t="n">
        <v>0</v>
      </c>
      <c r="R165" s="2" t="inlineStr"/>
    </row>
    <row r="166" ht="15" customHeight="1">
      <c r="A166" t="inlineStr">
        <is>
          <t>A 4971-2024</t>
        </is>
      </c>
      <c r="B166" s="1" t="n">
        <v>45329</v>
      </c>
      <c r="C166" s="1" t="n">
        <v>46074</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22946-2025</t>
        </is>
      </c>
      <c r="B167" s="1" t="n">
        <v>45790.48229166667</v>
      </c>
      <c r="C167" s="1" t="n">
        <v>46074</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37461-2024</t>
        </is>
      </c>
      <c r="B168" s="1" t="n">
        <v>45540.72516203704</v>
      </c>
      <c r="C168" s="1" t="n">
        <v>46074</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25849-2025</t>
        </is>
      </c>
      <c r="B169" s="1" t="n">
        <v>45804</v>
      </c>
      <c r="C169" s="1" t="n">
        <v>46074</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25848-2025</t>
        </is>
      </c>
      <c r="B170" s="1" t="n">
        <v>45804</v>
      </c>
      <c r="C170" s="1" t="n">
        <v>46074</v>
      </c>
      <c r="D170" t="inlineStr">
        <is>
          <t>VÄSTRA GÖTALANDS LÄN</t>
        </is>
      </c>
      <c r="E170" t="inlineStr">
        <is>
          <t>ALE</t>
        </is>
      </c>
      <c r="G170" t="n">
        <v>1.1</v>
      </c>
      <c r="H170" t="n">
        <v>0</v>
      </c>
      <c r="I170" t="n">
        <v>0</v>
      </c>
      <c r="J170" t="n">
        <v>0</v>
      </c>
      <c r="K170" t="n">
        <v>0</v>
      </c>
      <c r="L170" t="n">
        <v>0</v>
      </c>
      <c r="M170" t="n">
        <v>0</v>
      </c>
      <c r="N170" t="n">
        <v>0</v>
      </c>
      <c r="O170" t="n">
        <v>0</v>
      </c>
      <c r="P170" t="n">
        <v>0</v>
      </c>
      <c r="Q170" t="n">
        <v>0</v>
      </c>
      <c r="R170" s="2" t="inlineStr"/>
    </row>
    <row r="171" ht="15" customHeight="1">
      <c r="A171" t="inlineStr">
        <is>
          <t>A 25840-2025</t>
        </is>
      </c>
      <c r="B171" s="1" t="n">
        <v>45804</v>
      </c>
      <c r="C171" s="1" t="n">
        <v>46074</v>
      </c>
      <c r="D171" t="inlineStr">
        <is>
          <t>VÄSTRA GÖTALANDS LÄN</t>
        </is>
      </c>
      <c r="E171" t="inlineStr">
        <is>
          <t>ALE</t>
        </is>
      </c>
      <c r="G171" t="n">
        <v>3.8</v>
      </c>
      <c r="H171" t="n">
        <v>0</v>
      </c>
      <c r="I171" t="n">
        <v>0</v>
      </c>
      <c r="J171" t="n">
        <v>0</v>
      </c>
      <c r="K171" t="n">
        <v>0</v>
      </c>
      <c r="L171" t="n">
        <v>0</v>
      </c>
      <c r="M171" t="n">
        <v>0</v>
      </c>
      <c r="N171" t="n">
        <v>0</v>
      </c>
      <c r="O171" t="n">
        <v>0</v>
      </c>
      <c r="P171" t="n">
        <v>0</v>
      </c>
      <c r="Q171" t="n">
        <v>0</v>
      </c>
      <c r="R171" s="2" t="inlineStr"/>
    </row>
    <row r="172" ht="15" customHeight="1">
      <c r="A172" t="inlineStr">
        <is>
          <t>A 18637-2023</t>
        </is>
      </c>
      <c r="B172" s="1" t="n">
        <v>45043</v>
      </c>
      <c r="C172" s="1" t="n">
        <v>46074</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c r="A173" t="inlineStr">
        <is>
          <t>A 59933-2023</t>
        </is>
      </c>
      <c r="B173" s="1" t="n">
        <v>45257</v>
      </c>
      <c r="C173" s="1" t="n">
        <v>46074</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2026-02-21T10:59:47Z</dcterms:created>
  <dcterms:modified xmlns:dcterms="http://purl.org/dc/terms/" xmlns:xsi="http://www.w3.org/2001/XMLSchema-instance" xsi:type="dcterms:W3CDTF">2026-02-21T10:59:47Z</dcterms:modified>
</cp:coreProperties>
</file>