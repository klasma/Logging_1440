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45363</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45363</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45363</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45363</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45363</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45363</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45363</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45363</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45363</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45363</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45363</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45363</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45363</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7903-2024</t>
        </is>
      </c>
      <c r="B15" s="1" t="n">
        <v>45350</v>
      </c>
      <c r="C15" s="1" t="n">
        <v>45363</v>
      </c>
      <c r="D15" t="inlineStr">
        <is>
          <t>VÄSTRA GÖTALANDS LÄN</t>
        </is>
      </c>
      <c r="E15" t="inlineStr">
        <is>
          <t>ALE</t>
        </is>
      </c>
      <c r="G15" t="n">
        <v>5.2</v>
      </c>
      <c r="H15" t="n">
        <v>3</v>
      </c>
      <c r="I15" t="n">
        <v>0</v>
      </c>
      <c r="J15" t="n">
        <v>2</v>
      </c>
      <c r="K15" t="n">
        <v>0</v>
      </c>
      <c r="L15" t="n">
        <v>0</v>
      </c>
      <c r="M15" t="n">
        <v>0</v>
      </c>
      <c r="N15" t="n">
        <v>0</v>
      </c>
      <c r="O15" t="n">
        <v>2</v>
      </c>
      <c r="P15" t="n">
        <v>0</v>
      </c>
      <c r="Q15" t="n">
        <v>3</v>
      </c>
      <c r="R15" s="2" t="inlineStr">
        <is>
          <t>Entita
Spillkråka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25432-2019</t>
        </is>
      </c>
      <c r="B16" s="1" t="n">
        <v>43606</v>
      </c>
      <c r="C16" s="1" t="n">
        <v>45363</v>
      </c>
      <c r="D16" t="inlineStr">
        <is>
          <t>VÄSTRA GÖTALANDS LÄN</t>
        </is>
      </c>
      <c r="E16" t="inlineStr">
        <is>
          <t>ALE</t>
        </is>
      </c>
      <c r="G16" t="n">
        <v>5</v>
      </c>
      <c r="H16" t="n">
        <v>0</v>
      </c>
      <c r="I16" t="n">
        <v>2</v>
      </c>
      <c r="J16" t="n">
        <v>0</v>
      </c>
      <c r="K16" t="n">
        <v>0</v>
      </c>
      <c r="L16" t="n">
        <v>0</v>
      </c>
      <c r="M16" t="n">
        <v>0</v>
      </c>
      <c r="N16" t="n">
        <v>0</v>
      </c>
      <c r="O16" t="n">
        <v>0</v>
      </c>
      <c r="P16" t="n">
        <v>0</v>
      </c>
      <c r="Q16" t="n">
        <v>2</v>
      </c>
      <c r="R16" s="2" t="inlineStr">
        <is>
          <t>Blåmossa
Klippfrullania</t>
        </is>
      </c>
      <c r="S16">
        <f>HYPERLINK("https://klasma.github.io/Logging_1440/artfynd/A 25432-2019 artfynd.xlsx", "A 25432-2019")</f>
        <v/>
      </c>
      <c r="T16">
        <f>HYPERLINK("https://klasma.github.io/Logging_1440/kartor/A 25432-2019 karta.png", "A 25432-2019")</f>
        <v/>
      </c>
      <c r="V16">
        <f>HYPERLINK("https://klasma.github.io/Logging_1440/klagomål/A 25432-2019 FSC-klagomål.docx", "A 25432-2019")</f>
        <v/>
      </c>
      <c r="W16">
        <f>HYPERLINK("https://klasma.github.io/Logging_1440/klagomålsmail/A 25432-2019 FSC-klagomål mail.docx", "A 25432-2019")</f>
        <v/>
      </c>
      <c r="X16">
        <f>HYPERLINK("https://klasma.github.io/Logging_1440/tillsyn/A 25432-2019 tillsynsbegäran.docx", "A 25432-2019")</f>
        <v/>
      </c>
      <c r="Y16">
        <f>HYPERLINK("https://klasma.github.io/Logging_1440/tillsynsmail/A 25432-2019 tillsynsbegäran mail.docx", "A 25432-2019")</f>
        <v/>
      </c>
    </row>
    <row r="17" ht="15" customHeight="1">
      <c r="A17" t="inlineStr">
        <is>
          <t>A 38382-2019</t>
        </is>
      </c>
      <c r="B17" s="1" t="n">
        <v>43685</v>
      </c>
      <c r="C17" s="1" t="n">
        <v>45363</v>
      </c>
      <c r="D17" t="inlineStr">
        <is>
          <t>VÄSTRA GÖTALANDS LÄN</t>
        </is>
      </c>
      <c r="E17" t="inlineStr">
        <is>
          <t>ALE</t>
        </is>
      </c>
      <c r="G17" t="n">
        <v>1.3</v>
      </c>
      <c r="H17" t="n">
        <v>2</v>
      </c>
      <c r="I17" t="n">
        <v>0</v>
      </c>
      <c r="J17" t="n">
        <v>1</v>
      </c>
      <c r="K17" t="n">
        <v>0</v>
      </c>
      <c r="L17" t="n">
        <v>0</v>
      </c>
      <c r="M17" t="n">
        <v>0</v>
      </c>
      <c r="N17" t="n">
        <v>0</v>
      </c>
      <c r="O17" t="n">
        <v>1</v>
      </c>
      <c r="P17" t="n">
        <v>0</v>
      </c>
      <c r="Q17" t="n">
        <v>2</v>
      </c>
      <c r="R17" s="2" t="inlineStr">
        <is>
          <t>Spillkråka
Revlummer</t>
        </is>
      </c>
      <c r="S17">
        <f>HYPERLINK("https://klasma.github.io/Logging_1440/artfynd/A 38382-2019 artfynd.xlsx", "A 38382-2019")</f>
        <v/>
      </c>
      <c r="T17">
        <f>HYPERLINK("https://klasma.github.io/Logging_1440/kartor/A 38382-2019 karta.png", "A 38382-2019")</f>
        <v/>
      </c>
      <c r="V17">
        <f>HYPERLINK("https://klasma.github.io/Logging_1440/klagomål/A 38382-2019 FSC-klagomål.docx", "A 38382-2019")</f>
        <v/>
      </c>
      <c r="W17">
        <f>HYPERLINK("https://klasma.github.io/Logging_1440/klagomålsmail/A 38382-2019 FSC-klagomål mail.docx", "A 38382-2019")</f>
        <v/>
      </c>
      <c r="X17">
        <f>HYPERLINK("https://klasma.github.io/Logging_1440/tillsyn/A 38382-2019 tillsynsbegäran.docx", "A 38382-2019")</f>
        <v/>
      </c>
      <c r="Y17">
        <f>HYPERLINK("https://klasma.github.io/Logging_1440/tillsynsmail/A 38382-2019 tillsynsbegäran mail.docx", "A 38382-2019")</f>
        <v/>
      </c>
      <c r="Z17">
        <f>HYPERLINK("https://klasma.github.io/Logging_1440/fåglar/A 38382-2019 prioriterade fågelarter.docx", "A 38382-2019")</f>
        <v/>
      </c>
    </row>
    <row r="18" ht="15" customHeight="1">
      <c r="A18" t="inlineStr">
        <is>
          <t>A 58954-2022</t>
        </is>
      </c>
      <c r="B18" s="1" t="n">
        <v>44903</v>
      </c>
      <c r="C18" s="1" t="n">
        <v>45363</v>
      </c>
      <c r="D18" t="inlineStr">
        <is>
          <t>VÄSTRA GÖTALANDS LÄN</t>
        </is>
      </c>
      <c r="E18" t="inlineStr">
        <is>
          <t>ALE</t>
        </is>
      </c>
      <c r="G18" t="n">
        <v>2.3</v>
      </c>
      <c r="H18" t="n">
        <v>1</v>
      </c>
      <c r="I18" t="n">
        <v>1</v>
      </c>
      <c r="J18" t="n">
        <v>1</v>
      </c>
      <c r="K18" t="n">
        <v>0</v>
      </c>
      <c r="L18" t="n">
        <v>0</v>
      </c>
      <c r="M18" t="n">
        <v>0</v>
      </c>
      <c r="N18" t="n">
        <v>0</v>
      </c>
      <c r="O18" t="n">
        <v>1</v>
      </c>
      <c r="P18" t="n">
        <v>0</v>
      </c>
      <c r="Q18" t="n">
        <v>2</v>
      </c>
      <c r="R18" s="2" t="inlineStr">
        <is>
          <t>Spillkråka
Västlig hakmossa</t>
        </is>
      </c>
      <c r="S18">
        <f>HYPERLINK("https://klasma.github.io/Logging_1440/artfynd/A 58954-2022 artfynd.xlsx", "A 58954-2022")</f>
        <v/>
      </c>
      <c r="T18">
        <f>HYPERLINK("https://klasma.github.io/Logging_1440/kartor/A 58954-2022 karta.png", "A 58954-2022")</f>
        <v/>
      </c>
      <c r="V18">
        <f>HYPERLINK("https://klasma.github.io/Logging_1440/klagomål/A 58954-2022 FSC-klagomål.docx", "A 58954-2022")</f>
        <v/>
      </c>
      <c r="W18">
        <f>HYPERLINK("https://klasma.github.io/Logging_1440/klagomålsmail/A 58954-2022 FSC-klagomål mail.docx", "A 58954-2022")</f>
        <v/>
      </c>
      <c r="X18">
        <f>HYPERLINK("https://klasma.github.io/Logging_1440/tillsyn/A 58954-2022 tillsynsbegäran.docx", "A 58954-2022")</f>
        <v/>
      </c>
      <c r="Y18">
        <f>HYPERLINK("https://klasma.github.io/Logging_1440/tillsynsmail/A 58954-2022 tillsynsbegäran mail.docx", "A 58954-2022")</f>
        <v/>
      </c>
      <c r="Z18">
        <f>HYPERLINK("https://klasma.github.io/Logging_1440/fåglar/A 58954-2022 prioriterade fågelarter.docx", "A 58954-2022")</f>
        <v/>
      </c>
    </row>
    <row r="19" ht="15" customHeight="1">
      <c r="A19" t="inlineStr">
        <is>
          <t>A 63569-2023</t>
        </is>
      </c>
      <c r="B19" s="1" t="n">
        <v>45275</v>
      </c>
      <c r="C19" s="1" t="n">
        <v>45363</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67849-2018</t>
        </is>
      </c>
      <c r="B20" s="1" t="n">
        <v>43440</v>
      </c>
      <c r="C20" s="1" t="n">
        <v>45363</v>
      </c>
      <c r="D20" t="inlineStr">
        <is>
          <t>VÄSTRA GÖTALANDS LÄN</t>
        </is>
      </c>
      <c r="E20" t="inlineStr">
        <is>
          <t>ALE</t>
        </is>
      </c>
      <c r="G20" t="n">
        <v>4</v>
      </c>
      <c r="H20" t="n">
        <v>0</v>
      </c>
      <c r="I20" t="n">
        <v>1</v>
      </c>
      <c r="J20" t="n">
        <v>0</v>
      </c>
      <c r="K20" t="n">
        <v>0</v>
      </c>
      <c r="L20" t="n">
        <v>0</v>
      </c>
      <c r="M20" t="n">
        <v>0</v>
      </c>
      <c r="N20" t="n">
        <v>0</v>
      </c>
      <c r="O20" t="n">
        <v>0</v>
      </c>
      <c r="P20" t="n">
        <v>0</v>
      </c>
      <c r="Q20" t="n">
        <v>1</v>
      </c>
      <c r="R20" s="2" t="inlineStr">
        <is>
          <t>Kambräken</t>
        </is>
      </c>
      <c r="S20">
        <f>HYPERLINK("https://klasma.github.io/Logging_1440/artfynd/A 67849-2018 artfynd.xlsx", "A 67849-2018")</f>
        <v/>
      </c>
      <c r="T20">
        <f>HYPERLINK("https://klasma.github.io/Logging_1440/kartor/A 67849-2018 karta.png", "A 67849-2018")</f>
        <v/>
      </c>
      <c r="V20">
        <f>HYPERLINK("https://klasma.github.io/Logging_1440/klagomål/A 67849-2018 FSC-klagomål.docx", "A 67849-2018")</f>
        <v/>
      </c>
      <c r="W20">
        <f>HYPERLINK("https://klasma.github.io/Logging_1440/klagomålsmail/A 67849-2018 FSC-klagomål mail.docx", "A 67849-2018")</f>
        <v/>
      </c>
      <c r="X20">
        <f>HYPERLINK("https://klasma.github.io/Logging_1440/tillsyn/A 67849-2018 tillsynsbegäran.docx", "A 67849-2018")</f>
        <v/>
      </c>
      <c r="Y20">
        <f>HYPERLINK("https://klasma.github.io/Logging_1440/tillsynsmail/A 67849-2018 tillsynsbegäran mail.docx", "A 67849-2018")</f>
        <v/>
      </c>
    </row>
    <row r="21" ht="15" customHeight="1">
      <c r="A21" t="inlineStr">
        <is>
          <t>A 25391-2019</t>
        </is>
      </c>
      <c r="B21" s="1" t="n">
        <v>43606</v>
      </c>
      <c r="C21" s="1" t="n">
        <v>45363</v>
      </c>
      <c r="D21" t="inlineStr">
        <is>
          <t>VÄSTRA GÖTALANDS LÄN</t>
        </is>
      </c>
      <c r="E21" t="inlineStr">
        <is>
          <t>ALE</t>
        </is>
      </c>
      <c r="G21" t="n">
        <v>10.1</v>
      </c>
      <c r="H21" t="n">
        <v>1</v>
      </c>
      <c r="I21" t="n">
        <v>0</v>
      </c>
      <c r="J21" t="n">
        <v>1</v>
      </c>
      <c r="K21" t="n">
        <v>0</v>
      </c>
      <c r="L21" t="n">
        <v>0</v>
      </c>
      <c r="M21" t="n">
        <v>0</v>
      </c>
      <c r="N21" t="n">
        <v>0</v>
      </c>
      <c r="O21" t="n">
        <v>1</v>
      </c>
      <c r="P21" t="n">
        <v>0</v>
      </c>
      <c r="Q21" t="n">
        <v>1</v>
      </c>
      <c r="R21" s="2" t="inlineStr">
        <is>
          <t>Kungsörn</t>
        </is>
      </c>
      <c r="S21">
        <f>HYPERLINK("https://klasma.github.io/Logging_1440/artfynd/A 25391-2019 artfynd.xlsx", "A 25391-2019")</f>
        <v/>
      </c>
      <c r="T21">
        <f>HYPERLINK("https://klasma.github.io/Logging_1440/kartor/A 25391-2019 karta.png", "A 25391-2019")</f>
        <v/>
      </c>
      <c r="V21">
        <f>HYPERLINK("https://klasma.github.io/Logging_1440/klagomål/A 25391-2019 FSC-klagomål.docx", "A 25391-2019")</f>
        <v/>
      </c>
      <c r="W21">
        <f>HYPERLINK("https://klasma.github.io/Logging_1440/klagomålsmail/A 25391-2019 FSC-klagomål mail.docx", "A 25391-2019")</f>
        <v/>
      </c>
      <c r="X21">
        <f>HYPERLINK("https://klasma.github.io/Logging_1440/tillsyn/A 25391-2019 tillsynsbegäran.docx", "A 25391-2019")</f>
        <v/>
      </c>
      <c r="Y21">
        <f>HYPERLINK("https://klasma.github.io/Logging_1440/tillsynsmail/A 25391-2019 tillsynsbegäran mail.docx", "A 25391-2019")</f>
        <v/>
      </c>
      <c r="Z21">
        <f>HYPERLINK("https://klasma.github.io/Logging_1440/fåglar/A 25391-2019 prioriterade fågelarter.docx", "A 25391-2019")</f>
        <v/>
      </c>
    </row>
    <row r="22" ht="15" customHeight="1">
      <c r="A22" t="inlineStr">
        <is>
          <t>A 53693-2019</t>
        </is>
      </c>
      <c r="B22" s="1" t="n">
        <v>43749</v>
      </c>
      <c r="C22" s="1" t="n">
        <v>45363</v>
      </c>
      <c r="D22" t="inlineStr">
        <is>
          <t>VÄSTRA GÖTALANDS LÄN</t>
        </is>
      </c>
      <c r="E22" t="inlineStr">
        <is>
          <t>ALE</t>
        </is>
      </c>
      <c r="G22" t="n">
        <v>11.2</v>
      </c>
      <c r="H22" t="n">
        <v>0</v>
      </c>
      <c r="I22" t="n">
        <v>1</v>
      </c>
      <c r="J22" t="n">
        <v>0</v>
      </c>
      <c r="K22" t="n">
        <v>0</v>
      </c>
      <c r="L22" t="n">
        <v>0</v>
      </c>
      <c r="M22" t="n">
        <v>0</v>
      </c>
      <c r="N22" t="n">
        <v>0</v>
      </c>
      <c r="O22" t="n">
        <v>0</v>
      </c>
      <c r="P22" t="n">
        <v>0</v>
      </c>
      <c r="Q22" t="n">
        <v>1</v>
      </c>
      <c r="R22" s="2" t="inlineStr">
        <is>
          <t>Havstulpanlav</t>
        </is>
      </c>
      <c r="S22">
        <f>HYPERLINK("https://klasma.github.io/Logging_1440/artfynd/A 53693-2019 artfynd.xlsx", "A 53693-2019")</f>
        <v/>
      </c>
      <c r="T22">
        <f>HYPERLINK("https://klasma.github.io/Logging_1440/kartor/A 53693-2019 karta.png", "A 53693-2019")</f>
        <v/>
      </c>
      <c r="V22">
        <f>HYPERLINK("https://klasma.github.io/Logging_1440/klagomål/A 53693-2019 FSC-klagomål.docx", "A 53693-2019")</f>
        <v/>
      </c>
      <c r="W22">
        <f>HYPERLINK("https://klasma.github.io/Logging_1440/klagomålsmail/A 53693-2019 FSC-klagomål mail.docx", "A 53693-2019")</f>
        <v/>
      </c>
      <c r="X22">
        <f>HYPERLINK("https://klasma.github.io/Logging_1440/tillsyn/A 53693-2019 tillsynsbegäran.docx", "A 53693-2019")</f>
        <v/>
      </c>
      <c r="Y22">
        <f>HYPERLINK("https://klasma.github.io/Logging_1440/tillsynsmail/A 53693-2019 tillsynsbegäran mail.docx", "A 53693-2019")</f>
        <v/>
      </c>
    </row>
    <row r="23" ht="15" customHeight="1">
      <c r="A23" t="inlineStr">
        <is>
          <t>A 23339-2023</t>
        </is>
      </c>
      <c r="B23" s="1" t="n">
        <v>45076</v>
      </c>
      <c r="C23" s="1" t="n">
        <v>45363</v>
      </c>
      <c r="D23" t="inlineStr">
        <is>
          <t>VÄSTRA GÖTALANDS LÄN</t>
        </is>
      </c>
      <c r="E23" t="inlineStr">
        <is>
          <t>ALE</t>
        </is>
      </c>
      <c r="G23" t="n">
        <v>7.4</v>
      </c>
      <c r="H23" t="n">
        <v>1</v>
      </c>
      <c r="I23" t="n">
        <v>0</v>
      </c>
      <c r="J23" t="n">
        <v>0</v>
      </c>
      <c r="K23" t="n">
        <v>0</v>
      </c>
      <c r="L23" t="n">
        <v>0</v>
      </c>
      <c r="M23" t="n">
        <v>0</v>
      </c>
      <c r="N23" t="n">
        <v>0</v>
      </c>
      <c r="O23" t="n">
        <v>0</v>
      </c>
      <c r="P23" t="n">
        <v>0</v>
      </c>
      <c r="Q23" t="n">
        <v>1</v>
      </c>
      <c r="R23" s="2" t="inlineStr">
        <is>
          <t>Revlummer</t>
        </is>
      </c>
      <c r="S23">
        <f>HYPERLINK("https://klasma.github.io/Logging_1440/artfynd/A 23339-2023 artfynd.xlsx", "A 23339-2023")</f>
        <v/>
      </c>
      <c r="T23">
        <f>HYPERLINK("https://klasma.github.io/Logging_1440/kartor/A 23339-2023 karta.png", "A 23339-2023")</f>
        <v/>
      </c>
      <c r="V23">
        <f>HYPERLINK("https://klasma.github.io/Logging_1440/klagomål/A 23339-2023 FSC-klagomål.docx", "A 23339-2023")</f>
        <v/>
      </c>
      <c r="W23">
        <f>HYPERLINK("https://klasma.github.io/Logging_1440/klagomålsmail/A 23339-2023 FSC-klagomål mail.docx", "A 23339-2023")</f>
        <v/>
      </c>
      <c r="X23">
        <f>HYPERLINK("https://klasma.github.io/Logging_1440/tillsyn/A 23339-2023 tillsynsbegäran.docx", "A 23339-2023")</f>
        <v/>
      </c>
      <c r="Y23">
        <f>HYPERLINK("https://klasma.github.io/Logging_1440/tillsynsmail/A 23339-2023 tillsynsbegäran mail.docx", "A 23339-2023")</f>
        <v/>
      </c>
    </row>
    <row r="24" ht="15" customHeight="1">
      <c r="A24" t="inlineStr">
        <is>
          <t>A 45010-2018</t>
        </is>
      </c>
      <c r="B24" s="1" t="n">
        <v>43361</v>
      </c>
      <c r="C24" s="1" t="n">
        <v>45363</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45363</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45363</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45363</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45363</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45363</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45363</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45363</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45363</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45363</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45363</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45363</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45363</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45363</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45363</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45363</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45363</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45363</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45363</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45363</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45363</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45363</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45363</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45363</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45363</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45363</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45363</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45363</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45363</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45363</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45363</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45363</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45363</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45363</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45363</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45363</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45363</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45363</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45363</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45363</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45363</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45363</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45363</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45363</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45363</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45363</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45363</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45363</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45363</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45363</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45363</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45363</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45363</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45363</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45363</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45363</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45363</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45363</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45363</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45363</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45363</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45363</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45363</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45363</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45363</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45363</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45363</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45363</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45363</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45363</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45363</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45363</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45363</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45363</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45363</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45363</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45363</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45363</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45363</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45363</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45363</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45363</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45363</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45363</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45363</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45363</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45363</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45363</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45363</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45363</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45363</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45363</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45363</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45363</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45363</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45363</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45363</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45363</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45363</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45363</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45363</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45363</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45363</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45363</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45363</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45363</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45363</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45363</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45363</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45363</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45363</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45363</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45363</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45363</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45363</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45363</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45363</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45363</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45363</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45363</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45363</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45363</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45363</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45363</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45363</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45363</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45363</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45363</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45363</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45363</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45363</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45363</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45363</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45363</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45363</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45363</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45363</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45363</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45363</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45363</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45363</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45363</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45363</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45363</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45363</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45363</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45363</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45363</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45363</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45363</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45363</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45363</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45363</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45363</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45363</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45363</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45363</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45363</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45363</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45363</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45363</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45363</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45363</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45363</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45363</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45363</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45363</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45363</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45363</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45363</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45363</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7906-2024</t>
        </is>
      </c>
      <c r="B195" s="1" t="n">
        <v>45350</v>
      </c>
      <c r="C195" s="1" t="n">
        <v>45363</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row r="196">
      <c r="A196" t="inlineStr">
        <is>
          <t>A 9045-2024</t>
        </is>
      </c>
      <c r="B196" s="1" t="n">
        <v>45357</v>
      </c>
      <c r="C196" s="1" t="n">
        <v>45363</v>
      </c>
      <c r="D196" t="inlineStr">
        <is>
          <t>VÄSTRA GÖTALANDS LÄN</t>
        </is>
      </c>
      <c r="E196" t="inlineStr">
        <is>
          <t>ALE</t>
        </is>
      </c>
      <c r="G196" t="n">
        <v>9.1</v>
      </c>
      <c r="H196" t="n">
        <v>0</v>
      </c>
      <c r="I196" t="n">
        <v>0</v>
      </c>
      <c r="J196" t="n">
        <v>0</v>
      </c>
      <c r="K196" t="n">
        <v>0</v>
      </c>
      <c r="L196" t="n">
        <v>0</v>
      </c>
      <c r="M196" t="n">
        <v>0</v>
      </c>
      <c r="N196" t="n">
        <v>0</v>
      </c>
      <c r="O196" t="n">
        <v>0</v>
      </c>
      <c r="P196" t="n">
        <v>0</v>
      </c>
      <c r="Q196" t="n">
        <v>0</v>
      </c>
      <c r="R1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2024-03-12T14:00:19Z</dcterms:created>
  <dcterms:modified xmlns:dcterms="http://purl.org/dc/terms/" xmlns:xsi="http://www.w3.org/2001/XMLSchema-instance" xsi:type="dcterms:W3CDTF">2024-03-12T14:00:19Z</dcterms:modified>
</cp:coreProperties>
</file>