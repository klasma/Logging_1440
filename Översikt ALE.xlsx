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45507</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45507</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45507</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45507</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45507</v>
      </c>
      <c r="D6" t="inlineStr">
        <is>
          <t>VÄSTRA GÖTALANDS LÄN</t>
        </is>
      </c>
      <c r="E6" t="inlineStr">
        <is>
          <t>ALE</t>
        </is>
      </c>
      <c r="G6" t="n">
        <v>9.1</v>
      </c>
      <c r="H6" t="n">
        <v>7</v>
      </c>
      <c r="I6" t="n">
        <v>5</v>
      </c>
      <c r="J6" t="n">
        <v>3</v>
      </c>
      <c r="K6" t="n">
        <v>0</v>
      </c>
      <c r="L6" t="n">
        <v>0</v>
      </c>
      <c r="M6" t="n">
        <v>0</v>
      </c>
      <c r="N6" t="n">
        <v>0</v>
      </c>
      <c r="O6" t="n">
        <v>3</v>
      </c>
      <c r="P6" t="n">
        <v>0</v>
      </c>
      <c r="Q6" t="n">
        <v>13</v>
      </c>
      <c r="R6" s="2" t="inlineStr">
        <is>
          <t>Grönhjon
Spillkråka
Talltita
Björksplintborre
Blåmossa
Klippfrullania
Stor revmossa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45507</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45507</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45507</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53693-2019</t>
        </is>
      </c>
      <c r="B10" s="1" t="n">
        <v>43749</v>
      </c>
      <c r="C10" s="1" t="n">
        <v>45507</v>
      </c>
      <c r="D10" t="inlineStr">
        <is>
          <t>VÄSTRA GÖTALANDS LÄN</t>
        </is>
      </c>
      <c r="E10" t="inlineStr">
        <is>
          <t>ALE</t>
        </is>
      </c>
      <c r="G10" t="n">
        <v>11.2</v>
      </c>
      <c r="H10" t="n">
        <v>4</v>
      </c>
      <c r="I10" t="n">
        <v>2</v>
      </c>
      <c r="J10" t="n">
        <v>2</v>
      </c>
      <c r="K10" t="n">
        <v>0</v>
      </c>
      <c r="L10" t="n">
        <v>0</v>
      </c>
      <c r="M10" t="n">
        <v>0</v>
      </c>
      <c r="N10" t="n">
        <v>0</v>
      </c>
      <c r="O10" t="n">
        <v>2</v>
      </c>
      <c r="P10" t="n">
        <v>0</v>
      </c>
      <c r="Q10" t="n">
        <v>7</v>
      </c>
      <c r="R10" s="2" t="inlineStr">
        <is>
          <t>Grönhjon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17566-2024</t>
        </is>
      </c>
      <c r="B11" s="1" t="n">
        <v>45415</v>
      </c>
      <c r="C11" s="1" t="n">
        <v>45507</v>
      </c>
      <c r="D11" t="inlineStr">
        <is>
          <t>VÄSTRA GÖTALANDS LÄN</t>
        </is>
      </c>
      <c r="E11" t="inlineStr">
        <is>
          <t>ALE</t>
        </is>
      </c>
      <c r="G11" t="n">
        <v>6.9</v>
      </c>
      <c r="H11" t="n">
        <v>5</v>
      </c>
      <c r="I11" t="n">
        <v>2</v>
      </c>
      <c r="J11" t="n">
        <v>2</v>
      </c>
      <c r="K11" t="n">
        <v>1</v>
      </c>
      <c r="L11" t="n">
        <v>0</v>
      </c>
      <c r="M11" t="n">
        <v>0</v>
      </c>
      <c r="N11" t="n">
        <v>0</v>
      </c>
      <c r="O11" t="n">
        <v>3</v>
      </c>
      <c r="P11" t="n">
        <v>1</v>
      </c>
      <c r="Q11" t="n">
        <v>7</v>
      </c>
      <c r="R11" s="2" t="inlineStr">
        <is>
          <t>Knärot
Spillkråka
Tretåig hackspett
Blåmossa
Västlig hakmossa
Kungsfågel
Revlummer</t>
        </is>
      </c>
      <c r="S11">
        <f>HYPERLINK("https://klasma.github.io/Logging_1440/artfynd/A 17566-2024 artfynd.xlsx", "A 17566-2024")</f>
        <v/>
      </c>
      <c r="T11">
        <f>HYPERLINK("https://klasma.github.io/Logging_1440/kartor/A 17566-2024 karta.png", "A 17566-2024")</f>
        <v/>
      </c>
      <c r="U11">
        <f>HYPERLINK("https://klasma.github.io/Logging_1440/knärot/A 17566-2024 karta knärot.png", "A 17566-2024")</f>
        <v/>
      </c>
      <c r="V11">
        <f>HYPERLINK("https://klasma.github.io/Logging_1440/klagomål/A 17566-2024 FSC-klagomål.docx", "A 17566-2024")</f>
        <v/>
      </c>
      <c r="W11">
        <f>HYPERLINK("https://klasma.github.io/Logging_1440/klagomålsmail/A 17566-2024 FSC-klagomål mail.docx", "A 17566-2024")</f>
        <v/>
      </c>
      <c r="X11">
        <f>HYPERLINK("https://klasma.github.io/Logging_1440/tillsyn/A 17566-2024 tillsynsbegäran.docx", "A 17566-2024")</f>
        <v/>
      </c>
      <c r="Y11">
        <f>HYPERLINK("https://klasma.github.io/Logging_1440/tillsynsmail/A 17566-2024 tillsynsbegäran mail.docx", "A 17566-2024")</f>
        <v/>
      </c>
      <c r="Z11">
        <f>HYPERLINK("https://klasma.github.io/Logging_1440/fåglar/A 17566-2024 prioriterade fågelarter.docx", "A 17566-2024")</f>
        <v/>
      </c>
    </row>
    <row r="12" ht="15" customHeight="1">
      <c r="A12" t="inlineStr">
        <is>
          <t>A 25436-2019</t>
        </is>
      </c>
      <c r="B12" s="1" t="n">
        <v>43606</v>
      </c>
      <c r="C12" s="1" t="n">
        <v>45507</v>
      </c>
      <c r="D12" t="inlineStr">
        <is>
          <t>VÄSTRA GÖTALANDS LÄN</t>
        </is>
      </c>
      <c r="E12" t="inlineStr">
        <is>
          <t>ALE</t>
        </is>
      </c>
      <c r="G12" t="n">
        <v>1.1</v>
      </c>
      <c r="H12" t="n">
        <v>2</v>
      </c>
      <c r="I12" t="n">
        <v>4</v>
      </c>
      <c r="J12" t="n">
        <v>2</v>
      </c>
      <c r="K12" t="n">
        <v>0</v>
      </c>
      <c r="L12" t="n">
        <v>0</v>
      </c>
      <c r="M12" t="n">
        <v>0</v>
      </c>
      <c r="N12" t="n">
        <v>0</v>
      </c>
      <c r="O12" t="n">
        <v>2</v>
      </c>
      <c r="P12" t="n">
        <v>0</v>
      </c>
      <c r="Q12" t="n">
        <v>6</v>
      </c>
      <c r="R12" s="2" t="inlineStr">
        <is>
          <t>Spillkråka
Talltita
Blåmossa
Havstulpanlav
Kattfotslav
Klippfrullania</t>
        </is>
      </c>
      <c r="S12">
        <f>HYPERLINK("https://klasma.github.io/Logging_1440/artfynd/A 25436-2019 artfynd.xlsx", "A 25436-2019")</f>
        <v/>
      </c>
      <c r="T12">
        <f>HYPERLINK("https://klasma.github.io/Logging_1440/kartor/A 25436-2019 karta.png", "A 25436-2019")</f>
        <v/>
      </c>
      <c r="V12">
        <f>HYPERLINK("https://klasma.github.io/Logging_1440/klagomål/A 25436-2019 FSC-klagomål.docx", "A 25436-2019")</f>
        <v/>
      </c>
      <c r="W12">
        <f>HYPERLINK("https://klasma.github.io/Logging_1440/klagomålsmail/A 25436-2019 FSC-klagomål mail.docx", "A 25436-2019")</f>
        <v/>
      </c>
      <c r="X12">
        <f>HYPERLINK("https://klasma.github.io/Logging_1440/tillsyn/A 25436-2019 tillsynsbegäran.docx", "A 25436-2019")</f>
        <v/>
      </c>
      <c r="Y12">
        <f>HYPERLINK("https://klasma.github.io/Logging_1440/tillsynsmail/A 25436-2019 tillsynsbegäran mail.docx", "A 25436-2019")</f>
        <v/>
      </c>
      <c r="Z12">
        <f>HYPERLINK("https://klasma.github.io/Logging_1440/fåglar/A 25436-2019 prioriterade fågelarter.docx", "A 25436-2019")</f>
        <v/>
      </c>
    </row>
    <row r="13" ht="15" customHeight="1">
      <c r="A13" t="inlineStr">
        <is>
          <t>A 40983-2023</t>
        </is>
      </c>
      <c r="B13" s="1" t="n">
        <v>45173</v>
      </c>
      <c r="C13" s="1" t="n">
        <v>45507</v>
      </c>
      <c r="D13" t="inlineStr">
        <is>
          <t>VÄSTRA GÖTALANDS LÄN</t>
        </is>
      </c>
      <c r="E13" t="inlineStr">
        <is>
          <t>ALE</t>
        </is>
      </c>
      <c r="F13" t="inlineStr">
        <is>
          <t>Kyrkan</t>
        </is>
      </c>
      <c r="G13" t="n">
        <v>12.6</v>
      </c>
      <c r="H13" t="n">
        <v>2</v>
      </c>
      <c r="I13" t="n">
        <v>3</v>
      </c>
      <c r="J13" t="n">
        <v>3</v>
      </c>
      <c r="K13" t="n">
        <v>0</v>
      </c>
      <c r="L13" t="n">
        <v>0</v>
      </c>
      <c r="M13" t="n">
        <v>0</v>
      </c>
      <c r="N13" t="n">
        <v>0</v>
      </c>
      <c r="O13" t="n">
        <v>3</v>
      </c>
      <c r="P13" t="n">
        <v>0</v>
      </c>
      <c r="Q13" t="n">
        <v>6</v>
      </c>
      <c r="R13" s="2" t="inlineStr">
        <is>
          <t>Kortskaftad ärgspik
Spillkråka
Talltita
Klippfrullania
Rostfläck
Rävticka</t>
        </is>
      </c>
      <c r="S13">
        <f>HYPERLINK("https://klasma.github.io/Logging_1440/artfynd/A 40983-2023 artfynd.xlsx", "A 40983-2023")</f>
        <v/>
      </c>
      <c r="T13">
        <f>HYPERLINK("https://klasma.github.io/Logging_1440/kartor/A 40983-2023 karta.png", "A 40983-2023")</f>
        <v/>
      </c>
      <c r="V13">
        <f>HYPERLINK("https://klasma.github.io/Logging_1440/klagomål/A 40983-2023 FSC-klagomål.docx", "A 40983-2023")</f>
        <v/>
      </c>
      <c r="W13">
        <f>HYPERLINK("https://klasma.github.io/Logging_1440/klagomålsmail/A 40983-2023 FSC-klagomål mail.docx", "A 40983-2023")</f>
        <v/>
      </c>
      <c r="X13">
        <f>HYPERLINK("https://klasma.github.io/Logging_1440/tillsyn/A 40983-2023 tillsynsbegäran.docx", "A 40983-2023")</f>
        <v/>
      </c>
      <c r="Y13">
        <f>HYPERLINK("https://klasma.github.io/Logging_1440/tillsynsmail/A 40983-2023 tillsynsbegäran mail.docx", "A 40983-2023")</f>
        <v/>
      </c>
      <c r="Z13">
        <f>HYPERLINK("https://klasma.github.io/Logging_1440/fåglar/A 40983-2023 prioriterade fågelarter.docx", "A 40983-2023")</f>
        <v/>
      </c>
    </row>
    <row r="14" ht="15" customHeight="1">
      <c r="A14" t="inlineStr">
        <is>
          <t>A 563-2024</t>
        </is>
      </c>
      <c r="B14" s="1" t="n">
        <v>45299</v>
      </c>
      <c r="C14" s="1" t="n">
        <v>45507</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45507</v>
      </c>
      <c r="D15" t="inlineStr">
        <is>
          <t>VÄSTRA GÖTALANDS LÄN</t>
        </is>
      </c>
      <c r="E15" t="inlineStr">
        <is>
          <t>ALE</t>
        </is>
      </c>
      <c r="G15" t="n">
        <v>5.2</v>
      </c>
      <c r="H15" t="n">
        <v>4</v>
      </c>
      <c r="I15" t="n">
        <v>1</v>
      </c>
      <c r="J15" t="n">
        <v>3</v>
      </c>
      <c r="K15" t="n">
        <v>0</v>
      </c>
      <c r="L15" t="n">
        <v>0</v>
      </c>
      <c r="M15" t="n">
        <v>0</v>
      </c>
      <c r="N15" t="n">
        <v>0</v>
      </c>
      <c r="O15" t="n">
        <v>3</v>
      </c>
      <c r="P15" t="n">
        <v>0</v>
      </c>
      <c r="Q15" t="n">
        <v>5</v>
      </c>
      <c r="R15" s="2" t="inlineStr">
        <is>
          <t>Entita
Spillkråka
Talltita
Björksplintborre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7906-2024</t>
        </is>
      </c>
      <c r="B16" s="1" t="n">
        <v>45350</v>
      </c>
      <c r="C16" s="1" t="n">
        <v>45507</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45507</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45507</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45507</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45507</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45507</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45507</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45507</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45507</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45507</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45507</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8431-2022</t>
        </is>
      </c>
      <c r="B27" s="1" t="n">
        <v>44611</v>
      </c>
      <c r="C27" s="1" t="n">
        <v>45507</v>
      </c>
      <c r="D27" t="inlineStr">
        <is>
          <t>VÄSTRA GÖTALANDS LÄN</t>
        </is>
      </c>
      <c r="E27" t="inlineStr">
        <is>
          <t>ALE</t>
        </is>
      </c>
      <c r="G27" t="n">
        <v>2.7</v>
      </c>
      <c r="H27" t="n">
        <v>0</v>
      </c>
      <c r="I27" t="n">
        <v>1</v>
      </c>
      <c r="J27" t="n">
        <v>0</v>
      </c>
      <c r="K27" t="n">
        <v>0</v>
      </c>
      <c r="L27" t="n">
        <v>0</v>
      </c>
      <c r="M27" t="n">
        <v>0</v>
      </c>
      <c r="N27" t="n">
        <v>0</v>
      </c>
      <c r="O27" t="n">
        <v>0</v>
      </c>
      <c r="P27" t="n">
        <v>0</v>
      </c>
      <c r="Q27" t="n">
        <v>1</v>
      </c>
      <c r="R27" s="2" t="inlineStr">
        <is>
          <t>Havstulpanlav</t>
        </is>
      </c>
      <c r="S27">
        <f>HYPERLINK("https://klasma.github.io/Logging_1440/artfynd/A 8431-2022 artfynd.xlsx", "A 8431-2022")</f>
        <v/>
      </c>
      <c r="T27">
        <f>HYPERLINK("https://klasma.github.io/Logging_1440/kartor/A 8431-2022 karta.png", "A 8431-2022")</f>
        <v/>
      </c>
      <c r="V27">
        <f>HYPERLINK("https://klasma.github.io/Logging_1440/klagomål/A 8431-2022 FSC-klagomål.docx", "A 8431-2022")</f>
        <v/>
      </c>
      <c r="W27">
        <f>HYPERLINK("https://klasma.github.io/Logging_1440/klagomålsmail/A 8431-2022 FSC-klagomål mail.docx", "A 8431-2022")</f>
        <v/>
      </c>
      <c r="X27">
        <f>HYPERLINK("https://klasma.github.io/Logging_1440/tillsyn/A 8431-2022 tillsynsbegäran.docx", "A 8431-2022")</f>
        <v/>
      </c>
      <c r="Y27">
        <f>HYPERLINK("https://klasma.github.io/Logging_1440/tillsynsmail/A 8431-2022 tillsynsbegäran mail.docx", "A 8431-2022")</f>
        <v/>
      </c>
    </row>
    <row r="28" ht="15" customHeight="1">
      <c r="A28" t="inlineStr">
        <is>
          <t>A 8432-2022</t>
        </is>
      </c>
      <c r="B28" s="1" t="n">
        <v>44611</v>
      </c>
      <c r="C28" s="1" t="n">
        <v>45507</v>
      </c>
      <c r="D28" t="inlineStr">
        <is>
          <t>VÄSTRA GÖTALANDS LÄN</t>
        </is>
      </c>
      <c r="E28" t="inlineStr">
        <is>
          <t>ALE</t>
        </is>
      </c>
      <c r="G28" t="n">
        <v>1.7</v>
      </c>
      <c r="H28" t="n">
        <v>1</v>
      </c>
      <c r="I28" t="n">
        <v>0</v>
      </c>
      <c r="J28" t="n">
        <v>0</v>
      </c>
      <c r="K28" t="n">
        <v>0</v>
      </c>
      <c r="L28" t="n">
        <v>0</v>
      </c>
      <c r="M28" t="n">
        <v>0</v>
      </c>
      <c r="N28" t="n">
        <v>0</v>
      </c>
      <c r="O28" t="n">
        <v>0</v>
      </c>
      <c r="P28" t="n">
        <v>0</v>
      </c>
      <c r="Q28" t="n">
        <v>1</v>
      </c>
      <c r="R28" s="2" t="inlineStr">
        <is>
          <t>Gröngöling</t>
        </is>
      </c>
      <c r="S28">
        <f>HYPERLINK("https://klasma.github.io/Logging_1440/artfynd/A 8432-2022 artfynd.xlsx", "A 8432-2022")</f>
        <v/>
      </c>
      <c r="T28">
        <f>HYPERLINK("https://klasma.github.io/Logging_1440/kartor/A 8432-2022 karta.png", "A 8432-2022")</f>
        <v/>
      </c>
      <c r="V28">
        <f>HYPERLINK("https://klasma.github.io/Logging_1440/klagomål/A 8432-2022 FSC-klagomål.docx", "A 8432-2022")</f>
        <v/>
      </c>
      <c r="W28">
        <f>HYPERLINK("https://klasma.github.io/Logging_1440/klagomålsmail/A 8432-2022 FSC-klagomål mail.docx", "A 8432-2022")</f>
        <v/>
      </c>
      <c r="X28">
        <f>HYPERLINK("https://klasma.github.io/Logging_1440/tillsyn/A 8432-2022 tillsynsbegäran.docx", "A 8432-2022")</f>
        <v/>
      </c>
      <c r="Y28">
        <f>HYPERLINK("https://klasma.github.io/Logging_1440/tillsynsmail/A 8432-2022 tillsynsbegäran mail.docx", "A 8432-2022")</f>
        <v/>
      </c>
      <c r="Z28">
        <f>HYPERLINK("https://klasma.github.io/Logging_1440/fåglar/A 8432-2022 prioriterade fågelarter.docx", "A 8432-2022")</f>
        <v/>
      </c>
    </row>
    <row r="29" ht="15" customHeight="1">
      <c r="A29" t="inlineStr">
        <is>
          <t>A 23339-2023</t>
        </is>
      </c>
      <c r="B29" s="1" t="n">
        <v>45076</v>
      </c>
      <c r="C29" s="1" t="n">
        <v>45507</v>
      </c>
      <c r="D29" t="inlineStr">
        <is>
          <t>VÄSTRA GÖTALANDS LÄN</t>
        </is>
      </c>
      <c r="E29" t="inlineStr">
        <is>
          <t>ALE</t>
        </is>
      </c>
      <c r="G29" t="n">
        <v>7.4</v>
      </c>
      <c r="H29" t="n">
        <v>1</v>
      </c>
      <c r="I29" t="n">
        <v>0</v>
      </c>
      <c r="J29" t="n">
        <v>0</v>
      </c>
      <c r="K29" t="n">
        <v>0</v>
      </c>
      <c r="L29" t="n">
        <v>0</v>
      </c>
      <c r="M29" t="n">
        <v>0</v>
      </c>
      <c r="N29" t="n">
        <v>0</v>
      </c>
      <c r="O29" t="n">
        <v>0</v>
      </c>
      <c r="P29" t="n">
        <v>0</v>
      </c>
      <c r="Q29" t="n">
        <v>1</v>
      </c>
      <c r="R29" s="2" t="inlineStr">
        <is>
          <t>Revlummer</t>
        </is>
      </c>
      <c r="S29">
        <f>HYPERLINK("https://klasma.github.io/Logging_1440/artfynd/A 23339-2023 artfynd.xlsx", "A 23339-2023")</f>
        <v/>
      </c>
      <c r="T29">
        <f>HYPERLINK("https://klasma.github.io/Logging_1440/kartor/A 23339-2023 karta.png", "A 23339-2023")</f>
        <v/>
      </c>
      <c r="V29">
        <f>HYPERLINK("https://klasma.github.io/Logging_1440/klagomål/A 23339-2023 FSC-klagomål.docx", "A 23339-2023")</f>
        <v/>
      </c>
      <c r="W29">
        <f>HYPERLINK("https://klasma.github.io/Logging_1440/klagomålsmail/A 23339-2023 FSC-klagomål mail.docx", "A 23339-2023")</f>
        <v/>
      </c>
      <c r="X29">
        <f>HYPERLINK("https://klasma.github.io/Logging_1440/tillsyn/A 23339-2023 tillsynsbegäran.docx", "A 23339-2023")</f>
        <v/>
      </c>
      <c r="Y29">
        <f>HYPERLINK("https://klasma.github.io/Logging_1440/tillsynsmail/A 23339-2023 tillsynsbegäran mail.docx", "A 23339-2023")</f>
        <v/>
      </c>
    </row>
    <row r="30" ht="15" customHeight="1">
      <c r="A30" t="inlineStr">
        <is>
          <t>A 26493-2024</t>
        </is>
      </c>
      <c r="B30" s="1" t="n">
        <v>45469</v>
      </c>
      <c r="C30" s="1" t="n">
        <v>45507</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22015-2019</t>
        </is>
      </c>
      <c r="B31" s="1" t="n">
        <v>43584</v>
      </c>
      <c r="C31" s="1" t="n">
        <v>45507</v>
      </c>
      <c r="D31" t="inlineStr">
        <is>
          <t>VÄSTRA GÖTALANDS LÄN</t>
        </is>
      </c>
      <c r="E31" t="inlineStr">
        <is>
          <t>ALE</t>
        </is>
      </c>
      <c r="G31" t="n">
        <v>1.6</v>
      </c>
      <c r="H31" t="n">
        <v>0</v>
      </c>
      <c r="I31" t="n">
        <v>0</v>
      </c>
      <c r="J31" t="n">
        <v>0</v>
      </c>
      <c r="K31" t="n">
        <v>0</v>
      </c>
      <c r="L31" t="n">
        <v>0</v>
      </c>
      <c r="M31" t="n">
        <v>0</v>
      </c>
      <c r="N31" t="n">
        <v>0</v>
      </c>
      <c r="O31" t="n">
        <v>0</v>
      </c>
      <c r="P31" t="n">
        <v>0</v>
      </c>
      <c r="Q31" t="n">
        <v>0</v>
      </c>
      <c r="R31" s="2" t="inlineStr"/>
    </row>
    <row r="32" ht="15" customHeight="1">
      <c r="A32" t="inlineStr">
        <is>
          <t>A 50538-2019</t>
        </is>
      </c>
      <c r="B32" s="1" t="n">
        <v>43735</v>
      </c>
      <c r="C32" s="1" t="n">
        <v>45507</v>
      </c>
      <c r="D32" t="inlineStr">
        <is>
          <t>VÄSTRA GÖTALANDS LÄN</t>
        </is>
      </c>
      <c r="E32" t="inlineStr">
        <is>
          <t>ALE</t>
        </is>
      </c>
      <c r="G32" t="n">
        <v>10.9</v>
      </c>
      <c r="H32" t="n">
        <v>0</v>
      </c>
      <c r="I32" t="n">
        <v>0</v>
      </c>
      <c r="J32" t="n">
        <v>0</v>
      </c>
      <c r="K32" t="n">
        <v>0</v>
      </c>
      <c r="L32" t="n">
        <v>0</v>
      </c>
      <c r="M32" t="n">
        <v>0</v>
      </c>
      <c r="N32" t="n">
        <v>0</v>
      </c>
      <c r="O32" t="n">
        <v>0</v>
      </c>
      <c r="P32" t="n">
        <v>0</v>
      </c>
      <c r="Q32" t="n">
        <v>0</v>
      </c>
      <c r="R32" s="2" t="inlineStr"/>
    </row>
    <row r="33" ht="15" customHeight="1">
      <c r="A33" t="inlineStr">
        <is>
          <t>A 59735-2019</t>
        </is>
      </c>
      <c r="B33" s="1" t="n">
        <v>43776</v>
      </c>
      <c r="C33" s="1" t="n">
        <v>45507</v>
      </c>
      <c r="D33" t="inlineStr">
        <is>
          <t>VÄSTRA GÖTALANDS LÄN</t>
        </is>
      </c>
      <c r="E33" t="inlineStr">
        <is>
          <t>ALE</t>
        </is>
      </c>
      <c r="G33" t="n">
        <v>2</v>
      </c>
      <c r="H33" t="n">
        <v>0</v>
      </c>
      <c r="I33" t="n">
        <v>0</v>
      </c>
      <c r="J33" t="n">
        <v>0</v>
      </c>
      <c r="K33" t="n">
        <v>0</v>
      </c>
      <c r="L33" t="n">
        <v>0</v>
      </c>
      <c r="M33" t="n">
        <v>0</v>
      </c>
      <c r="N33" t="n">
        <v>0</v>
      </c>
      <c r="O33" t="n">
        <v>0</v>
      </c>
      <c r="P33" t="n">
        <v>0</v>
      </c>
      <c r="Q33" t="n">
        <v>0</v>
      </c>
      <c r="R33" s="2" t="inlineStr"/>
    </row>
    <row r="34" ht="15" customHeight="1">
      <c r="A34" t="inlineStr">
        <is>
          <t>A 60395-2019</t>
        </is>
      </c>
      <c r="B34" s="1" t="n">
        <v>43780</v>
      </c>
      <c r="C34" s="1" t="n">
        <v>45507</v>
      </c>
      <c r="D34" t="inlineStr">
        <is>
          <t>VÄSTRA GÖTALANDS LÄN</t>
        </is>
      </c>
      <c r="E34" t="inlineStr">
        <is>
          <t>ALE</t>
        </is>
      </c>
      <c r="F34" t="inlineStr">
        <is>
          <t>Kommuner</t>
        </is>
      </c>
      <c r="G34" t="n">
        <v>1.7</v>
      </c>
      <c r="H34" t="n">
        <v>0</v>
      </c>
      <c r="I34" t="n">
        <v>0</v>
      </c>
      <c r="J34" t="n">
        <v>0</v>
      </c>
      <c r="K34" t="n">
        <v>0</v>
      </c>
      <c r="L34" t="n">
        <v>0</v>
      </c>
      <c r="M34" t="n">
        <v>0</v>
      </c>
      <c r="N34" t="n">
        <v>0</v>
      </c>
      <c r="O34" t="n">
        <v>0</v>
      </c>
      <c r="P34" t="n">
        <v>0</v>
      </c>
      <c r="Q34" t="n">
        <v>0</v>
      </c>
      <c r="R34" s="2" t="inlineStr"/>
    </row>
    <row r="35" ht="15" customHeight="1">
      <c r="A35" t="inlineStr">
        <is>
          <t>A 60379-2019</t>
        </is>
      </c>
      <c r="B35" s="1" t="n">
        <v>43780</v>
      </c>
      <c r="C35" s="1" t="n">
        <v>45507</v>
      </c>
      <c r="D35" t="inlineStr">
        <is>
          <t>VÄSTRA GÖTALANDS LÄN</t>
        </is>
      </c>
      <c r="E35" t="inlineStr">
        <is>
          <t>ALE</t>
        </is>
      </c>
      <c r="F35" t="inlineStr">
        <is>
          <t>Kommuner</t>
        </is>
      </c>
      <c r="G35" t="n">
        <v>1.1</v>
      </c>
      <c r="H35" t="n">
        <v>0</v>
      </c>
      <c r="I35" t="n">
        <v>0</v>
      </c>
      <c r="J35" t="n">
        <v>0</v>
      </c>
      <c r="K35" t="n">
        <v>0</v>
      </c>
      <c r="L35" t="n">
        <v>0</v>
      </c>
      <c r="M35" t="n">
        <v>0</v>
      </c>
      <c r="N35" t="n">
        <v>0</v>
      </c>
      <c r="O35" t="n">
        <v>0</v>
      </c>
      <c r="P35" t="n">
        <v>0</v>
      </c>
      <c r="Q35" t="n">
        <v>0</v>
      </c>
      <c r="R35" s="2" t="inlineStr"/>
    </row>
    <row r="36" ht="15" customHeight="1">
      <c r="A36" t="inlineStr">
        <is>
          <t>A 60679-2019</t>
        </is>
      </c>
      <c r="B36" s="1" t="n">
        <v>43781</v>
      </c>
      <c r="C36" s="1" t="n">
        <v>45507</v>
      </c>
      <c r="D36" t="inlineStr">
        <is>
          <t>VÄSTRA GÖTALANDS LÄN</t>
        </is>
      </c>
      <c r="E36" t="inlineStr">
        <is>
          <t>ALE</t>
        </is>
      </c>
      <c r="G36" t="n">
        <v>1.8</v>
      </c>
      <c r="H36" t="n">
        <v>0</v>
      </c>
      <c r="I36" t="n">
        <v>0</v>
      </c>
      <c r="J36" t="n">
        <v>0</v>
      </c>
      <c r="K36" t="n">
        <v>0</v>
      </c>
      <c r="L36" t="n">
        <v>0</v>
      </c>
      <c r="M36" t="n">
        <v>0</v>
      </c>
      <c r="N36" t="n">
        <v>0</v>
      </c>
      <c r="O36" t="n">
        <v>0</v>
      </c>
      <c r="P36" t="n">
        <v>0</v>
      </c>
      <c r="Q36" t="n">
        <v>0</v>
      </c>
      <c r="R36" s="2" t="inlineStr"/>
    </row>
    <row r="37" ht="15" customHeight="1">
      <c r="A37" t="inlineStr">
        <is>
          <t>A 62130-2019</t>
        </is>
      </c>
      <c r="B37" s="1" t="n">
        <v>43787</v>
      </c>
      <c r="C37" s="1" t="n">
        <v>45507</v>
      </c>
      <c r="D37" t="inlineStr">
        <is>
          <t>VÄSTRA GÖTALANDS LÄN</t>
        </is>
      </c>
      <c r="E37" t="inlineStr">
        <is>
          <t>ALE</t>
        </is>
      </c>
      <c r="G37" t="n">
        <v>4.3</v>
      </c>
      <c r="H37" t="n">
        <v>0</v>
      </c>
      <c r="I37" t="n">
        <v>0</v>
      </c>
      <c r="J37" t="n">
        <v>0</v>
      </c>
      <c r="K37" t="n">
        <v>0</v>
      </c>
      <c r="L37" t="n">
        <v>0</v>
      </c>
      <c r="M37" t="n">
        <v>0</v>
      </c>
      <c r="N37" t="n">
        <v>0</v>
      </c>
      <c r="O37" t="n">
        <v>0</v>
      </c>
      <c r="P37" t="n">
        <v>0</v>
      </c>
      <c r="Q37" t="n">
        <v>0</v>
      </c>
      <c r="R37" s="2" t="inlineStr"/>
    </row>
    <row r="38" ht="15" customHeight="1">
      <c r="A38" t="inlineStr">
        <is>
          <t>A 377-2020</t>
        </is>
      </c>
      <c r="B38" s="1" t="n">
        <v>43837</v>
      </c>
      <c r="C38" s="1" t="n">
        <v>45507</v>
      </c>
      <c r="D38" t="inlineStr">
        <is>
          <t>VÄSTRA GÖTALANDS LÄN</t>
        </is>
      </c>
      <c r="E38" t="inlineStr">
        <is>
          <t>ALE</t>
        </is>
      </c>
      <c r="G38" t="n">
        <v>2.6</v>
      </c>
      <c r="H38" t="n">
        <v>0</v>
      </c>
      <c r="I38" t="n">
        <v>0</v>
      </c>
      <c r="J38" t="n">
        <v>0</v>
      </c>
      <c r="K38" t="n">
        <v>0</v>
      </c>
      <c r="L38" t="n">
        <v>0</v>
      </c>
      <c r="M38" t="n">
        <v>0</v>
      </c>
      <c r="N38" t="n">
        <v>0</v>
      </c>
      <c r="O38" t="n">
        <v>0</v>
      </c>
      <c r="P38" t="n">
        <v>0</v>
      </c>
      <c r="Q38" t="n">
        <v>0</v>
      </c>
      <c r="R38" s="2" t="inlineStr"/>
    </row>
    <row r="39" ht="15" customHeight="1">
      <c r="A39" t="inlineStr">
        <is>
          <t>A 2843-2020</t>
        </is>
      </c>
      <c r="B39" s="1" t="n">
        <v>43850</v>
      </c>
      <c r="C39" s="1" t="n">
        <v>45507</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4879-2020</t>
        </is>
      </c>
      <c r="B40" s="1" t="n">
        <v>43859</v>
      </c>
      <c r="C40" s="1" t="n">
        <v>45507</v>
      </c>
      <c r="D40" t="inlineStr">
        <is>
          <t>VÄSTRA GÖTALANDS LÄN</t>
        </is>
      </c>
      <c r="E40" t="inlineStr">
        <is>
          <t>ALE</t>
        </is>
      </c>
      <c r="G40" t="n">
        <v>3.1</v>
      </c>
      <c r="H40" t="n">
        <v>0</v>
      </c>
      <c r="I40" t="n">
        <v>0</v>
      </c>
      <c r="J40" t="n">
        <v>0</v>
      </c>
      <c r="K40" t="n">
        <v>0</v>
      </c>
      <c r="L40" t="n">
        <v>0</v>
      </c>
      <c r="M40" t="n">
        <v>0</v>
      </c>
      <c r="N40" t="n">
        <v>0</v>
      </c>
      <c r="O40" t="n">
        <v>0</v>
      </c>
      <c r="P40" t="n">
        <v>0</v>
      </c>
      <c r="Q40" t="n">
        <v>0</v>
      </c>
      <c r="R40" s="2" t="inlineStr"/>
    </row>
    <row r="41" ht="15" customHeight="1">
      <c r="A41" t="inlineStr">
        <is>
          <t>A 7706-2020</t>
        </is>
      </c>
      <c r="B41" s="1" t="n">
        <v>43872</v>
      </c>
      <c r="C41" s="1" t="n">
        <v>45507</v>
      </c>
      <c r="D41" t="inlineStr">
        <is>
          <t>VÄSTRA GÖTALANDS LÄN</t>
        </is>
      </c>
      <c r="E41" t="inlineStr">
        <is>
          <t>ALE</t>
        </is>
      </c>
      <c r="G41" t="n">
        <v>1.2</v>
      </c>
      <c r="H41" t="n">
        <v>0</v>
      </c>
      <c r="I41" t="n">
        <v>0</v>
      </c>
      <c r="J41" t="n">
        <v>0</v>
      </c>
      <c r="K41" t="n">
        <v>0</v>
      </c>
      <c r="L41" t="n">
        <v>0</v>
      </c>
      <c r="M41" t="n">
        <v>0</v>
      </c>
      <c r="N41" t="n">
        <v>0</v>
      </c>
      <c r="O41" t="n">
        <v>0</v>
      </c>
      <c r="P41" t="n">
        <v>0</v>
      </c>
      <c r="Q41" t="n">
        <v>0</v>
      </c>
      <c r="R41" s="2" t="inlineStr"/>
    </row>
    <row r="42" ht="15" customHeight="1">
      <c r="A42" t="inlineStr">
        <is>
          <t>A 7804-2020</t>
        </is>
      </c>
      <c r="B42" s="1" t="n">
        <v>43873</v>
      </c>
      <c r="C42" s="1" t="n">
        <v>45507</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9154-2020</t>
        </is>
      </c>
      <c r="B43" s="1" t="n">
        <v>43879</v>
      </c>
      <c r="C43" s="1" t="n">
        <v>45507</v>
      </c>
      <c r="D43" t="inlineStr">
        <is>
          <t>VÄSTRA GÖTALANDS LÄN</t>
        </is>
      </c>
      <c r="E43" t="inlineStr">
        <is>
          <t>ALE</t>
        </is>
      </c>
      <c r="G43" t="n">
        <v>2.7</v>
      </c>
      <c r="H43" t="n">
        <v>0</v>
      </c>
      <c r="I43" t="n">
        <v>0</v>
      </c>
      <c r="J43" t="n">
        <v>0</v>
      </c>
      <c r="K43" t="n">
        <v>0</v>
      </c>
      <c r="L43" t="n">
        <v>0</v>
      </c>
      <c r="M43" t="n">
        <v>0</v>
      </c>
      <c r="N43" t="n">
        <v>0</v>
      </c>
      <c r="O43" t="n">
        <v>0</v>
      </c>
      <c r="P43" t="n">
        <v>0</v>
      </c>
      <c r="Q43" t="n">
        <v>0</v>
      </c>
      <c r="R43" s="2" t="inlineStr"/>
    </row>
    <row r="44" ht="15" customHeight="1">
      <c r="A44" t="inlineStr">
        <is>
          <t>A 10079-2020</t>
        </is>
      </c>
      <c r="B44" s="1" t="n">
        <v>43886</v>
      </c>
      <c r="C44" s="1" t="n">
        <v>45507</v>
      </c>
      <c r="D44" t="inlineStr">
        <is>
          <t>VÄSTRA GÖTALANDS LÄN</t>
        </is>
      </c>
      <c r="E44" t="inlineStr">
        <is>
          <t>ALE</t>
        </is>
      </c>
      <c r="G44" t="n">
        <v>1</v>
      </c>
      <c r="H44" t="n">
        <v>0</v>
      </c>
      <c r="I44" t="n">
        <v>0</v>
      </c>
      <c r="J44" t="n">
        <v>0</v>
      </c>
      <c r="K44" t="n">
        <v>0</v>
      </c>
      <c r="L44" t="n">
        <v>0</v>
      </c>
      <c r="M44" t="n">
        <v>0</v>
      </c>
      <c r="N44" t="n">
        <v>0</v>
      </c>
      <c r="O44" t="n">
        <v>0</v>
      </c>
      <c r="P44" t="n">
        <v>0</v>
      </c>
      <c r="Q44" t="n">
        <v>0</v>
      </c>
      <c r="R44" s="2" t="inlineStr"/>
    </row>
    <row r="45" ht="15" customHeight="1">
      <c r="A45" t="inlineStr">
        <is>
          <t>A 13432-2020</t>
        </is>
      </c>
      <c r="B45" s="1" t="n">
        <v>43902</v>
      </c>
      <c r="C45" s="1" t="n">
        <v>45507</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21077-2020</t>
        </is>
      </c>
      <c r="B46" s="1" t="n">
        <v>43951</v>
      </c>
      <c r="C46" s="1" t="n">
        <v>45507</v>
      </c>
      <c r="D46" t="inlineStr">
        <is>
          <t>VÄSTRA GÖTALANDS LÄN</t>
        </is>
      </c>
      <c r="E46" t="inlineStr">
        <is>
          <t>ALE</t>
        </is>
      </c>
      <c r="G46" t="n">
        <v>4.4</v>
      </c>
      <c r="H46" t="n">
        <v>0</v>
      </c>
      <c r="I46" t="n">
        <v>0</v>
      </c>
      <c r="J46" t="n">
        <v>0</v>
      </c>
      <c r="K46" t="n">
        <v>0</v>
      </c>
      <c r="L46" t="n">
        <v>0</v>
      </c>
      <c r="M46" t="n">
        <v>0</v>
      </c>
      <c r="N46" t="n">
        <v>0</v>
      </c>
      <c r="O46" t="n">
        <v>0</v>
      </c>
      <c r="P46" t="n">
        <v>0</v>
      </c>
      <c r="Q46" t="n">
        <v>0</v>
      </c>
      <c r="R46" s="2" t="inlineStr"/>
    </row>
    <row r="47" ht="15" customHeight="1">
      <c r="A47" t="inlineStr">
        <is>
          <t>A 23099-2020</t>
        </is>
      </c>
      <c r="B47" s="1" t="n">
        <v>43965</v>
      </c>
      <c r="C47" s="1" t="n">
        <v>45507</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27496-2020</t>
        </is>
      </c>
      <c r="B48" s="1" t="n">
        <v>43993</v>
      </c>
      <c r="C48" s="1" t="n">
        <v>45507</v>
      </c>
      <c r="D48" t="inlineStr">
        <is>
          <t>VÄSTRA GÖTALANDS LÄN</t>
        </is>
      </c>
      <c r="E48" t="inlineStr">
        <is>
          <t>ALE</t>
        </is>
      </c>
      <c r="G48" t="n">
        <v>3.5</v>
      </c>
      <c r="H48" t="n">
        <v>0</v>
      </c>
      <c r="I48" t="n">
        <v>0</v>
      </c>
      <c r="J48" t="n">
        <v>0</v>
      </c>
      <c r="K48" t="n">
        <v>0</v>
      </c>
      <c r="L48" t="n">
        <v>0</v>
      </c>
      <c r="M48" t="n">
        <v>0</v>
      </c>
      <c r="N48" t="n">
        <v>0</v>
      </c>
      <c r="O48" t="n">
        <v>0</v>
      </c>
      <c r="P48" t="n">
        <v>0</v>
      </c>
      <c r="Q48" t="n">
        <v>0</v>
      </c>
      <c r="R48" s="2" t="inlineStr"/>
    </row>
    <row r="49" ht="15" customHeight="1">
      <c r="A49" t="inlineStr">
        <is>
          <t>A 29258-2020</t>
        </is>
      </c>
      <c r="B49" s="1" t="n">
        <v>44004</v>
      </c>
      <c r="C49" s="1" t="n">
        <v>45507</v>
      </c>
      <c r="D49" t="inlineStr">
        <is>
          <t>VÄSTRA GÖTALANDS LÄN</t>
        </is>
      </c>
      <c r="E49" t="inlineStr">
        <is>
          <t>ALE</t>
        </is>
      </c>
      <c r="G49" t="n">
        <v>1.5</v>
      </c>
      <c r="H49" t="n">
        <v>0</v>
      </c>
      <c r="I49" t="n">
        <v>0</v>
      </c>
      <c r="J49" t="n">
        <v>0</v>
      </c>
      <c r="K49" t="n">
        <v>0</v>
      </c>
      <c r="L49" t="n">
        <v>0</v>
      </c>
      <c r="M49" t="n">
        <v>0</v>
      </c>
      <c r="N49" t="n">
        <v>0</v>
      </c>
      <c r="O49" t="n">
        <v>0</v>
      </c>
      <c r="P49" t="n">
        <v>0</v>
      </c>
      <c r="Q49" t="n">
        <v>0</v>
      </c>
      <c r="R49" s="2" t="inlineStr"/>
    </row>
    <row r="50" ht="15" customHeight="1">
      <c r="A50" t="inlineStr">
        <is>
          <t>A 31247-2020</t>
        </is>
      </c>
      <c r="B50" s="1" t="n">
        <v>44012</v>
      </c>
      <c r="C50" s="1" t="n">
        <v>45507</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52839-2020</t>
        </is>
      </c>
      <c r="B51" s="1" t="n">
        <v>44118</v>
      </c>
      <c r="C51" s="1" t="n">
        <v>45507</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45507</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45507</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66467-2020</t>
        </is>
      </c>
      <c r="B54" s="1" t="n">
        <v>44176</v>
      </c>
      <c r="C54" s="1" t="n">
        <v>45507</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66551-2020</t>
        </is>
      </c>
      <c r="B55" s="1" t="n">
        <v>44179</v>
      </c>
      <c r="C55" s="1" t="n">
        <v>45507</v>
      </c>
      <c r="D55" t="inlineStr">
        <is>
          <t>VÄSTRA GÖTALANDS LÄN</t>
        </is>
      </c>
      <c r="E55" t="inlineStr">
        <is>
          <t>ALE</t>
        </is>
      </c>
      <c r="G55" t="n">
        <v>4.5</v>
      </c>
      <c r="H55" t="n">
        <v>0</v>
      </c>
      <c r="I55" t="n">
        <v>0</v>
      </c>
      <c r="J55" t="n">
        <v>0</v>
      </c>
      <c r="K55" t="n">
        <v>0</v>
      </c>
      <c r="L55" t="n">
        <v>0</v>
      </c>
      <c r="M55" t="n">
        <v>0</v>
      </c>
      <c r="N55" t="n">
        <v>0</v>
      </c>
      <c r="O55" t="n">
        <v>0</v>
      </c>
      <c r="P55" t="n">
        <v>0</v>
      </c>
      <c r="Q55" t="n">
        <v>0</v>
      </c>
      <c r="R55" s="2" t="inlineStr"/>
    </row>
    <row r="56" ht="15" customHeight="1">
      <c r="A56" t="inlineStr">
        <is>
          <t>A 69325-2020</t>
        </is>
      </c>
      <c r="B56" s="1" t="n">
        <v>44193</v>
      </c>
      <c r="C56" s="1" t="n">
        <v>45507</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69359-2020</t>
        </is>
      </c>
      <c r="B57" s="1" t="n">
        <v>44193</v>
      </c>
      <c r="C57" s="1" t="n">
        <v>45507</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2003-2021</t>
        </is>
      </c>
      <c r="B58" s="1" t="n">
        <v>44210</v>
      </c>
      <c r="C58" s="1" t="n">
        <v>45507</v>
      </c>
      <c r="D58" t="inlineStr">
        <is>
          <t>VÄSTRA GÖTALANDS LÄN</t>
        </is>
      </c>
      <c r="E58" t="inlineStr">
        <is>
          <t>ALE</t>
        </is>
      </c>
      <c r="F58" t="inlineStr">
        <is>
          <t>Kommuner</t>
        </is>
      </c>
      <c r="G58" t="n">
        <v>0.6</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45507</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13462-2021</t>
        </is>
      </c>
      <c r="B60" s="1" t="n">
        <v>44273</v>
      </c>
      <c r="C60" s="1" t="n">
        <v>45507</v>
      </c>
      <c r="D60" t="inlineStr">
        <is>
          <t>VÄSTRA GÖTALANDS LÄN</t>
        </is>
      </c>
      <c r="E60" t="inlineStr">
        <is>
          <t>ALE</t>
        </is>
      </c>
      <c r="G60" t="n">
        <v>7.4</v>
      </c>
      <c r="H60" t="n">
        <v>0</v>
      </c>
      <c r="I60" t="n">
        <v>0</v>
      </c>
      <c r="J60" t="n">
        <v>0</v>
      </c>
      <c r="K60" t="n">
        <v>0</v>
      </c>
      <c r="L60" t="n">
        <v>0</v>
      </c>
      <c r="M60" t="n">
        <v>0</v>
      </c>
      <c r="N60" t="n">
        <v>0</v>
      </c>
      <c r="O60" t="n">
        <v>0</v>
      </c>
      <c r="P60" t="n">
        <v>0</v>
      </c>
      <c r="Q60" t="n">
        <v>0</v>
      </c>
      <c r="R60" s="2" t="inlineStr"/>
    </row>
    <row r="61" ht="15" customHeight="1">
      <c r="A61" t="inlineStr">
        <is>
          <t>A 14517-2021</t>
        </is>
      </c>
      <c r="B61" s="1" t="n">
        <v>44279</v>
      </c>
      <c r="C61" s="1" t="n">
        <v>45507</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17283-2021</t>
        </is>
      </c>
      <c r="B62" s="1" t="n">
        <v>44298</v>
      </c>
      <c r="C62" s="1" t="n">
        <v>45507</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17286-2021</t>
        </is>
      </c>
      <c r="B63" s="1" t="n">
        <v>44298</v>
      </c>
      <c r="C63" s="1" t="n">
        <v>45507</v>
      </c>
      <c r="D63" t="inlineStr">
        <is>
          <t>VÄSTRA GÖTALANDS LÄN</t>
        </is>
      </c>
      <c r="E63" t="inlineStr">
        <is>
          <t>ALE</t>
        </is>
      </c>
      <c r="G63" t="n">
        <v>3.3</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45507</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21026-2021</t>
        </is>
      </c>
      <c r="B65" s="1" t="n">
        <v>44319</v>
      </c>
      <c r="C65" s="1" t="n">
        <v>45507</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21281-2021</t>
        </is>
      </c>
      <c r="B66" s="1" t="n">
        <v>44320</v>
      </c>
      <c r="C66" s="1" t="n">
        <v>45507</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22138-2021</t>
        </is>
      </c>
      <c r="B67" s="1" t="n">
        <v>44324</v>
      </c>
      <c r="C67" s="1" t="n">
        <v>45507</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25632-2021</t>
        </is>
      </c>
      <c r="B68" s="1" t="n">
        <v>44343</v>
      </c>
      <c r="C68" s="1" t="n">
        <v>45507</v>
      </c>
      <c r="D68" t="inlineStr">
        <is>
          <t>VÄSTRA GÖTALANDS LÄN</t>
        </is>
      </c>
      <c r="E68" t="inlineStr">
        <is>
          <t>ALE</t>
        </is>
      </c>
      <c r="G68" t="n">
        <v>3.2</v>
      </c>
      <c r="H68" t="n">
        <v>0</v>
      </c>
      <c r="I68" t="n">
        <v>0</v>
      </c>
      <c r="J68" t="n">
        <v>0</v>
      </c>
      <c r="K68" t="n">
        <v>0</v>
      </c>
      <c r="L68" t="n">
        <v>0</v>
      </c>
      <c r="M68" t="n">
        <v>0</v>
      </c>
      <c r="N68" t="n">
        <v>0</v>
      </c>
      <c r="O68" t="n">
        <v>0</v>
      </c>
      <c r="P68" t="n">
        <v>0</v>
      </c>
      <c r="Q68" t="n">
        <v>0</v>
      </c>
      <c r="R68" s="2" t="inlineStr"/>
    </row>
    <row r="69" ht="15" customHeight="1">
      <c r="A69" t="inlineStr">
        <is>
          <t>A 27314-2021</t>
        </is>
      </c>
      <c r="B69" s="1" t="n">
        <v>44351</v>
      </c>
      <c r="C69" s="1" t="n">
        <v>45507</v>
      </c>
      <c r="D69" t="inlineStr">
        <is>
          <t>VÄSTRA GÖTALANDS LÄN</t>
        </is>
      </c>
      <c r="E69" t="inlineStr">
        <is>
          <t>ALE</t>
        </is>
      </c>
      <c r="G69" t="n">
        <v>11.3</v>
      </c>
      <c r="H69" t="n">
        <v>0</v>
      </c>
      <c r="I69" t="n">
        <v>0</v>
      </c>
      <c r="J69" t="n">
        <v>0</v>
      </c>
      <c r="K69" t="n">
        <v>0</v>
      </c>
      <c r="L69" t="n">
        <v>0</v>
      </c>
      <c r="M69" t="n">
        <v>0</v>
      </c>
      <c r="N69" t="n">
        <v>0</v>
      </c>
      <c r="O69" t="n">
        <v>0</v>
      </c>
      <c r="P69" t="n">
        <v>0</v>
      </c>
      <c r="Q69" t="n">
        <v>0</v>
      </c>
      <c r="R69" s="2" t="inlineStr"/>
    </row>
    <row r="70" ht="15" customHeight="1">
      <c r="A70" t="inlineStr">
        <is>
          <t>A 31566-2021</t>
        </is>
      </c>
      <c r="B70" s="1" t="n">
        <v>44369</v>
      </c>
      <c r="C70" s="1" t="n">
        <v>45507</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31568-2021</t>
        </is>
      </c>
      <c r="B71" s="1" t="n">
        <v>44369</v>
      </c>
      <c r="C71" s="1" t="n">
        <v>45507</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35148-2021</t>
        </is>
      </c>
      <c r="B72" s="1" t="n">
        <v>44384</v>
      </c>
      <c r="C72" s="1" t="n">
        <v>45507</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36394-2021</t>
        </is>
      </c>
      <c r="B73" s="1" t="n">
        <v>44389</v>
      </c>
      <c r="C73" s="1" t="n">
        <v>45507</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45986-2021</t>
        </is>
      </c>
      <c r="B74" s="1" t="n">
        <v>44441</v>
      </c>
      <c r="C74" s="1" t="n">
        <v>45507</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45507</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46391-2021</t>
        </is>
      </c>
      <c r="B76" s="1" t="n">
        <v>44443</v>
      </c>
      <c r="C76" s="1" t="n">
        <v>45507</v>
      </c>
      <c r="D76" t="inlineStr">
        <is>
          <t>VÄSTRA GÖTALANDS LÄN</t>
        </is>
      </c>
      <c r="E76" t="inlineStr">
        <is>
          <t>ALE</t>
        </is>
      </c>
      <c r="G76" t="n">
        <v>1.3</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45507</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53144-2021</t>
        </is>
      </c>
      <c r="B78" s="1" t="n">
        <v>44468</v>
      </c>
      <c r="C78" s="1" t="n">
        <v>45507</v>
      </c>
      <c r="D78" t="inlineStr">
        <is>
          <t>VÄSTRA GÖTALANDS LÄN</t>
        </is>
      </c>
      <c r="E78" t="inlineStr">
        <is>
          <t>ALE</t>
        </is>
      </c>
      <c r="G78" t="n">
        <v>2.6</v>
      </c>
      <c r="H78" t="n">
        <v>0</v>
      </c>
      <c r="I78" t="n">
        <v>0</v>
      </c>
      <c r="J78" t="n">
        <v>0</v>
      </c>
      <c r="K78" t="n">
        <v>0</v>
      </c>
      <c r="L78" t="n">
        <v>0</v>
      </c>
      <c r="M78" t="n">
        <v>0</v>
      </c>
      <c r="N78" t="n">
        <v>0</v>
      </c>
      <c r="O78" t="n">
        <v>0</v>
      </c>
      <c r="P78" t="n">
        <v>0</v>
      </c>
      <c r="Q78" t="n">
        <v>0</v>
      </c>
      <c r="R78" s="2" t="inlineStr"/>
    </row>
    <row r="79" ht="15" customHeight="1">
      <c r="A79" t="inlineStr">
        <is>
          <t>A 55405-2021</t>
        </is>
      </c>
      <c r="B79" s="1" t="n">
        <v>44475</v>
      </c>
      <c r="C79" s="1" t="n">
        <v>45507</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v>
      </c>
      <c r="C80" s="1" t="n">
        <v>45507</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62855-2021</t>
        </is>
      </c>
      <c r="B81" s="1" t="n">
        <v>44504</v>
      </c>
      <c r="C81" s="1" t="n">
        <v>45507</v>
      </c>
      <c r="D81" t="inlineStr">
        <is>
          <t>VÄSTRA GÖTALANDS LÄN</t>
        </is>
      </c>
      <c r="E81" t="inlineStr">
        <is>
          <t>ALE</t>
        </is>
      </c>
      <c r="G81" t="n">
        <v>5.6</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45507</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45507</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65222-2021</t>
        </is>
      </c>
      <c r="B84" s="1" t="n">
        <v>44515</v>
      </c>
      <c r="C84" s="1" t="n">
        <v>45507</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66893-2021</t>
        </is>
      </c>
      <c r="B85" s="1" t="n">
        <v>44522</v>
      </c>
      <c r="C85" s="1" t="n">
        <v>45507</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67165-2021</t>
        </is>
      </c>
      <c r="B86" s="1" t="n">
        <v>44523</v>
      </c>
      <c r="C86" s="1" t="n">
        <v>45507</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45507</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45507</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45507</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1566-2022</t>
        </is>
      </c>
      <c r="B90" s="1" t="n">
        <v>44573</v>
      </c>
      <c r="C90" s="1" t="n">
        <v>45507</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2563-2022</t>
        </is>
      </c>
      <c r="B91" s="1" t="n">
        <v>44580</v>
      </c>
      <c r="C91" s="1" t="n">
        <v>45507</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3179-2022</t>
        </is>
      </c>
      <c r="B92" s="1" t="n">
        <v>44582</v>
      </c>
      <c r="C92" s="1" t="n">
        <v>45507</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3457-2022</t>
        </is>
      </c>
      <c r="B93" s="1" t="n">
        <v>44585</v>
      </c>
      <c r="C93" s="1" t="n">
        <v>45507</v>
      </c>
      <c r="D93" t="inlineStr">
        <is>
          <t>VÄSTRA GÖTALANDS LÄN</t>
        </is>
      </c>
      <c r="E93" t="inlineStr">
        <is>
          <t>ALE</t>
        </is>
      </c>
      <c r="G93" t="n">
        <v>5.1</v>
      </c>
      <c r="H93" t="n">
        <v>0</v>
      </c>
      <c r="I93" t="n">
        <v>0</v>
      </c>
      <c r="J93" t="n">
        <v>0</v>
      </c>
      <c r="K93" t="n">
        <v>0</v>
      </c>
      <c r="L93" t="n">
        <v>0</v>
      </c>
      <c r="M93" t="n">
        <v>0</v>
      </c>
      <c r="N93" t="n">
        <v>0</v>
      </c>
      <c r="O93" t="n">
        <v>0</v>
      </c>
      <c r="P93" t="n">
        <v>0</v>
      </c>
      <c r="Q93" t="n">
        <v>0</v>
      </c>
      <c r="R93" s="2" t="inlineStr"/>
    </row>
    <row r="94" ht="15" customHeight="1">
      <c r="A94" t="inlineStr">
        <is>
          <t>A 3520-2022</t>
        </is>
      </c>
      <c r="B94" s="1" t="n">
        <v>44585</v>
      </c>
      <c r="C94" s="1" t="n">
        <v>45507</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45507</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45507</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45507</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45507</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45507</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45507</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45507</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45507</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45507</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45507</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45507</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45507</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45507</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45507</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45507</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45507</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45507</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45507</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45507</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45507</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45507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45507</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45507</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45507</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45507</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45507</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45507</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45507</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45507</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45507</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45507</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45507</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45507</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45507</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45507</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45507</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45507</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45507</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45507</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45507</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45507</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45507</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45507</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45507</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45507</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45507</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45507</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45507</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45507</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45507</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45507</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45507</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45507</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45507</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45507</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45507</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45507</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45507</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45507</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45507</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45507</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45507</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45507</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45507</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45507</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45507</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45507</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45507</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45507</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45507</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45507</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45507</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45507</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45507</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45507</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45507</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45507</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45507</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45507</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45507</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45507</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45507</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45507</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45507</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45507</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45507</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45507</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45507</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45507</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45507</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45507</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45507</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18724-2024</t>
        </is>
      </c>
      <c r="B187" s="1" t="n">
        <v>45426</v>
      </c>
      <c r="C187" s="1" t="n">
        <v>45507</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row r="188" ht="15" customHeight="1">
      <c r="A188" t="inlineStr">
        <is>
          <t>A 30208-2024</t>
        </is>
      </c>
      <c r="B188" s="1" t="n">
        <v>45490</v>
      </c>
      <c r="C188" s="1" t="n">
        <v>45507</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c r="A189" t="inlineStr">
        <is>
          <t>A 30671-2024</t>
        </is>
      </c>
      <c r="B189" s="1" t="n">
        <v>45495</v>
      </c>
      <c r="C189" s="1" t="n">
        <v>45507</v>
      </c>
      <c r="D189" t="inlineStr">
        <is>
          <t>VÄSTRA GÖTALANDS LÄN</t>
        </is>
      </c>
      <c r="E189" t="inlineStr">
        <is>
          <t>ALE</t>
        </is>
      </c>
      <c r="G189" t="n">
        <v>1.5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2024-08-03T10:38:26Z</dcterms:created>
  <dcterms:modified xmlns:dcterms="http://purl.org/dc/terms/" xmlns:xsi="http://www.w3.org/2001/XMLSchema-instance" xsi:type="dcterms:W3CDTF">2024-08-03T10:38:26Z</dcterms:modified>
</cp:coreProperties>
</file>