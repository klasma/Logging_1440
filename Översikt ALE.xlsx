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45910</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45910</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45910</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45910</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45910</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45910</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45910</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45910</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45910</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45910</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45910</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35905-2025</t>
        </is>
      </c>
      <c r="B14" s="1" t="n">
        <v>45862</v>
      </c>
      <c r="C14" s="1" t="n">
        <v>45910</v>
      </c>
      <c r="D14" t="inlineStr">
        <is>
          <t>VÄSTRA GÖTALANDS LÄN</t>
        </is>
      </c>
      <c r="E14" t="inlineStr">
        <is>
          <t>ALE</t>
        </is>
      </c>
      <c r="G14" t="n">
        <v>4.2</v>
      </c>
      <c r="H14" t="n">
        <v>4</v>
      </c>
      <c r="I14" t="n">
        <v>2</v>
      </c>
      <c r="J14" t="n">
        <v>1</v>
      </c>
      <c r="K14" t="n">
        <v>0</v>
      </c>
      <c r="L14" t="n">
        <v>0</v>
      </c>
      <c r="M14" t="n">
        <v>0</v>
      </c>
      <c r="N14" t="n">
        <v>0</v>
      </c>
      <c r="O14" t="n">
        <v>1</v>
      </c>
      <c r="P14" t="n">
        <v>0</v>
      </c>
      <c r="Q14" t="n">
        <v>6</v>
      </c>
      <c r="R14" s="2" t="inlineStr">
        <is>
          <t>Spillkråka
Blåmossa
Stor revmossa
Grönsiska
Kungsfågel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563-2024</t>
        </is>
      </c>
      <c r="B15" s="1" t="n">
        <v>45299</v>
      </c>
      <c r="C15" s="1" t="n">
        <v>45910</v>
      </c>
      <c r="D15" t="inlineStr">
        <is>
          <t>VÄSTRA GÖTALANDS LÄN</t>
        </is>
      </c>
      <c r="E15" t="inlineStr">
        <is>
          <t>ALE</t>
        </is>
      </c>
      <c r="F15" t="inlineStr">
        <is>
          <t>Kyrkan</t>
        </is>
      </c>
      <c r="G15" t="n">
        <v>26</v>
      </c>
      <c r="H15" t="n">
        <v>4</v>
      </c>
      <c r="I15" t="n">
        <v>1</v>
      </c>
      <c r="J15" t="n">
        <v>3</v>
      </c>
      <c r="K15" t="n">
        <v>0</v>
      </c>
      <c r="L15" t="n">
        <v>0</v>
      </c>
      <c r="M15" t="n">
        <v>0</v>
      </c>
      <c r="N15" t="n">
        <v>0</v>
      </c>
      <c r="O15" t="n">
        <v>3</v>
      </c>
      <c r="P15" t="n">
        <v>0</v>
      </c>
      <c r="Q15" t="n">
        <v>6</v>
      </c>
      <c r="R15" s="2" t="inlineStr">
        <is>
          <t>Kortskaftad ärgspik
Spillkråka
Talltita
Björksplintborre
Tjäder
Revlummer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19934-2025</t>
        </is>
      </c>
      <c r="B16" s="1" t="n">
        <v>45771</v>
      </c>
      <c r="C16" s="1" t="n">
        <v>45910</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26491-2024</t>
        </is>
      </c>
      <c r="B17" s="1" t="n">
        <v>45469</v>
      </c>
      <c r="C17" s="1" t="n">
        <v>45910</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7903-2024</t>
        </is>
      </c>
      <c r="B18" s="1" t="n">
        <v>45350</v>
      </c>
      <c r="C18" s="1" t="n">
        <v>45910</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37005-2025</t>
        </is>
      </c>
      <c r="B19" s="1" t="n">
        <v>45874.69311342593</v>
      </c>
      <c r="C19" s="1" t="n">
        <v>45910</v>
      </c>
      <c r="D19" t="inlineStr">
        <is>
          <t>VÄSTRA GÖTALANDS LÄN</t>
        </is>
      </c>
      <c r="E19" t="inlineStr">
        <is>
          <t>ALE</t>
        </is>
      </c>
      <c r="G19" t="n">
        <v>1.9</v>
      </c>
      <c r="H19" t="n">
        <v>3</v>
      </c>
      <c r="I19" t="n">
        <v>0</v>
      </c>
      <c r="J19" t="n">
        <v>1</v>
      </c>
      <c r="K19" t="n">
        <v>0</v>
      </c>
      <c r="L19" t="n">
        <v>0</v>
      </c>
      <c r="M19" t="n">
        <v>0</v>
      </c>
      <c r="N19" t="n">
        <v>0</v>
      </c>
      <c r="O19" t="n">
        <v>1</v>
      </c>
      <c r="P19" t="n">
        <v>0</v>
      </c>
      <c r="Q19" t="n">
        <v>3</v>
      </c>
      <c r="R19" s="2" t="inlineStr">
        <is>
          <t>Spillkråka
Kungsfågel
Revlummer</t>
        </is>
      </c>
      <c r="S19">
        <f>HYPERLINK("https://klasma.github.io/Logging_1440/artfynd/A 37005-2025 artfynd.xlsx", "A 37005-2025")</f>
        <v/>
      </c>
      <c r="T19">
        <f>HYPERLINK("https://klasma.github.io/Logging_1440/kartor/A 37005-2025 karta.png", "A 37005-2025")</f>
        <v/>
      </c>
      <c r="V19">
        <f>HYPERLINK("https://klasma.github.io/Logging_1440/klagomål/A 37005-2025 FSC-klagomål.docx", "A 37005-2025")</f>
        <v/>
      </c>
      <c r="W19">
        <f>HYPERLINK("https://klasma.github.io/Logging_1440/klagomålsmail/A 37005-2025 FSC-klagomål mail.docx", "A 37005-2025")</f>
        <v/>
      </c>
      <c r="X19">
        <f>HYPERLINK("https://klasma.github.io/Logging_1440/tillsyn/A 37005-2025 tillsynsbegäran.docx", "A 37005-2025")</f>
        <v/>
      </c>
      <c r="Y19">
        <f>HYPERLINK("https://klasma.github.io/Logging_1440/tillsynsmail/A 37005-2025 tillsynsbegäran mail.docx", "A 37005-2025")</f>
        <v/>
      </c>
      <c r="Z19">
        <f>HYPERLINK("https://klasma.github.io/Logging_1440/fåglar/A 37005-2025 prioriterade fågelarter.docx", "A 37005-2025")</f>
        <v/>
      </c>
    </row>
    <row r="20" ht="15" customHeight="1">
      <c r="A20" t="inlineStr">
        <is>
          <t>A 63569-2023</t>
        </is>
      </c>
      <c r="B20" s="1" t="n">
        <v>45275</v>
      </c>
      <c r="C20" s="1" t="n">
        <v>45910</v>
      </c>
      <c r="D20" t="inlineStr">
        <is>
          <t>VÄSTRA GÖTALANDS LÄN</t>
        </is>
      </c>
      <c r="E20" t="inlineStr">
        <is>
          <t>ALE</t>
        </is>
      </c>
      <c r="G20" t="n">
        <v>2.4</v>
      </c>
      <c r="H20" t="n">
        <v>2</v>
      </c>
      <c r="I20" t="n">
        <v>0</v>
      </c>
      <c r="J20" t="n">
        <v>2</v>
      </c>
      <c r="K20" t="n">
        <v>0</v>
      </c>
      <c r="L20" t="n">
        <v>0</v>
      </c>
      <c r="M20" t="n">
        <v>0</v>
      </c>
      <c r="N20" t="n">
        <v>0</v>
      </c>
      <c r="O20" t="n">
        <v>2</v>
      </c>
      <c r="P20" t="n">
        <v>0</v>
      </c>
      <c r="Q20" t="n">
        <v>2</v>
      </c>
      <c r="R20" s="2" t="inlineStr">
        <is>
          <t>Spillkråka
Talltita</t>
        </is>
      </c>
      <c r="S20">
        <f>HYPERLINK("https://klasma.github.io/Logging_1440/artfynd/A 63569-2023 artfynd.xlsx", "A 63569-2023")</f>
        <v/>
      </c>
      <c r="T20">
        <f>HYPERLINK("https://klasma.github.io/Logging_1440/kartor/A 63569-2023 karta.png", "A 63569-2023")</f>
        <v/>
      </c>
      <c r="V20">
        <f>HYPERLINK("https://klasma.github.io/Logging_1440/klagomål/A 63569-2023 FSC-klagomål.docx", "A 63569-2023")</f>
        <v/>
      </c>
      <c r="W20">
        <f>HYPERLINK("https://klasma.github.io/Logging_1440/klagomålsmail/A 63569-2023 FSC-klagomål mail.docx", "A 63569-2023")</f>
        <v/>
      </c>
      <c r="X20">
        <f>HYPERLINK("https://klasma.github.io/Logging_1440/tillsyn/A 63569-2023 tillsynsbegäran.docx", "A 63569-2023")</f>
        <v/>
      </c>
      <c r="Y20">
        <f>HYPERLINK("https://klasma.github.io/Logging_1440/tillsynsmail/A 63569-2023 tillsynsbegäran mail.docx", "A 63569-2023")</f>
        <v/>
      </c>
      <c r="Z20">
        <f>HYPERLINK("https://klasma.github.io/Logging_1440/fåglar/A 63569-2023 prioriterade fågelarter.docx", "A 63569-2023")</f>
        <v/>
      </c>
    </row>
    <row r="21" ht="15" customHeight="1">
      <c r="A21" t="inlineStr">
        <is>
          <t>A 1503-2024</t>
        </is>
      </c>
      <c r="B21" s="1" t="n">
        <v>45306.35041666667</v>
      </c>
      <c r="C21" s="1" t="n">
        <v>45910</v>
      </c>
      <c r="D21" t="inlineStr">
        <is>
          <t>VÄSTRA GÖTALANDS LÄN</t>
        </is>
      </c>
      <c r="E21" t="inlineStr">
        <is>
          <t>ALE</t>
        </is>
      </c>
      <c r="G21" t="n">
        <v>6.6</v>
      </c>
      <c r="H21" t="n">
        <v>2</v>
      </c>
      <c r="I21" t="n">
        <v>0</v>
      </c>
      <c r="J21" t="n">
        <v>1</v>
      </c>
      <c r="K21" t="n">
        <v>0</v>
      </c>
      <c r="L21" t="n">
        <v>0</v>
      </c>
      <c r="M21" t="n">
        <v>0</v>
      </c>
      <c r="N21" t="n">
        <v>0</v>
      </c>
      <c r="O21" t="n">
        <v>1</v>
      </c>
      <c r="P21" t="n">
        <v>0</v>
      </c>
      <c r="Q21" t="n">
        <v>2</v>
      </c>
      <c r="R21" s="2" t="inlineStr">
        <is>
          <t>Spillkråka
Revlummer</t>
        </is>
      </c>
      <c r="S21">
        <f>HYPERLINK("https://klasma.github.io/Logging_1440/artfynd/A 1503-2024 artfynd.xlsx", "A 1503-2024")</f>
        <v/>
      </c>
      <c r="T21">
        <f>HYPERLINK("https://klasma.github.io/Logging_1440/kartor/A 1503-2024 karta.png", "A 1503-2024")</f>
        <v/>
      </c>
      <c r="V21">
        <f>HYPERLINK("https://klasma.github.io/Logging_1440/klagomål/A 1503-2024 FSC-klagomål.docx", "A 1503-2024")</f>
        <v/>
      </c>
      <c r="W21">
        <f>HYPERLINK("https://klasma.github.io/Logging_1440/klagomålsmail/A 1503-2024 FSC-klagomål mail.docx", "A 1503-2024")</f>
        <v/>
      </c>
      <c r="X21">
        <f>HYPERLINK("https://klasma.github.io/Logging_1440/tillsyn/A 1503-2024 tillsynsbegäran.docx", "A 1503-2024")</f>
        <v/>
      </c>
      <c r="Y21">
        <f>HYPERLINK("https://klasma.github.io/Logging_1440/tillsynsmail/A 1503-2024 tillsynsbegäran mail.docx", "A 1503-2024")</f>
        <v/>
      </c>
      <c r="Z21">
        <f>HYPERLINK("https://klasma.github.io/Logging_1440/fåglar/A 1503-2024 prioriterade fågelarter.docx", "A 1503-2024")</f>
        <v/>
      </c>
    </row>
    <row r="22" ht="15" customHeight="1">
      <c r="A22" t="inlineStr">
        <is>
          <t>A 2270-2025</t>
        </is>
      </c>
      <c r="B22" s="1" t="n">
        <v>45673.54403935185</v>
      </c>
      <c r="C22" s="1" t="n">
        <v>45910</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13380-2025</t>
        </is>
      </c>
      <c r="B23" s="1" t="n">
        <v>45735.6765162037</v>
      </c>
      <c r="C23" s="1" t="n">
        <v>45910</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16534-2025</t>
        </is>
      </c>
      <c r="B24" s="1" t="n">
        <v>45751.65315972222</v>
      </c>
      <c r="C24" s="1" t="n">
        <v>45910</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16534-2025 artfynd.xlsx", "A 16534-2025")</f>
        <v/>
      </c>
      <c r="T24">
        <f>HYPERLINK("https://klasma.github.io/Logging_1440/kartor/A 16534-2025 karta.png", "A 16534-2025")</f>
        <v/>
      </c>
      <c r="V24">
        <f>HYPERLINK("https://klasma.github.io/Logging_1440/klagomål/A 16534-2025 FSC-klagomål.docx", "A 16534-2025")</f>
        <v/>
      </c>
      <c r="W24">
        <f>HYPERLINK("https://klasma.github.io/Logging_1440/klagomålsmail/A 16534-2025 FSC-klagomål mail.docx", "A 16534-2025")</f>
        <v/>
      </c>
      <c r="X24">
        <f>HYPERLINK("https://klasma.github.io/Logging_1440/tillsyn/A 16534-2025 tillsynsbegäran.docx", "A 16534-2025")</f>
        <v/>
      </c>
      <c r="Y24">
        <f>HYPERLINK("https://klasma.github.io/Logging_1440/tillsynsmail/A 16534-2025 tillsynsbegäran mail.docx", "A 16534-2025")</f>
        <v/>
      </c>
      <c r="Z24">
        <f>HYPERLINK("https://klasma.github.io/Logging_1440/fåglar/A 16534-2025 prioriterade fågelarter.docx", "A 16534-2025")</f>
        <v/>
      </c>
    </row>
    <row r="25" ht="15" customHeight="1">
      <c r="A25" t="inlineStr">
        <is>
          <t>A 20586-2023</t>
        </is>
      </c>
      <c r="B25" s="1" t="n">
        <v>45057</v>
      </c>
      <c r="C25" s="1" t="n">
        <v>45910</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380-2025</t>
        </is>
      </c>
      <c r="B26" s="1" t="n">
        <v>45662.43456018518</v>
      </c>
      <c r="C26" s="1" t="n">
        <v>45910</v>
      </c>
      <c r="D26" t="inlineStr">
        <is>
          <t>VÄSTRA GÖTALANDS LÄN</t>
        </is>
      </c>
      <c r="E26" t="inlineStr">
        <is>
          <t>ALE</t>
        </is>
      </c>
      <c r="G26" t="n">
        <v>8.6</v>
      </c>
      <c r="H26" t="n">
        <v>1</v>
      </c>
      <c r="I26" t="n">
        <v>1</v>
      </c>
      <c r="J26" t="n">
        <v>1</v>
      </c>
      <c r="K26" t="n">
        <v>0</v>
      </c>
      <c r="L26" t="n">
        <v>0</v>
      </c>
      <c r="M26" t="n">
        <v>0</v>
      </c>
      <c r="N26" t="n">
        <v>0</v>
      </c>
      <c r="O26" t="n">
        <v>1</v>
      </c>
      <c r="P26" t="n">
        <v>0</v>
      </c>
      <c r="Q26" t="n">
        <v>2</v>
      </c>
      <c r="R26" s="2" t="inlineStr">
        <is>
          <t>Spillkråka
Blåmossa</t>
        </is>
      </c>
      <c r="S26">
        <f>HYPERLINK("https://klasma.github.io/Logging_1440/artfynd/A 380-2025 artfynd.xlsx", "A 380-2025")</f>
        <v/>
      </c>
      <c r="T26">
        <f>HYPERLINK("https://klasma.github.io/Logging_1440/kartor/A 380-2025 karta.png", "A 380-2025")</f>
        <v/>
      </c>
      <c r="V26">
        <f>HYPERLINK("https://klasma.github.io/Logging_1440/klagomål/A 380-2025 FSC-klagomål.docx", "A 380-2025")</f>
        <v/>
      </c>
      <c r="W26">
        <f>HYPERLINK("https://klasma.github.io/Logging_1440/klagomålsmail/A 380-2025 FSC-klagomål mail.docx", "A 380-2025")</f>
        <v/>
      </c>
      <c r="X26">
        <f>HYPERLINK("https://klasma.github.io/Logging_1440/tillsyn/A 380-2025 tillsynsbegäran.docx", "A 380-2025")</f>
        <v/>
      </c>
      <c r="Y26">
        <f>HYPERLINK("https://klasma.github.io/Logging_1440/tillsynsmail/A 380-2025 tillsynsbegäran mail.docx", "A 380-2025")</f>
        <v/>
      </c>
      <c r="Z26">
        <f>HYPERLINK("https://klasma.github.io/Logging_1440/fåglar/A 380-2025 prioriterade fågelarter.docx", "A 380-2025")</f>
        <v/>
      </c>
    </row>
    <row r="27" ht="15" customHeight="1">
      <c r="A27" t="inlineStr">
        <is>
          <t>A 58954-2022</t>
        </is>
      </c>
      <c r="B27" s="1" t="n">
        <v>44903</v>
      </c>
      <c r="C27" s="1" t="n">
        <v>45910</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8955-2025</t>
        </is>
      </c>
      <c r="B28" s="1" t="n">
        <v>45713.46528935185</v>
      </c>
      <c r="C28" s="1" t="n">
        <v>45910</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12084-2025</t>
        </is>
      </c>
      <c r="B29" s="1" t="n">
        <v>45728.95387731482</v>
      </c>
      <c r="C29" s="1" t="n">
        <v>45910</v>
      </c>
      <c r="D29" t="inlineStr">
        <is>
          <t>VÄSTRA GÖTALANDS LÄN</t>
        </is>
      </c>
      <c r="E29" t="inlineStr">
        <is>
          <t>ALE</t>
        </is>
      </c>
      <c r="G29" t="n">
        <v>2.4</v>
      </c>
      <c r="H29" t="n">
        <v>1</v>
      </c>
      <c r="I29" t="n">
        <v>0</v>
      </c>
      <c r="J29" t="n">
        <v>1</v>
      </c>
      <c r="K29" t="n">
        <v>0</v>
      </c>
      <c r="L29" t="n">
        <v>0</v>
      </c>
      <c r="M29" t="n">
        <v>0</v>
      </c>
      <c r="N29" t="n">
        <v>0</v>
      </c>
      <c r="O29" t="n">
        <v>1</v>
      </c>
      <c r="P29" t="n">
        <v>0</v>
      </c>
      <c r="Q29" t="n">
        <v>1</v>
      </c>
      <c r="R29" s="2" t="inlineStr">
        <is>
          <t>Spillkråka</t>
        </is>
      </c>
      <c r="S29">
        <f>HYPERLINK("https://klasma.github.io/Logging_1440/artfynd/A 12084-2025 artfynd.xlsx", "A 12084-2025")</f>
        <v/>
      </c>
      <c r="T29">
        <f>HYPERLINK("https://klasma.github.io/Logging_1440/kartor/A 12084-2025 karta.png", "A 12084-2025")</f>
        <v/>
      </c>
      <c r="V29">
        <f>HYPERLINK("https://klasma.github.io/Logging_1440/klagomål/A 12084-2025 FSC-klagomål.docx", "A 12084-2025")</f>
        <v/>
      </c>
      <c r="W29">
        <f>HYPERLINK("https://klasma.github.io/Logging_1440/klagomålsmail/A 12084-2025 FSC-klagomål mail.docx", "A 12084-2025")</f>
        <v/>
      </c>
      <c r="X29">
        <f>HYPERLINK("https://klasma.github.io/Logging_1440/tillsyn/A 12084-2025 tillsynsbegäran.docx", "A 12084-2025")</f>
        <v/>
      </c>
      <c r="Y29">
        <f>HYPERLINK("https://klasma.github.io/Logging_1440/tillsynsmail/A 12084-2025 tillsynsbegäran mail.docx", "A 12084-2025")</f>
        <v/>
      </c>
      <c r="Z29">
        <f>HYPERLINK("https://klasma.github.io/Logging_1440/fåglar/A 12084-2025 prioriterade fågelarter.docx", "A 12084-2025")</f>
        <v/>
      </c>
    </row>
    <row r="30" ht="15" customHeight="1">
      <c r="A30" t="inlineStr">
        <is>
          <t>A 26493-2024</t>
        </is>
      </c>
      <c r="B30" s="1" t="n">
        <v>45469</v>
      </c>
      <c r="C30" s="1" t="n">
        <v>45910</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26677-2025</t>
        </is>
      </c>
      <c r="B31" s="1" t="n">
        <v>45810.42446759259</v>
      </c>
      <c r="C31" s="1" t="n">
        <v>45910</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45910</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12982-2024</t>
        </is>
      </c>
      <c r="B33" s="1" t="n">
        <v>45385.53569444444</v>
      </c>
      <c r="C33" s="1" t="n">
        <v>45910</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21281-2021</t>
        </is>
      </c>
      <c r="B34" s="1" t="n">
        <v>44320.61850694445</v>
      </c>
      <c r="C34" s="1" t="n">
        <v>45910</v>
      </c>
      <c r="D34" t="inlineStr">
        <is>
          <t>VÄSTRA GÖTALANDS LÄN</t>
        </is>
      </c>
      <c r="E34" t="inlineStr">
        <is>
          <t>ALE</t>
        </is>
      </c>
      <c r="G34" t="n">
        <v>1.4</v>
      </c>
      <c r="H34" t="n">
        <v>0</v>
      </c>
      <c r="I34" t="n">
        <v>0</v>
      </c>
      <c r="J34" t="n">
        <v>0</v>
      </c>
      <c r="K34" t="n">
        <v>0</v>
      </c>
      <c r="L34" t="n">
        <v>0</v>
      </c>
      <c r="M34" t="n">
        <v>0</v>
      </c>
      <c r="N34" t="n">
        <v>0</v>
      </c>
      <c r="O34" t="n">
        <v>0</v>
      </c>
      <c r="P34" t="n">
        <v>0</v>
      </c>
      <c r="Q34" t="n">
        <v>0</v>
      </c>
      <c r="R34" s="2" t="inlineStr"/>
    </row>
    <row r="35" ht="15" customHeight="1">
      <c r="A35" t="inlineStr">
        <is>
          <t>A 1566-2022</t>
        </is>
      </c>
      <c r="B35" s="1" t="n">
        <v>44573</v>
      </c>
      <c r="C35" s="1" t="n">
        <v>45910</v>
      </c>
      <c r="D35" t="inlineStr">
        <is>
          <t>VÄSTRA GÖTALANDS LÄN</t>
        </is>
      </c>
      <c r="E35" t="inlineStr">
        <is>
          <t>ALE</t>
        </is>
      </c>
      <c r="G35" t="n">
        <v>3</v>
      </c>
      <c r="H35" t="n">
        <v>0</v>
      </c>
      <c r="I35" t="n">
        <v>0</v>
      </c>
      <c r="J35" t="n">
        <v>0</v>
      </c>
      <c r="K35" t="n">
        <v>0</v>
      </c>
      <c r="L35" t="n">
        <v>0</v>
      </c>
      <c r="M35" t="n">
        <v>0</v>
      </c>
      <c r="N35" t="n">
        <v>0</v>
      </c>
      <c r="O35" t="n">
        <v>0</v>
      </c>
      <c r="P35" t="n">
        <v>0</v>
      </c>
      <c r="Q35" t="n">
        <v>0</v>
      </c>
      <c r="R35" s="2" t="inlineStr"/>
    </row>
    <row r="36" ht="15" customHeight="1">
      <c r="A36" t="inlineStr">
        <is>
          <t>A 14517-2021</t>
        </is>
      </c>
      <c r="B36" s="1" t="n">
        <v>44279.64517361111</v>
      </c>
      <c r="C36" s="1" t="n">
        <v>45910</v>
      </c>
      <c r="D36" t="inlineStr">
        <is>
          <t>VÄSTRA GÖTALANDS LÄN</t>
        </is>
      </c>
      <c r="E36" t="inlineStr">
        <is>
          <t>ALE</t>
        </is>
      </c>
      <c r="G36" t="n">
        <v>1.1</v>
      </c>
      <c r="H36" t="n">
        <v>0</v>
      </c>
      <c r="I36" t="n">
        <v>0</v>
      </c>
      <c r="J36" t="n">
        <v>0</v>
      </c>
      <c r="K36" t="n">
        <v>0</v>
      </c>
      <c r="L36" t="n">
        <v>0</v>
      </c>
      <c r="M36" t="n">
        <v>0</v>
      </c>
      <c r="N36" t="n">
        <v>0</v>
      </c>
      <c r="O36" t="n">
        <v>0</v>
      </c>
      <c r="P36" t="n">
        <v>0</v>
      </c>
      <c r="Q36" t="n">
        <v>0</v>
      </c>
      <c r="R36" s="2" t="inlineStr"/>
    </row>
    <row r="37" ht="15" customHeight="1">
      <c r="A37" t="inlineStr">
        <is>
          <t>A 2003-2021</t>
        </is>
      </c>
      <c r="B37" s="1" t="n">
        <v>44210</v>
      </c>
      <c r="C37" s="1" t="n">
        <v>45910</v>
      </c>
      <c r="D37" t="inlineStr">
        <is>
          <t>VÄSTRA GÖTALANDS LÄN</t>
        </is>
      </c>
      <c r="E37" t="inlineStr">
        <is>
          <t>ALE</t>
        </is>
      </c>
      <c r="F37" t="inlineStr">
        <is>
          <t>Kommuner</t>
        </is>
      </c>
      <c r="G37" t="n">
        <v>0.6</v>
      </c>
      <c r="H37" t="n">
        <v>0</v>
      </c>
      <c r="I37" t="n">
        <v>0</v>
      </c>
      <c r="J37" t="n">
        <v>0</v>
      </c>
      <c r="K37" t="n">
        <v>0</v>
      </c>
      <c r="L37" t="n">
        <v>0</v>
      </c>
      <c r="M37" t="n">
        <v>0</v>
      </c>
      <c r="N37" t="n">
        <v>0</v>
      </c>
      <c r="O37" t="n">
        <v>0</v>
      </c>
      <c r="P37" t="n">
        <v>0</v>
      </c>
      <c r="Q37" t="n">
        <v>0</v>
      </c>
      <c r="R37" s="2" t="inlineStr"/>
    </row>
    <row r="38" ht="15" customHeight="1">
      <c r="A38" t="inlineStr">
        <is>
          <t>A 62855-2021</t>
        </is>
      </c>
      <c r="B38" s="1" t="n">
        <v>44504.58171296296</v>
      </c>
      <c r="C38" s="1" t="n">
        <v>45910</v>
      </c>
      <c r="D38" t="inlineStr">
        <is>
          <t>VÄSTRA GÖTALANDS LÄN</t>
        </is>
      </c>
      <c r="E38" t="inlineStr">
        <is>
          <t>ALE</t>
        </is>
      </c>
      <c r="G38" t="n">
        <v>5.6</v>
      </c>
      <c r="H38" t="n">
        <v>0</v>
      </c>
      <c r="I38" t="n">
        <v>0</v>
      </c>
      <c r="J38" t="n">
        <v>0</v>
      </c>
      <c r="K38" t="n">
        <v>0</v>
      </c>
      <c r="L38" t="n">
        <v>0</v>
      </c>
      <c r="M38" t="n">
        <v>0</v>
      </c>
      <c r="N38" t="n">
        <v>0</v>
      </c>
      <c r="O38" t="n">
        <v>0</v>
      </c>
      <c r="P38" t="n">
        <v>0</v>
      </c>
      <c r="Q38" t="n">
        <v>0</v>
      </c>
      <c r="R38" s="2" t="inlineStr"/>
    </row>
    <row r="39" ht="15" customHeight="1">
      <c r="A39" t="inlineStr">
        <is>
          <t>A 13462-2021</t>
        </is>
      </c>
      <c r="B39" s="1" t="n">
        <v>44273</v>
      </c>
      <c r="C39" s="1" t="n">
        <v>45910</v>
      </c>
      <c r="D39" t="inlineStr">
        <is>
          <t>VÄSTRA GÖTALANDS LÄN</t>
        </is>
      </c>
      <c r="E39" t="inlineStr">
        <is>
          <t>ALE</t>
        </is>
      </c>
      <c r="G39" t="n">
        <v>7.4</v>
      </c>
      <c r="H39" t="n">
        <v>0</v>
      </c>
      <c r="I39" t="n">
        <v>0</v>
      </c>
      <c r="J39" t="n">
        <v>0</v>
      </c>
      <c r="K39" t="n">
        <v>0</v>
      </c>
      <c r="L39" t="n">
        <v>0</v>
      </c>
      <c r="M39" t="n">
        <v>0</v>
      </c>
      <c r="N39" t="n">
        <v>0</v>
      </c>
      <c r="O39" t="n">
        <v>0</v>
      </c>
      <c r="P39" t="n">
        <v>0</v>
      </c>
      <c r="Q39" t="n">
        <v>0</v>
      </c>
      <c r="R39" s="2" t="inlineStr"/>
    </row>
    <row r="40" ht="15" customHeight="1">
      <c r="A40" t="inlineStr">
        <is>
          <t>A 67165-2021</t>
        </is>
      </c>
      <c r="B40" s="1" t="n">
        <v>44523</v>
      </c>
      <c r="C40" s="1" t="n">
        <v>45910</v>
      </c>
      <c r="D40" t="inlineStr">
        <is>
          <t>VÄSTRA GÖTALANDS LÄN</t>
        </is>
      </c>
      <c r="E40" t="inlineStr">
        <is>
          <t>ALE</t>
        </is>
      </c>
      <c r="G40" t="n">
        <v>0.5</v>
      </c>
      <c r="H40" t="n">
        <v>0</v>
      </c>
      <c r="I40" t="n">
        <v>0</v>
      </c>
      <c r="J40" t="n">
        <v>0</v>
      </c>
      <c r="K40" t="n">
        <v>0</v>
      </c>
      <c r="L40" t="n">
        <v>0</v>
      </c>
      <c r="M40" t="n">
        <v>0</v>
      </c>
      <c r="N40" t="n">
        <v>0</v>
      </c>
      <c r="O40" t="n">
        <v>0</v>
      </c>
      <c r="P40" t="n">
        <v>0</v>
      </c>
      <c r="Q40" t="n">
        <v>0</v>
      </c>
      <c r="R40" s="2" t="inlineStr"/>
    </row>
    <row r="41" ht="15" customHeight="1">
      <c r="A41" t="inlineStr">
        <is>
          <t>A 49955-2021</t>
        </is>
      </c>
      <c r="B41" s="1" t="n">
        <v>44456</v>
      </c>
      <c r="C41" s="1" t="n">
        <v>45910</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36394-2021</t>
        </is>
      </c>
      <c r="B42" s="1" t="n">
        <v>44389</v>
      </c>
      <c r="C42" s="1" t="n">
        <v>45910</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66467-2020</t>
        </is>
      </c>
      <c r="B43" s="1" t="n">
        <v>44176.78424768519</v>
      </c>
      <c r="C43" s="1" t="n">
        <v>45910</v>
      </c>
      <c r="D43" t="inlineStr">
        <is>
          <t>VÄSTRA GÖTALANDS LÄN</t>
        </is>
      </c>
      <c r="E43" t="inlineStr">
        <is>
          <t>ALE</t>
        </is>
      </c>
      <c r="G43" t="n">
        <v>0.6</v>
      </c>
      <c r="H43" t="n">
        <v>0</v>
      </c>
      <c r="I43" t="n">
        <v>0</v>
      </c>
      <c r="J43" t="n">
        <v>0</v>
      </c>
      <c r="K43" t="n">
        <v>0</v>
      </c>
      <c r="L43" t="n">
        <v>0</v>
      </c>
      <c r="M43" t="n">
        <v>0</v>
      </c>
      <c r="N43" t="n">
        <v>0</v>
      </c>
      <c r="O43" t="n">
        <v>0</v>
      </c>
      <c r="P43" t="n">
        <v>0</v>
      </c>
      <c r="Q43" t="n">
        <v>0</v>
      </c>
      <c r="R43" s="2" t="inlineStr"/>
    </row>
    <row r="44" ht="15" customHeight="1">
      <c r="A44" t="inlineStr">
        <is>
          <t>A 3179-2022</t>
        </is>
      </c>
      <c r="B44" s="1" t="n">
        <v>44582.61788194445</v>
      </c>
      <c r="C44" s="1" t="n">
        <v>45910</v>
      </c>
      <c r="D44" t="inlineStr">
        <is>
          <t>VÄSTRA GÖTALANDS LÄN</t>
        </is>
      </c>
      <c r="E44" t="inlineStr">
        <is>
          <t>ALE</t>
        </is>
      </c>
      <c r="G44" t="n">
        <v>2.9</v>
      </c>
      <c r="H44" t="n">
        <v>0</v>
      </c>
      <c r="I44" t="n">
        <v>0</v>
      </c>
      <c r="J44" t="n">
        <v>0</v>
      </c>
      <c r="K44" t="n">
        <v>0</v>
      </c>
      <c r="L44" t="n">
        <v>0</v>
      </c>
      <c r="M44" t="n">
        <v>0</v>
      </c>
      <c r="N44" t="n">
        <v>0</v>
      </c>
      <c r="O44" t="n">
        <v>0</v>
      </c>
      <c r="P44" t="n">
        <v>0</v>
      </c>
      <c r="Q44" t="n">
        <v>0</v>
      </c>
      <c r="R44" s="2" t="inlineStr"/>
    </row>
    <row r="45" ht="15" customHeight="1">
      <c r="A45" t="inlineStr">
        <is>
          <t>A 58099-2020</t>
        </is>
      </c>
      <c r="B45" s="1" t="n">
        <v>44144</v>
      </c>
      <c r="C45" s="1" t="n">
        <v>45910</v>
      </c>
      <c r="D45" t="inlineStr">
        <is>
          <t>VÄSTRA GÖTALANDS LÄN</t>
        </is>
      </c>
      <c r="E45" t="inlineStr">
        <is>
          <t>ALE</t>
        </is>
      </c>
      <c r="G45" t="n">
        <v>4.6</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45910</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66466-2020</t>
        </is>
      </c>
      <c r="B47" s="1" t="n">
        <v>44176</v>
      </c>
      <c r="C47" s="1" t="n">
        <v>45910</v>
      </c>
      <c r="D47" t="inlineStr">
        <is>
          <t>VÄSTRA GÖTALANDS LÄN</t>
        </is>
      </c>
      <c r="E47" t="inlineStr">
        <is>
          <t>ALE</t>
        </is>
      </c>
      <c r="G47" t="n">
        <v>1.7</v>
      </c>
      <c r="H47" t="n">
        <v>0</v>
      </c>
      <c r="I47" t="n">
        <v>0</v>
      </c>
      <c r="J47" t="n">
        <v>0</v>
      </c>
      <c r="K47" t="n">
        <v>0</v>
      </c>
      <c r="L47" t="n">
        <v>0</v>
      </c>
      <c r="M47" t="n">
        <v>0</v>
      </c>
      <c r="N47" t="n">
        <v>0</v>
      </c>
      <c r="O47" t="n">
        <v>0</v>
      </c>
      <c r="P47" t="n">
        <v>0</v>
      </c>
      <c r="Q47" t="n">
        <v>0</v>
      </c>
      <c r="R47" s="2" t="inlineStr"/>
    </row>
    <row r="48" ht="15" customHeight="1">
      <c r="A48" t="inlineStr">
        <is>
          <t>A 20285-2022</t>
        </is>
      </c>
      <c r="B48" s="1" t="n">
        <v>44698.76347222222</v>
      </c>
      <c r="C48" s="1" t="n">
        <v>45910</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65222-2021</t>
        </is>
      </c>
      <c r="B49" s="1" t="n">
        <v>44515</v>
      </c>
      <c r="C49" s="1" t="n">
        <v>45910</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22138-2021</t>
        </is>
      </c>
      <c r="B50" s="1" t="n">
        <v>44324.67472222223</v>
      </c>
      <c r="C50" s="1" t="n">
        <v>45910</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35148-2021</t>
        </is>
      </c>
      <c r="B51" s="1" t="n">
        <v>44384</v>
      </c>
      <c r="C51" s="1" t="n">
        <v>45910</v>
      </c>
      <c r="D51" t="inlineStr">
        <is>
          <t>VÄSTRA GÖTALANDS LÄN</t>
        </is>
      </c>
      <c r="E51" t="inlineStr">
        <is>
          <t>ALE</t>
        </is>
      </c>
      <c r="G51" t="n">
        <v>1.1</v>
      </c>
      <c r="H51" t="n">
        <v>0</v>
      </c>
      <c r="I51" t="n">
        <v>0</v>
      </c>
      <c r="J51" t="n">
        <v>0</v>
      </c>
      <c r="K51" t="n">
        <v>0</v>
      </c>
      <c r="L51" t="n">
        <v>0</v>
      </c>
      <c r="M51" t="n">
        <v>0</v>
      </c>
      <c r="N51" t="n">
        <v>0</v>
      </c>
      <c r="O51" t="n">
        <v>0</v>
      </c>
      <c r="P51" t="n">
        <v>0</v>
      </c>
      <c r="Q51" t="n">
        <v>0</v>
      </c>
      <c r="R51" s="2" t="inlineStr"/>
    </row>
    <row r="52" ht="15" customHeight="1">
      <c r="A52" t="inlineStr">
        <is>
          <t>A 46391-2021</t>
        </is>
      </c>
      <c r="B52" s="1" t="n">
        <v>44443</v>
      </c>
      <c r="C52" s="1" t="n">
        <v>45910</v>
      </c>
      <c r="D52" t="inlineStr">
        <is>
          <t>VÄSTRA GÖTALANDS LÄN</t>
        </is>
      </c>
      <c r="E52" t="inlineStr">
        <is>
          <t>ALE</t>
        </is>
      </c>
      <c r="G52" t="n">
        <v>1.3</v>
      </c>
      <c r="H52" t="n">
        <v>0</v>
      </c>
      <c r="I52" t="n">
        <v>0</v>
      </c>
      <c r="J52" t="n">
        <v>0</v>
      </c>
      <c r="K52" t="n">
        <v>0</v>
      </c>
      <c r="L52" t="n">
        <v>0</v>
      </c>
      <c r="M52" t="n">
        <v>0</v>
      </c>
      <c r="N52" t="n">
        <v>0</v>
      </c>
      <c r="O52" t="n">
        <v>0</v>
      </c>
      <c r="P52" t="n">
        <v>0</v>
      </c>
      <c r="Q52" t="n">
        <v>0</v>
      </c>
      <c r="R52" s="2" t="inlineStr"/>
    </row>
    <row r="53" ht="15" customHeight="1">
      <c r="A53" t="inlineStr">
        <is>
          <t>A 45986-2021</t>
        </is>
      </c>
      <c r="B53" s="1" t="n">
        <v>44441</v>
      </c>
      <c r="C53" s="1" t="n">
        <v>45910</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3293-2021</t>
        </is>
      </c>
      <c r="B54" s="1" t="n">
        <v>44217</v>
      </c>
      <c r="C54" s="1" t="n">
        <v>45910</v>
      </c>
      <c r="D54" t="inlineStr">
        <is>
          <t>VÄSTRA GÖTALANDS LÄN</t>
        </is>
      </c>
      <c r="E54" t="inlineStr">
        <is>
          <t>ALE</t>
        </is>
      </c>
      <c r="G54" t="n">
        <v>4.2</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45910</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12445-2022</t>
        </is>
      </c>
      <c r="B56" s="1" t="n">
        <v>44638</v>
      </c>
      <c r="C56" s="1" t="n">
        <v>45910</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14751-2022</t>
        </is>
      </c>
      <c r="B57" s="1" t="n">
        <v>44656.3837037037</v>
      </c>
      <c r="C57" s="1" t="n">
        <v>45910</v>
      </c>
      <c r="D57" t="inlineStr">
        <is>
          <t>VÄSTRA GÖTALANDS LÄN</t>
        </is>
      </c>
      <c r="E57" t="inlineStr">
        <is>
          <t>ALE</t>
        </is>
      </c>
      <c r="G57" t="n">
        <v>1.6</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45910</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31566-2021</t>
        </is>
      </c>
      <c r="B59" s="1" t="n">
        <v>44369</v>
      </c>
      <c r="C59" s="1" t="n">
        <v>45910</v>
      </c>
      <c r="D59" t="inlineStr">
        <is>
          <t>VÄSTRA GÖTALANDS LÄN</t>
        </is>
      </c>
      <c r="E59" t="inlineStr">
        <is>
          <t>ALE</t>
        </is>
      </c>
      <c r="G59" t="n">
        <v>1.1</v>
      </c>
      <c r="H59" t="n">
        <v>0</v>
      </c>
      <c r="I59" t="n">
        <v>0</v>
      </c>
      <c r="J59" t="n">
        <v>0</v>
      </c>
      <c r="K59" t="n">
        <v>0</v>
      </c>
      <c r="L59" t="n">
        <v>0</v>
      </c>
      <c r="M59" t="n">
        <v>0</v>
      </c>
      <c r="N59" t="n">
        <v>0</v>
      </c>
      <c r="O59" t="n">
        <v>0</v>
      </c>
      <c r="P59" t="n">
        <v>0</v>
      </c>
      <c r="Q59" t="n">
        <v>0</v>
      </c>
      <c r="R59" s="2" t="inlineStr"/>
    </row>
    <row r="60" ht="15" customHeight="1">
      <c r="A60" t="inlineStr">
        <is>
          <t>A 53144-2021</t>
        </is>
      </c>
      <c r="B60" s="1" t="n">
        <v>44468</v>
      </c>
      <c r="C60" s="1" t="n">
        <v>45910</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6916-2023</t>
        </is>
      </c>
      <c r="B61" s="1" t="n">
        <v>44967.53349537037</v>
      </c>
      <c r="C61" s="1" t="n">
        <v>45910</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26083-2023</t>
        </is>
      </c>
      <c r="B62" s="1" t="n">
        <v>45091</v>
      </c>
      <c r="C62" s="1" t="n">
        <v>45910</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44429-2023</t>
        </is>
      </c>
      <c r="B63" s="1" t="n">
        <v>45189.35101851852</v>
      </c>
      <c r="C63" s="1" t="n">
        <v>45910</v>
      </c>
      <c r="D63" t="inlineStr">
        <is>
          <t>VÄSTRA GÖTALANDS LÄN</t>
        </is>
      </c>
      <c r="E63" t="inlineStr">
        <is>
          <t>ALE</t>
        </is>
      </c>
      <c r="G63" t="n">
        <v>0.1</v>
      </c>
      <c r="H63" t="n">
        <v>0</v>
      </c>
      <c r="I63" t="n">
        <v>0</v>
      </c>
      <c r="J63" t="n">
        <v>0</v>
      </c>
      <c r="K63" t="n">
        <v>0</v>
      </c>
      <c r="L63" t="n">
        <v>0</v>
      </c>
      <c r="M63" t="n">
        <v>0</v>
      </c>
      <c r="N63" t="n">
        <v>0</v>
      </c>
      <c r="O63" t="n">
        <v>0</v>
      </c>
      <c r="P63" t="n">
        <v>0</v>
      </c>
      <c r="Q63" t="n">
        <v>0</v>
      </c>
      <c r="R63" s="2" t="inlineStr"/>
    </row>
    <row r="64" ht="15" customHeight="1">
      <c r="A64" t="inlineStr">
        <is>
          <t>A 50451-2024</t>
        </is>
      </c>
      <c r="B64" s="1" t="n">
        <v>45601.44248842593</v>
      </c>
      <c r="C64" s="1" t="n">
        <v>45910</v>
      </c>
      <c r="D64" t="inlineStr">
        <is>
          <t>VÄSTRA GÖTALANDS LÄN</t>
        </is>
      </c>
      <c r="E64" t="inlineStr">
        <is>
          <t>ALE</t>
        </is>
      </c>
      <c r="G64" t="n">
        <v>2.9</v>
      </c>
      <c r="H64" t="n">
        <v>0</v>
      </c>
      <c r="I64" t="n">
        <v>0</v>
      </c>
      <c r="J64" t="n">
        <v>0</v>
      </c>
      <c r="K64" t="n">
        <v>0</v>
      </c>
      <c r="L64" t="n">
        <v>0</v>
      </c>
      <c r="M64" t="n">
        <v>0</v>
      </c>
      <c r="N64" t="n">
        <v>0</v>
      </c>
      <c r="O64" t="n">
        <v>0</v>
      </c>
      <c r="P64" t="n">
        <v>0</v>
      </c>
      <c r="Q64" t="n">
        <v>0</v>
      </c>
      <c r="R64" s="2" t="inlineStr"/>
    </row>
    <row r="65" ht="15" customHeight="1">
      <c r="A65" t="inlineStr">
        <is>
          <t>A 16344-2023</t>
        </is>
      </c>
      <c r="B65" s="1" t="n">
        <v>45028</v>
      </c>
      <c r="C65" s="1" t="n">
        <v>45910</v>
      </c>
      <c r="D65" t="inlineStr">
        <is>
          <t>VÄSTRA GÖTALANDS LÄN</t>
        </is>
      </c>
      <c r="E65" t="inlineStr">
        <is>
          <t>ALE</t>
        </is>
      </c>
      <c r="G65" t="n">
        <v>6.6</v>
      </c>
      <c r="H65" t="n">
        <v>0</v>
      </c>
      <c r="I65" t="n">
        <v>0</v>
      </c>
      <c r="J65" t="n">
        <v>0</v>
      </c>
      <c r="K65" t="n">
        <v>0</v>
      </c>
      <c r="L65" t="n">
        <v>0</v>
      </c>
      <c r="M65" t="n">
        <v>0</v>
      </c>
      <c r="N65" t="n">
        <v>0</v>
      </c>
      <c r="O65" t="n">
        <v>0</v>
      </c>
      <c r="P65" t="n">
        <v>0</v>
      </c>
      <c r="Q65" t="n">
        <v>0</v>
      </c>
      <c r="R65" s="2" t="inlineStr"/>
    </row>
    <row r="66" ht="15" customHeight="1">
      <c r="A66" t="inlineStr">
        <is>
          <t>A 1822-2024</t>
        </is>
      </c>
      <c r="B66" s="1" t="n">
        <v>45307.6205787037</v>
      </c>
      <c r="C66" s="1" t="n">
        <v>45910</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34104-2024</t>
        </is>
      </c>
      <c r="B67" s="1" t="n">
        <v>45523.79202546296</v>
      </c>
      <c r="C67" s="1" t="n">
        <v>45910</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4363-2024</t>
        </is>
      </c>
      <c r="B68" s="1" t="n">
        <v>45325</v>
      </c>
      <c r="C68" s="1" t="n">
        <v>45910</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3418-2023</t>
        </is>
      </c>
      <c r="B69" s="1" t="n">
        <v>44949.56182870371</v>
      </c>
      <c r="C69" s="1" t="n">
        <v>45910</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45988-2021</t>
        </is>
      </c>
      <c r="B70" s="1" t="n">
        <v>44441</v>
      </c>
      <c r="C70" s="1" t="n">
        <v>45910</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57473-2022</t>
        </is>
      </c>
      <c r="B71" s="1" t="n">
        <v>44896</v>
      </c>
      <c r="C71" s="1" t="n">
        <v>45910</v>
      </c>
      <c r="D71" t="inlineStr">
        <is>
          <t>VÄSTRA GÖTALANDS LÄN</t>
        </is>
      </c>
      <c r="E71" t="inlineStr">
        <is>
          <t>ALE</t>
        </is>
      </c>
      <c r="G71" t="n">
        <v>0.7</v>
      </c>
      <c r="H71" t="n">
        <v>0</v>
      </c>
      <c r="I71" t="n">
        <v>0</v>
      </c>
      <c r="J71" t="n">
        <v>0</v>
      </c>
      <c r="K71" t="n">
        <v>0</v>
      </c>
      <c r="L71" t="n">
        <v>0</v>
      </c>
      <c r="M71" t="n">
        <v>0</v>
      </c>
      <c r="N71" t="n">
        <v>0</v>
      </c>
      <c r="O71" t="n">
        <v>0</v>
      </c>
      <c r="P71" t="n">
        <v>0</v>
      </c>
      <c r="Q71" t="n">
        <v>0</v>
      </c>
      <c r="R71" s="2" t="inlineStr"/>
    </row>
    <row r="72" ht="15" customHeight="1">
      <c r="A72" t="inlineStr">
        <is>
          <t>A 4971-2024</t>
        </is>
      </c>
      <c r="B72" s="1" t="n">
        <v>45329</v>
      </c>
      <c r="C72" s="1" t="n">
        <v>45910</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22946-2025</t>
        </is>
      </c>
      <c r="B73" s="1" t="n">
        <v>45790.48229166667</v>
      </c>
      <c r="C73" s="1" t="n">
        <v>45910</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20067-2023</t>
        </is>
      </c>
      <c r="B74" s="1" t="n">
        <v>45054</v>
      </c>
      <c r="C74" s="1" t="n">
        <v>45910</v>
      </c>
      <c r="D74" t="inlineStr">
        <is>
          <t>VÄSTRA GÖTALANDS LÄN</t>
        </is>
      </c>
      <c r="E74" t="inlineStr">
        <is>
          <t>ALE</t>
        </is>
      </c>
      <c r="G74" t="n">
        <v>0.4</v>
      </c>
      <c r="H74" t="n">
        <v>0</v>
      </c>
      <c r="I74" t="n">
        <v>0</v>
      </c>
      <c r="J74" t="n">
        <v>0</v>
      </c>
      <c r="K74" t="n">
        <v>0</v>
      </c>
      <c r="L74" t="n">
        <v>0</v>
      </c>
      <c r="M74" t="n">
        <v>0</v>
      </c>
      <c r="N74" t="n">
        <v>0</v>
      </c>
      <c r="O74" t="n">
        <v>0</v>
      </c>
      <c r="P74" t="n">
        <v>0</v>
      </c>
      <c r="Q74" t="n">
        <v>0</v>
      </c>
      <c r="R74" s="2" t="inlineStr"/>
    </row>
    <row r="75" ht="15" customHeight="1">
      <c r="A75" t="inlineStr">
        <is>
          <t>A 66551-2020</t>
        </is>
      </c>
      <c r="B75" s="1" t="n">
        <v>44179</v>
      </c>
      <c r="C75" s="1" t="n">
        <v>45910</v>
      </c>
      <c r="D75" t="inlineStr">
        <is>
          <t>VÄSTRA GÖTALANDS LÄN</t>
        </is>
      </c>
      <c r="E75" t="inlineStr">
        <is>
          <t>ALE</t>
        </is>
      </c>
      <c r="G75" t="n">
        <v>4.5</v>
      </c>
      <c r="H75" t="n">
        <v>0</v>
      </c>
      <c r="I75" t="n">
        <v>0</v>
      </c>
      <c r="J75" t="n">
        <v>0</v>
      </c>
      <c r="K75" t="n">
        <v>0</v>
      </c>
      <c r="L75" t="n">
        <v>0</v>
      </c>
      <c r="M75" t="n">
        <v>0</v>
      </c>
      <c r="N75" t="n">
        <v>0</v>
      </c>
      <c r="O75" t="n">
        <v>0</v>
      </c>
      <c r="P75" t="n">
        <v>0</v>
      </c>
      <c r="Q75" t="n">
        <v>0</v>
      </c>
      <c r="R75" s="2" t="inlineStr"/>
    </row>
    <row r="76" ht="15" customHeight="1">
      <c r="A76" t="inlineStr">
        <is>
          <t>A 37461-2024</t>
        </is>
      </c>
      <c r="B76" s="1" t="n">
        <v>45540.72516203704</v>
      </c>
      <c r="C76" s="1" t="n">
        <v>45910</v>
      </c>
      <c r="D76" t="inlineStr">
        <is>
          <t>VÄSTRA GÖTALANDS LÄN</t>
        </is>
      </c>
      <c r="E76" t="inlineStr">
        <is>
          <t>ALE</t>
        </is>
      </c>
      <c r="G76" t="n">
        <v>1.6</v>
      </c>
      <c r="H76" t="n">
        <v>0</v>
      </c>
      <c r="I76" t="n">
        <v>0</v>
      </c>
      <c r="J76" t="n">
        <v>0</v>
      </c>
      <c r="K76" t="n">
        <v>0</v>
      </c>
      <c r="L76" t="n">
        <v>0</v>
      </c>
      <c r="M76" t="n">
        <v>0</v>
      </c>
      <c r="N76" t="n">
        <v>0</v>
      </c>
      <c r="O76" t="n">
        <v>0</v>
      </c>
      <c r="P76" t="n">
        <v>0</v>
      </c>
      <c r="Q76" t="n">
        <v>0</v>
      </c>
      <c r="R76" s="2" t="inlineStr"/>
    </row>
    <row r="77" ht="15" customHeight="1">
      <c r="A77" t="inlineStr">
        <is>
          <t>A 1960-2024</t>
        </is>
      </c>
      <c r="B77" s="1" t="n">
        <v>45308.50962962963</v>
      </c>
      <c r="C77" s="1" t="n">
        <v>45910</v>
      </c>
      <c r="D77" t="inlineStr">
        <is>
          <t>VÄSTRA GÖTALANDS LÄN</t>
        </is>
      </c>
      <c r="E77" t="inlineStr">
        <is>
          <t>ALE</t>
        </is>
      </c>
      <c r="G77" t="n">
        <v>1.9</v>
      </c>
      <c r="H77" t="n">
        <v>0</v>
      </c>
      <c r="I77" t="n">
        <v>0</v>
      </c>
      <c r="J77" t="n">
        <v>0</v>
      </c>
      <c r="K77" t="n">
        <v>0</v>
      </c>
      <c r="L77" t="n">
        <v>0</v>
      </c>
      <c r="M77" t="n">
        <v>0</v>
      </c>
      <c r="N77" t="n">
        <v>0</v>
      </c>
      <c r="O77" t="n">
        <v>0</v>
      </c>
      <c r="P77" t="n">
        <v>0</v>
      </c>
      <c r="Q77" t="n">
        <v>0</v>
      </c>
      <c r="R77" s="2" t="inlineStr"/>
    </row>
    <row r="78" ht="15" customHeight="1">
      <c r="A78" t="inlineStr">
        <is>
          <t>A 41607-2022</t>
        </is>
      </c>
      <c r="B78" s="1" t="n">
        <v>44827.46658564815</v>
      </c>
      <c r="C78" s="1" t="n">
        <v>45910</v>
      </c>
      <c r="D78" t="inlineStr">
        <is>
          <t>VÄSTRA GÖTALANDS LÄN</t>
        </is>
      </c>
      <c r="E78" t="inlineStr">
        <is>
          <t>ALE</t>
        </is>
      </c>
      <c r="G78" t="n">
        <v>3.6</v>
      </c>
      <c r="H78" t="n">
        <v>0</v>
      </c>
      <c r="I78" t="n">
        <v>0</v>
      </c>
      <c r="J78" t="n">
        <v>0</v>
      </c>
      <c r="K78" t="n">
        <v>0</v>
      </c>
      <c r="L78" t="n">
        <v>0</v>
      </c>
      <c r="M78" t="n">
        <v>0</v>
      </c>
      <c r="N78" t="n">
        <v>0</v>
      </c>
      <c r="O78" t="n">
        <v>0</v>
      </c>
      <c r="P78" t="n">
        <v>0</v>
      </c>
      <c r="Q78" t="n">
        <v>0</v>
      </c>
      <c r="R78" s="2" t="inlineStr"/>
    </row>
    <row r="79" ht="15" customHeight="1">
      <c r="A79" t="inlineStr">
        <is>
          <t>A 15499-2022</t>
        </is>
      </c>
      <c r="B79" s="1" t="n">
        <v>44662</v>
      </c>
      <c r="C79" s="1" t="n">
        <v>45910</v>
      </c>
      <c r="D79" t="inlineStr">
        <is>
          <t>VÄSTRA GÖTALANDS LÄN</t>
        </is>
      </c>
      <c r="E79" t="inlineStr">
        <is>
          <t>ALE</t>
        </is>
      </c>
      <c r="G79" t="n">
        <v>4.7</v>
      </c>
      <c r="H79" t="n">
        <v>0</v>
      </c>
      <c r="I79" t="n">
        <v>0</v>
      </c>
      <c r="J79" t="n">
        <v>0</v>
      </c>
      <c r="K79" t="n">
        <v>0</v>
      </c>
      <c r="L79" t="n">
        <v>0</v>
      </c>
      <c r="M79" t="n">
        <v>0</v>
      </c>
      <c r="N79" t="n">
        <v>0</v>
      </c>
      <c r="O79" t="n">
        <v>0</v>
      </c>
      <c r="P79" t="n">
        <v>0</v>
      </c>
      <c r="Q79" t="n">
        <v>0</v>
      </c>
      <c r="R79" s="2" t="inlineStr"/>
    </row>
    <row r="80" ht="15" customHeight="1">
      <c r="A80" t="inlineStr">
        <is>
          <t>A 48257-2022</t>
        </is>
      </c>
      <c r="B80" s="1" t="n">
        <v>44858.47591435185</v>
      </c>
      <c r="C80" s="1" t="n">
        <v>45910</v>
      </c>
      <c r="D80" t="inlineStr">
        <is>
          <t>VÄSTRA GÖTALANDS LÄN</t>
        </is>
      </c>
      <c r="E80" t="inlineStr">
        <is>
          <t>ALE</t>
        </is>
      </c>
      <c r="G80" t="n">
        <v>1</v>
      </c>
      <c r="H80" t="n">
        <v>0</v>
      </c>
      <c r="I80" t="n">
        <v>0</v>
      </c>
      <c r="J80" t="n">
        <v>0</v>
      </c>
      <c r="K80" t="n">
        <v>0</v>
      </c>
      <c r="L80" t="n">
        <v>0</v>
      </c>
      <c r="M80" t="n">
        <v>0</v>
      </c>
      <c r="N80" t="n">
        <v>0</v>
      </c>
      <c r="O80" t="n">
        <v>0</v>
      </c>
      <c r="P80" t="n">
        <v>0</v>
      </c>
      <c r="Q80" t="n">
        <v>0</v>
      </c>
      <c r="R80" s="2" t="inlineStr"/>
    </row>
    <row r="81" ht="15" customHeight="1">
      <c r="A81" t="inlineStr">
        <is>
          <t>A 53476-2023</t>
        </is>
      </c>
      <c r="B81" s="1" t="n">
        <v>45230.33737268519</v>
      </c>
      <c r="C81" s="1" t="n">
        <v>45910</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41309-2024</t>
        </is>
      </c>
      <c r="B82" s="1" t="n">
        <v>45559</v>
      </c>
      <c r="C82" s="1" t="n">
        <v>45910</v>
      </c>
      <c r="D82" t="inlineStr">
        <is>
          <t>VÄSTRA GÖTALANDS LÄN</t>
        </is>
      </c>
      <c r="E82" t="inlineStr">
        <is>
          <t>ALE</t>
        </is>
      </c>
      <c r="G82" t="n">
        <v>8.4</v>
      </c>
      <c r="H82" t="n">
        <v>0</v>
      </c>
      <c r="I82" t="n">
        <v>0</v>
      </c>
      <c r="J82" t="n">
        <v>0</v>
      </c>
      <c r="K82" t="n">
        <v>0</v>
      </c>
      <c r="L82" t="n">
        <v>0</v>
      </c>
      <c r="M82" t="n">
        <v>0</v>
      </c>
      <c r="N82" t="n">
        <v>0</v>
      </c>
      <c r="O82" t="n">
        <v>0</v>
      </c>
      <c r="P82" t="n">
        <v>0</v>
      </c>
      <c r="Q82" t="n">
        <v>0</v>
      </c>
      <c r="R82" s="2" t="inlineStr"/>
    </row>
    <row r="83" ht="15" customHeight="1">
      <c r="A83" t="inlineStr">
        <is>
          <t>A 55405-2021</t>
        </is>
      </c>
      <c r="B83" s="1" t="n">
        <v>44475.53733796296</v>
      </c>
      <c r="C83" s="1" t="n">
        <v>45910</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51164-2024</t>
        </is>
      </c>
      <c r="B84" s="1" t="n">
        <v>45603.5830787037</v>
      </c>
      <c r="C84" s="1" t="n">
        <v>45910</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25849-2025</t>
        </is>
      </c>
      <c r="B85" s="1" t="n">
        <v>45804</v>
      </c>
      <c r="C85" s="1" t="n">
        <v>45910</v>
      </c>
      <c r="D85" t="inlineStr">
        <is>
          <t>VÄSTRA GÖTALANDS LÄN</t>
        </is>
      </c>
      <c r="E85" t="inlineStr">
        <is>
          <t>ALE</t>
        </is>
      </c>
      <c r="G85" t="n">
        <v>0.8</v>
      </c>
      <c r="H85" t="n">
        <v>0</v>
      </c>
      <c r="I85" t="n">
        <v>0</v>
      </c>
      <c r="J85" t="n">
        <v>0</v>
      </c>
      <c r="K85" t="n">
        <v>0</v>
      </c>
      <c r="L85" t="n">
        <v>0</v>
      </c>
      <c r="M85" t="n">
        <v>0</v>
      </c>
      <c r="N85" t="n">
        <v>0</v>
      </c>
      <c r="O85" t="n">
        <v>0</v>
      </c>
      <c r="P85" t="n">
        <v>0</v>
      </c>
      <c r="Q85" t="n">
        <v>0</v>
      </c>
      <c r="R85" s="2" t="inlineStr"/>
    </row>
    <row r="86" ht="15" customHeight="1">
      <c r="A86" t="inlineStr">
        <is>
          <t>A 63575-2023</t>
        </is>
      </c>
      <c r="B86" s="1" t="n">
        <v>45275.39715277778</v>
      </c>
      <c r="C86" s="1" t="n">
        <v>45910</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25848-2025</t>
        </is>
      </c>
      <c r="B87" s="1" t="n">
        <v>45804</v>
      </c>
      <c r="C87" s="1" t="n">
        <v>45910</v>
      </c>
      <c r="D87" t="inlineStr">
        <is>
          <t>VÄSTRA GÖTALANDS LÄN</t>
        </is>
      </c>
      <c r="E87" t="inlineStr">
        <is>
          <t>ALE</t>
        </is>
      </c>
      <c r="G87" t="n">
        <v>1.1</v>
      </c>
      <c r="H87" t="n">
        <v>0</v>
      </c>
      <c r="I87" t="n">
        <v>0</v>
      </c>
      <c r="J87" t="n">
        <v>0</v>
      </c>
      <c r="K87" t="n">
        <v>0</v>
      </c>
      <c r="L87" t="n">
        <v>0</v>
      </c>
      <c r="M87" t="n">
        <v>0</v>
      </c>
      <c r="N87" t="n">
        <v>0</v>
      </c>
      <c r="O87" t="n">
        <v>0</v>
      </c>
      <c r="P87" t="n">
        <v>0</v>
      </c>
      <c r="Q87" t="n">
        <v>0</v>
      </c>
      <c r="R87" s="2" t="inlineStr"/>
    </row>
    <row r="88" ht="15" customHeight="1">
      <c r="A88" t="inlineStr">
        <is>
          <t>A 25840-2025</t>
        </is>
      </c>
      <c r="B88" s="1" t="n">
        <v>45804</v>
      </c>
      <c r="C88" s="1" t="n">
        <v>45910</v>
      </c>
      <c r="D88" t="inlineStr">
        <is>
          <t>VÄSTRA GÖTALANDS LÄN</t>
        </is>
      </c>
      <c r="E88" t="inlineStr">
        <is>
          <t>ALE</t>
        </is>
      </c>
      <c r="G88" t="n">
        <v>3.8</v>
      </c>
      <c r="H88" t="n">
        <v>0</v>
      </c>
      <c r="I88" t="n">
        <v>0</v>
      </c>
      <c r="J88" t="n">
        <v>0</v>
      </c>
      <c r="K88" t="n">
        <v>0</v>
      </c>
      <c r="L88" t="n">
        <v>0</v>
      </c>
      <c r="M88" t="n">
        <v>0</v>
      </c>
      <c r="N88" t="n">
        <v>0</v>
      </c>
      <c r="O88" t="n">
        <v>0</v>
      </c>
      <c r="P88" t="n">
        <v>0</v>
      </c>
      <c r="Q88" t="n">
        <v>0</v>
      </c>
      <c r="R88" s="2" t="inlineStr"/>
    </row>
    <row r="89" ht="15" customHeight="1">
      <c r="A89" t="inlineStr">
        <is>
          <t>A 7807-2023</t>
        </is>
      </c>
      <c r="B89" s="1" t="n">
        <v>44973</v>
      </c>
      <c r="C89" s="1" t="n">
        <v>45910</v>
      </c>
      <c r="D89" t="inlineStr">
        <is>
          <t>VÄSTRA GÖTALANDS LÄN</t>
        </is>
      </c>
      <c r="E89" t="inlineStr">
        <is>
          <t>ALE</t>
        </is>
      </c>
      <c r="G89" t="n">
        <v>10.5</v>
      </c>
      <c r="H89" t="n">
        <v>0</v>
      </c>
      <c r="I89" t="n">
        <v>0</v>
      </c>
      <c r="J89" t="n">
        <v>0</v>
      </c>
      <c r="K89" t="n">
        <v>0</v>
      </c>
      <c r="L89" t="n">
        <v>0</v>
      </c>
      <c r="M89" t="n">
        <v>0</v>
      </c>
      <c r="N89" t="n">
        <v>0</v>
      </c>
      <c r="O89" t="n">
        <v>0</v>
      </c>
      <c r="P89" t="n">
        <v>0</v>
      </c>
      <c r="Q89" t="n">
        <v>0</v>
      </c>
      <c r="R89" s="2" t="inlineStr"/>
    </row>
    <row r="90" ht="15" customHeight="1">
      <c r="A90" t="inlineStr">
        <is>
          <t>A 56493-2021</t>
        </is>
      </c>
      <c r="B90" s="1" t="n">
        <v>44480.57173611111</v>
      </c>
      <c r="C90" s="1" t="n">
        <v>45910</v>
      </c>
      <c r="D90" t="inlineStr">
        <is>
          <t>VÄSTRA GÖTALANDS LÄN</t>
        </is>
      </c>
      <c r="E90" t="inlineStr">
        <is>
          <t>ALE</t>
        </is>
      </c>
      <c r="G90" t="n">
        <v>1.7</v>
      </c>
      <c r="H90" t="n">
        <v>0</v>
      </c>
      <c r="I90" t="n">
        <v>0</v>
      </c>
      <c r="J90" t="n">
        <v>0</v>
      </c>
      <c r="K90" t="n">
        <v>0</v>
      </c>
      <c r="L90" t="n">
        <v>0</v>
      </c>
      <c r="M90" t="n">
        <v>0</v>
      </c>
      <c r="N90" t="n">
        <v>0</v>
      </c>
      <c r="O90" t="n">
        <v>0</v>
      </c>
      <c r="P90" t="n">
        <v>0</v>
      </c>
      <c r="Q90" t="n">
        <v>0</v>
      </c>
      <c r="R90" s="2" t="inlineStr"/>
    </row>
    <row r="91" ht="15" customHeight="1">
      <c r="A91" t="inlineStr">
        <is>
          <t>A 3413-2023</t>
        </is>
      </c>
      <c r="B91" s="1" t="n">
        <v>44949</v>
      </c>
      <c r="C91" s="1" t="n">
        <v>45910</v>
      </c>
      <c r="D91" t="inlineStr">
        <is>
          <t>VÄSTRA GÖTALANDS LÄN</t>
        </is>
      </c>
      <c r="E91" t="inlineStr">
        <is>
          <t>ALE</t>
        </is>
      </c>
      <c r="G91" t="n">
        <v>2.3</v>
      </c>
      <c r="H91" t="n">
        <v>0</v>
      </c>
      <c r="I91" t="n">
        <v>0</v>
      </c>
      <c r="J91" t="n">
        <v>0</v>
      </c>
      <c r="K91" t="n">
        <v>0</v>
      </c>
      <c r="L91" t="n">
        <v>0</v>
      </c>
      <c r="M91" t="n">
        <v>0</v>
      </c>
      <c r="N91" t="n">
        <v>0</v>
      </c>
      <c r="O91" t="n">
        <v>0</v>
      </c>
      <c r="P91" t="n">
        <v>0</v>
      </c>
      <c r="Q91" t="n">
        <v>0</v>
      </c>
      <c r="R91" s="2" t="inlineStr"/>
    </row>
    <row r="92" ht="15" customHeight="1">
      <c r="A92" t="inlineStr">
        <is>
          <t>A 24642-2022</t>
        </is>
      </c>
      <c r="B92" s="1" t="n">
        <v>44727.59578703704</v>
      </c>
      <c r="C92" s="1" t="n">
        <v>45910</v>
      </c>
      <c r="D92" t="inlineStr">
        <is>
          <t>VÄSTRA GÖTALANDS LÄN</t>
        </is>
      </c>
      <c r="E92" t="inlineStr">
        <is>
          <t>ALE</t>
        </is>
      </c>
      <c r="G92" t="n">
        <v>10</v>
      </c>
      <c r="H92" t="n">
        <v>0</v>
      </c>
      <c r="I92" t="n">
        <v>0</v>
      </c>
      <c r="J92" t="n">
        <v>0</v>
      </c>
      <c r="K92" t="n">
        <v>0</v>
      </c>
      <c r="L92" t="n">
        <v>0</v>
      </c>
      <c r="M92" t="n">
        <v>0</v>
      </c>
      <c r="N92" t="n">
        <v>0</v>
      </c>
      <c r="O92" t="n">
        <v>0</v>
      </c>
      <c r="P92" t="n">
        <v>0</v>
      </c>
      <c r="Q92" t="n">
        <v>0</v>
      </c>
      <c r="R92" s="2" t="inlineStr"/>
    </row>
    <row r="93" ht="15" customHeight="1">
      <c r="A93" t="inlineStr">
        <is>
          <t>A 32762-2023</t>
        </is>
      </c>
      <c r="B93" s="1" t="n">
        <v>45123.46649305556</v>
      </c>
      <c r="C93" s="1" t="n">
        <v>45910</v>
      </c>
      <c r="D93" t="inlineStr">
        <is>
          <t>VÄSTRA GÖTALANDS LÄN</t>
        </is>
      </c>
      <c r="E93" t="inlineStr">
        <is>
          <t>ALE</t>
        </is>
      </c>
      <c r="G93" t="n">
        <v>1</v>
      </c>
      <c r="H93" t="n">
        <v>0</v>
      </c>
      <c r="I93" t="n">
        <v>0</v>
      </c>
      <c r="J93" t="n">
        <v>0</v>
      </c>
      <c r="K93" t="n">
        <v>0</v>
      </c>
      <c r="L93" t="n">
        <v>0</v>
      </c>
      <c r="M93" t="n">
        <v>0</v>
      </c>
      <c r="N93" t="n">
        <v>0</v>
      </c>
      <c r="O93" t="n">
        <v>0</v>
      </c>
      <c r="P93" t="n">
        <v>0</v>
      </c>
      <c r="Q93" t="n">
        <v>0</v>
      </c>
      <c r="R93" s="2" t="inlineStr"/>
    </row>
    <row r="94" ht="15" customHeight="1">
      <c r="A94" t="inlineStr">
        <is>
          <t>A 18637-2023</t>
        </is>
      </c>
      <c r="B94" s="1" t="n">
        <v>45043</v>
      </c>
      <c r="C94" s="1" t="n">
        <v>45910</v>
      </c>
      <c r="D94" t="inlineStr">
        <is>
          <t>VÄSTRA GÖTALANDS LÄN</t>
        </is>
      </c>
      <c r="E94" t="inlineStr">
        <is>
          <t>ALE</t>
        </is>
      </c>
      <c r="G94" t="n">
        <v>3.6</v>
      </c>
      <c r="H94" t="n">
        <v>0</v>
      </c>
      <c r="I94" t="n">
        <v>0</v>
      </c>
      <c r="J94" t="n">
        <v>0</v>
      </c>
      <c r="K94" t="n">
        <v>0</v>
      </c>
      <c r="L94" t="n">
        <v>0</v>
      </c>
      <c r="M94" t="n">
        <v>0</v>
      </c>
      <c r="N94" t="n">
        <v>0</v>
      </c>
      <c r="O94" t="n">
        <v>0</v>
      </c>
      <c r="P94" t="n">
        <v>0</v>
      </c>
      <c r="Q94" t="n">
        <v>0</v>
      </c>
      <c r="R94" s="2" t="inlineStr"/>
    </row>
    <row r="95" ht="15" customHeight="1">
      <c r="A95" t="inlineStr">
        <is>
          <t>A 59933-2023</t>
        </is>
      </c>
      <c r="B95" s="1" t="n">
        <v>45257</v>
      </c>
      <c r="C95" s="1" t="n">
        <v>45910</v>
      </c>
      <c r="D95" t="inlineStr">
        <is>
          <t>VÄSTRA GÖTALANDS LÄN</t>
        </is>
      </c>
      <c r="E95" t="inlineStr">
        <is>
          <t>ALE</t>
        </is>
      </c>
      <c r="G95" t="n">
        <v>2.7</v>
      </c>
      <c r="H95" t="n">
        <v>0</v>
      </c>
      <c r="I95" t="n">
        <v>0</v>
      </c>
      <c r="J95" t="n">
        <v>0</v>
      </c>
      <c r="K95" t="n">
        <v>0</v>
      </c>
      <c r="L95" t="n">
        <v>0</v>
      </c>
      <c r="M95" t="n">
        <v>0</v>
      </c>
      <c r="N95" t="n">
        <v>0</v>
      </c>
      <c r="O95" t="n">
        <v>0</v>
      </c>
      <c r="P95" t="n">
        <v>0</v>
      </c>
      <c r="Q95" t="n">
        <v>0</v>
      </c>
      <c r="R95" s="2" t="inlineStr"/>
    </row>
    <row r="96" ht="15" customHeight="1">
      <c r="A96" t="inlineStr">
        <is>
          <t>A 51564-2023</t>
        </is>
      </c>
      <c r="B96" s="1" t="n">
        <v>45222</v>
      </c>
      <c r="C96" s="1" t="n">
        <v>45910</v>
      </c>
      <c r="D96" t="inlineStr">
        <is>
          <t>VÄSTRA GÖTALANDS LÄN</t>
        </is>
      </c>
      <c r="E96" t="inlineStr">
        <is>
          <t>ALE</t>
        </is>
      </c>
      <c r="G96" t="n">
        <v>1.5</v>
      </c>
      <c r="H96" t="n">
        <v>0</v>
      </c>
      <c r="I96" t="n">
        <v>0</v>
      </c>
      <c r="J96" t="n">
        <v>0</v>
      </c>
      <c r="K96" t="n">
        <v>0</v>
      </c>
      <c r="L96" t="n">
        <v>0</v>
      </c>
      <c r="M96" t="n">
        <v>0</v>
      </c>
      <c r="N96" t="n">
        <v>0</v>
      </c>
      <c r="O96" t="n">
        <v>0</v>
      </c>
      <c r="P96" t="n">
        <v>0</v>
      </c>
      <c r="Q96" t="n">
        <v>0</v>
      </c>
      <c r="R96" s="2" t="inlineStr"/>
    </row>
    <row r="97" ht="15" customHeight="1">
      <c r="A97" t="inlineStr">
        <is>
          <t>A 8659-2025</t>
        </is>
      </c>
      <c r="B97" s="1" t="n">
        <v>45712</v>
      </c>
      <c r="C97" s="1" t="n">
        <v>45910</v>
      </c>
      <c r="D97" t="inlineStr">
        <is>
          <t>VÄSTRA GÖTALANDS LÄN</t>
        </is>
      </c>
      <c r="E97" t="inlineStr">
        <is>
          <t>ALE</t>
        </is>
      </c>
      <c r="G97" t="n">
        <v>5.7</v>
      </c>
      <c r="H97" t="n">
        <v>0</v>
      </c>
      <c r="I97" t="n">
        <v>0</v>
      </c>
      <c r="J97" t="n">
        <v>0</v>
      </c>
      <c r="K97" t="n">
        <v>0</v>
      </c>
      <c r="L97" t="n">
        <v>0</v>
      </c>
      <c r="M97" t="n">
        <v>0</v>
      </c>
      <c r="N97" t="n">
        <v>0</v>
      </c>
      <c r="O97" t="n">
        <v>0</v>
      </c>
      <c r="P97" t="n">
        <v>0</v>
      </c>
      <c r="Q97" t="n">
        <v>0</v>
      </c>
      <c r="R97" s="2" t="inlineStr"/>
    </row>
    <row r="98" ht="15" customHeight="1">
      <c r="A98" t="inlineStr">
        <is>
          <t>A 5344-2024</t>
        </is>
      </c>
      <c r="B98" s="1" t="n">
        <v>45331</v>
      </c>
      <c r="C98" s="1" t="n">
        <v>45910</v>
      </c>
      <c r="D98" t="inlineStr">
        <is>
          <t>VÄSTRA GÖTALANDS LÄN</t>
        </is>
      </c>
      <c r="E98" t="inlineStr">
        <is>
          <t>ALE</t>
        </is>
      </c>
      <c r="G98" t="n">
        <v>2.5</v>
      </c>
      <c r="H98" t="n">
        <v>0</v>
      </c>
      <c r="I98" t="n">
        <v>0</v>
      </c>
      <c r="J98" t="n">
        <v>0</v>
      </c>
      <c r="K98" t="n">
        <v>0</v>
      </c>
      <c r="L98" t="n">
        <v>0</v>
      </c>
      <c r="M98" t="n">
        <v>0</v>
      </c>
      <c r="N98" t="n">
        <v>0</v>
      </c>
      <c r="O98" t="n">
        <v>0</v>
      </c>
      <c r="P98" t="n">
        <v>0</v>
      </c>
      <c r="Q98" t="n">
        <v>0</v>
      </c>
      <c r="R98" s="2" t="inlineStr"/>
    </row>
    <row r="99" ht="15" customHeight="1">
      <c r="A99" t="inlineStr">
        <is>
          <t>A 29373-2025</t>
        </is>
      </c>
      <c r="B99" s="1" t="n">
        <v>45824.579375</v>
      </c>
      <c r="C99" s="1" t="n">
        <v>45910</v>
      </c>
      <c r="D99" t="inlineStr">
        <is>
          <t>VÄSTRA GÖTALANDS LÄN</t>
        </is>
      </c>
      <c r="E99" t="inlineStr">
        <is>
          <t>ALE</t>
        </is>
      </c>
      <c r="G99" t="n">
        <v>4.6</v>
      </c>
      <c r="H99" t="n">
        <v>0</v>
      </c>
      <c r="I99" t="n">
        <v>0</v>
      </c>
      <c r="J99" t="n">
        <v>0</v>
      </c>
      <c r="K99" t="n">
        <v>0</v>
      </c>
      <c r="L99" t="n">
        <v>0</v>
      </c>
      <c r="M99" t="n">
        <v>0</v>
      </c>
      <c r="N99" t="n">
        <v>0</v>
      </c>
      <c r="O99" t="n">
        <v>0</v>
      </c>
      <c r="P99" t="n">
        <v>0</v>
      </c>
      <c r="Q99" t="n">
        <v>0</v>
      </c>
      <c r="R99" s="2" t="inlineStr"/>
    </row>
    <row r="100" ht="15" customHeight="1">
      <c r="A100" t="inlineStr">
        <is>
          <t>A 13426-2025</t>
        </is>
      </c>
      <c r="B100" s="1" t="n">
        <v>45736.32780092592</v>
      </c>
      <c r="C100" s="1" t="n">
        <v>45910</v>
      </c>
      <c r="D100" t="inlineStr">
        <is>
          <t>VÄSTRA GÖTALANDS LÄN</t>
        </is>
      </c>
      <c r="E100" t="inlineStr">
        <is>
          <t>ALE</t>
        </is>
      </c>
      <c r="G100" t="n">
        <v>1.5</v>
      </c>
      <c r="H100" t="n">
        <v>0</v>
      </c>
      <c r="I100" t="n">
        <v>0</v>
      </c>
      <c r="J100" t="n">
        <v>0</v>
      </c>
      <c r="K100" t="n">
        <v>0</v>
      </c>
      <c r="L100" t="n">
        <v>0</v>
      </c>
      <c r="M100" t="n">
        <v>0</v>
      </c>
      <c r="N100" t="n">
        <v>0</v>
      </c>
      <c r="O100" t="n">
        <v>0</v>
      </c>
      <c r="P100" t="n">
        <v>0</v>
      </c>
      <c r="Q100" t="n">
        <v>0</v>
      </c>
      <c r="R100" s="2" t="inlineStr"/>
    </row>
    <row r="101" ht="15" customHeight="1">
      <c r="A101" t="inlineStr">
        <is>
          <t>A 13382-2025</t>
        </is>
      </c>
      <c r="B101" s="1" t="n">
        <v>45735.67928240741</v>
      </c>
      <c r="C101" s="1" t="n">
        <v>45910</v>
      </c>
      <c r="D101" t="inlineStr">
        <is>
          <t>VÄSTRA GÖTALANDS LÄN</t>
        </is>
      </c>
      <c r="E101" t="inlineStr">
        <is>
          <t>ALE</t>
        </is>
      </c>
      <c r="G101" t="n">
        <v>0.9</v>
      </c>
      <c r="H101" t="n">
        <v>0</v>
      </c>
      <c r="I101" t="n">
        <v>0</v>
      </c>
      <c r="J101" t="n">
        <v>0</v>
      </c>
      <c r="K101" t="n">
        <v>0</v>
      </c>
      <c r="L101" t="n">
        <v>0</v>
      </c>
      <c r="M101" t="n">
        <v>0</v>
      </c>
      <c r="N101" t="n">
        <v>0</v>
      </c>
      <c r="O101" t="n">
        <v>0</v>
      </c>
      <c r="P101" t="n">
        <v>0</v>
      </c>
      <c r="Q101" t="n">
        <v>0</v>
      </c>
      <c r="R101" s="2" t="inlineStr"/>
    </row>
    <row r="102" ht="15" customHeight="1">
      <c r="A102" t="inlineStr">
        <is>
          <t>A 13903-2025</t>
        </is>
      </c>
      <c r="B102" s="1" t="n">
        <v>45737.63481481482</v>
      </c>
      <c r="C102" s="1" t="n">
        <v>45910</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31407-2025</t>
        </is>
      </c>
      <c r="B103" s="1" t="n">
        <v>45833</v>
      </c>
      <c r="C103" s="1" t="n">
        <v>45910</v>
      </c>
      <c r="D103" t="inlineStr">
        <is>
          <t>VÄSTRA GÖTALANDS LÄN</t>
        </is>
      </c>
      <c r="E103" t="inlineStr">
        <is>
          <t>ALE</t>
        </is>
      </c>
      <c r="G103" t="n">
        <v>0.8</v>
      </c>
      <c r="H103" t="n">
        <v>0</v>
      </c>
      <c r="I103" t="n">
        <v>0</v>
      </c>
      <c r="J103" t="n">
        <v>0</v>
      </c>
      <c r="K103" t="n">
        <v>0</v>
      </c>
      <c r="L103" t="n">
        <v>0</v>
      </c>
      <c r="M103" t="n">
        <v>0</v>
      </c>
      <c r="N103" t="n">
        <v>0</v>
      </c>
      <c r="O103" t="n">
        <v>0</v>
      </c>
      <c r="P103" t="n">
        <v>0</v>
      </c>
      <c r="Q103" t="n">
        <v>0</v>
      </c>
      <c r="R103" s="2" t="inlineStr"/>
    </row>
    <row r="104" ht="15" customHeight="1">
      <c r="A104" t="inlineStr">
        <is>
          <t>A 31409-2025</t>
        </is>
      </c>
      <c r="B104" s="1" t="n">
        <v>45833</v>
      </c>
      <c r="C104" s="1" t="n">
        <v>45910</v>
      </c>
      <c r="D104" t="inlineStr">
        <is>
          <t>VÄSTRA GÖTALANDS LÄN</t>
        </is>
      </c>
      <c r="E104" t="inlineStr">
        <is>
          <t>ALE</t>
        </is>
      </c>
      <c r="G104" t="n">
        <v>0.8</v>
      </c>
      <c r="H104" t="n">
        <v>0</v>
      </c>
      <c r="I104" t="n">
        <v>0</v>
      </c>
      <c r="J104" t="n">
        <v>0</v>
      </c>
      <c r="K104" t="n">
        <v>0</v>
      </c>
      <c r="L104" t="n">
        <v>0</v>
      </c>
      <c r="M104" t="n">
        <v>0</v>
      </c>
      <c r="N104" t="n">
        <v>0</v>
      </c>
      <c r="O104" t="n">
        <v>0</v>
      </c>
      <c r="P104" t="n">
        <v>0</v>
      </c>
      <c r="Q104" t="n">
        <v>0</v>
      </c>
      <c r="R104" s="2" t="inlineStr"/>
    </row>
    <row r="105" ht="15" customHeight="1">
      <c r="A105" t="inlineStr">
        <is>
          <t>A 35959-2022</t>
        </is>
      </c>
      <c r="B105" s="1" t="n">
        <v>44802.57002314815</v>
      </c>
      <c r="C105" s="1" t="n">
        <v>45910</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31488-2025</t>
        </is>
      </c>
      <c r="B106" s="1" t="n">
        <v>45833</v>
      </c>
      <c r="C106" s="1" t="n">
        <v>45910</v>
      </c>
      <c r="D106" t="inlineStr">
        <is>
          <t>VÄSTRA GÖTALANDS LÄN</t>
        </is>
      </c>
      <c r="E106" t="inlineStr">
        <is>
          <t>ALE</t>
        </is>
      </c>
      <c r="G106" t="n">
        <v>1.8</v>
      </c>
      <c r="H106" t="n">
        <v>0</v>
      </c>
      <c r="I106" t="n">
        <v>0</v>
      </c>
      <c r="J106" t="n">
        <v>0</v>
      </c>
      <c r="K106" t="n">
        <v>0</v>
      </c>
      <c r="L106" t="n">
        <v>0</v>
      </c>
      <c r="M106" t="n">
        <v>0</v>
      </c>
      <c r="N106" t="n">
        <v>0</v>
      </c>
      <c r="O106" t="n">
        <v>0</v>
      </c>
      <c r="P106" t="n">
        <v>0</v>
      </c>
      <c r="Q106" t="n">
        <v>0</v>
      </c>
      <c r="R106" s="2" t="inlineStr"/>
    </row>
    <row r="107" ht="15" customHeight="1">
      <c r="A107" t="inlineStr">
        <is>
          <t>A 31533-2025</t>
        </is>
      </c>
      <c r="B107" s="1" t="n">
        <v>45833</v>
      </c>
      <c r="C107" s="1" t="n">
        <v>45910</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14493-2024</t>
        </is>
      </c>
      <c r="B108" s="1" t="n">
        <v>45394.58491898148</v>
      </c>
      <c r="C108" s="1" t="n">
        <v>45910</v>
      </c>
      <c r="D108" t="inlineStr">
        <is>
          <t>VÄSTRA GÖTALANDS LÄN</t>
        </is>
      </c>
      <c r="E108" t="inlineStr">
        <is>
          <t>ALE</t>
        </is>
      </c>
      <c r="G108" t="n">
        <v>2.3</v>
      </c>
      <c r="H108" t="n">
        <v>0</v>
      </c>
      <c r="I108" t="n">
        <v>0</v>
      </c>
      <c r="J108" t="n">
        <v>0</v>
      </c>
      <c r="K108" t="n">
        <v>0</v>
      </c>
      <c r="L108" t="n">
        <v>0</v>
      </c>
      <c r="M108" t="n">
        <v>0</v>
      </c>
      <c r="N108" t="n">
        <v>0</v>
      </c>
      <c r="O108" t="n">
        <v>0</v>
      </c>
      <c r="P108" t="n">
        <v>0</v>
      </c>
      <c r="Q108" t="n">
        <v>0</v>
      </c>
      <c r="R108" s="2" t="inlineStr"/>
    </row>
    <row r="109" ht="15" customHeight="1">
      <c r="A109" t="inlineStr">
        <is>
          <t>A 1500-2024</t>
        </is>
      </c>
      <c r="B109" s="1" t="n">
        <v>45306</v>
      </c>
      <c r="C109" s="1" t="n">
        <v>45910</v>
      </c>
      <c r="D109" t="inlineStr">
        <is>
          <t>VÄSTRA GÖTALANDS LÄN</t>
        </is>
      </c>
      <c r="E109" t="inlineStr">
        <is>
          <t>ALE</t>
        </is>
      </c>
      <c r="G109" t="n">
        <v>1.3</v>
      </c>
      <c r="H109" t="n">
        <v>0</v>
      </c>
      <c r="I109" t="n">
        <v>0</v>
      </c>
      <c r="J109" t="n">
        <v>0</v>
      </c>
      <c r="K109" t="n">
        <v>0</v>
      </c>
      <c r="L109" t="n">
        <v>0</v>
      </c>
      <c r="M109" t="n">
        <v>0</v>
      </c>
      <c r="N109" t="n">
        <v>0</v>
      </c>
      <c r="O109" t="n">
        <v>0</v>
      </c>
      <c r="P109" t="n">
        <v>0</v>
      </c>
      <c r="Q109" t="n">
        <v>0</v>
      </c>
      <c r="R109" s="2" t="inlineStr"/>
    </row>
    <row r="110" ht="15" customHeight="1">
      <c r="A110" t="inlineStr">
        <is>
          <t>A 1687-2024</t>
        </is>
      </c>
      <c r="B110" s="1" t="n">
        <v>45306</v>
      </c>
      <c r="C110" s="1" t="n">
        <v>45910</v>
      </c>
      <c r="D110" t="inlineStr">
        <is>
          <t>VÄSTRA GÖTALANDS LÄN</t>
        </is>
      </c>
      <c r="E110" t="inlineStr">
        <is>
          <t>ALE</t>
        </is>
      </c>
      <c r="G110" t="n">
        <v>3.4</v>
      </c>
      <c r="H110" t="n">
        <v>0</v>
      </c>
      <c r="I110" t="n">
        <v>0</v>
      </c>
      <c r="J110" t="n">
        <v>0</v>
      </c>
      <c r="K110" t="n">
        <v>0</v>
      </c>
      <c r="L110" t="n">
        <v>0</v>
      </c>
      <c r="M110" t="n">
        <v>0</v>
      </c>
      <c r="N110" t="n">
        <v>0</v>
      </c>
      <c r="O110" t="n">
        <v>0</v>
      </c>
      <c r="P110" t="n">
        <v>0</v>
      </c>
      <c r="Q110" t="n">
        <v>0</v>
      </c>
      <c r="R110" s="2" t="inlineStr"/>
    </row>
    <row r="111" ht="15" customHeight="1">
      <c r="A111" t="inlineStr">
        <is>
          <t>A 26157-2023</t>
        </is>
      </c>
      <c r="B111" s="1" t="n">
        <v>45091.50479166667</v>
      </c>
      <c r="C111" s="1" t="n">
        <v>45910</v>
      </c>
      <c r="D111" t="inlineStr">
        <is>
          <t>VÄSTRA GÖTALANDS LÄN</t>
        </is>
      </c>
      <c r="E111" t="inlineStr">
        <is>
          <t>ALE</t>
        </is>
      </c>
      <c r="G111" t="n">
        <v>2.6</v>
      </c>
      <c r="H111" t="n">
        <v>0</v>
      </c>
      <c r="I111" t="n">
        <v>0</v>
      </c>
      <c r="J111" t="n">
        <v>0</v>
      </c>
      <c r="K111" t="n">
        <v>0</v>
      </c>
      <c r="L111" t="n">
        <v>0</v>
      </c>
      <c r="M111" t="n">
        <v>0</v>
      </c>
      <c r="N111" t="n">
        <v>0</v>
      </c>
      <c r="O111" t="n">
        <v>0</v>
      </c>
      <c r="P111" t="n">
        <v>0</v>
      </c>
      <c r="Q111" t="n">
        <v>0</v>
      </c>
      <c r="R111" s="2" t="inlineStr"/>
    </row>
    <row r="112" ht="15" customHeight="1">
      <c r="A112" t="inlineStr">
        <is>
          <t>A 47087-2023</t>
        </is>
      </c>
      <c r="B112" s="1" t="n">
        <v>45196</v>
      </c>
      <c r="C112" s="1" t="n">
        <v>45910</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27314-2021</t>
        </is>
      </c>
      <c r="B113" s="1" t="n">
        <v>44351.36537037037</v>
      </c>
      <c r="C113" s="1" t="n">
        <v>45910</v>
      </c>
      <c r="D113" t="inlineStr">
        <is>
          <t>VÄSTRA GÖTALANDS LÄN</t>
        </is>
      </c>
      <c r="E113" t="inlineStr">
        <is>
          <t>ALE</t>
        </is>
      </c>
      <c r="G113" t="n">
        <v>11.3</v>
      </c>
      <c r="H113" t="n">
        <v>0</v>
      </c>
      <c r="I113" t="n">
        <v>0</v>
      </c>
      <c r="J113" t="n">
        <v>0</v>
      </c>
      <c r="K113" t="n">
        <v>0</v>
      </c>
      <c r="L113" t="n">
        <v>0</v>
      </c>
      <c r="M113" t="n">
        <v>0</v>
      </c>
      <c r="N113" t="n">
        <v>0</v>
      </c>
      <c r="O113" t="n">
        <v>0</v>
      </c>
      <c r="P113" t="n">
        <v>0</v>
      </c>
      <c r="Q113" t="n">
        <v>0</v>
      </c>
      <c r="R113" s="2" t="inlineStr"/>
    </row>
    <row r="114" ht="15" customHeight="1">
      <c r="A114" t="inlineStr">
        <is>
          <t>A 14458-2024</t>
        </is>
      </c>
      <c r="B114" s="1" t="n">
        <v>45394</v>
      </c>
      <c r="C114" s="1" t="n">
        <v>45910</v>
      </c>
      <c r="D114" t="inlineStr">
        <is>
          <t>VÄSTRA GÖTALANDS LÄN</t>
        </is>
      </c>
      <c r="E114" t="inlineStr">
        <is>
          <t>ALE</t>
        </is>
      </c>
      <c r="G114" t="n">
        <v>0.5</v>
      </c>
      <c r="H114" t="n">
        <v>0</v>
      </c>
      <c r="I114" t="n">
        <v>0</v>
      </c>
      <c r="J114" t="n">
        <v>0</v>
      </c>
      <c r="K114" t="n">
        <v>0</v>
      </c>
      <c r="L114" t="n">
        <v>0</v>
      </c>
      <c r="M114" t="n">
        <v>0</v>
      </c>
      <c r="N114" t="n">
        <v>0</v>
      </c>
      <c r="O114" t="n">
        <v>0</v>
      </c>
      <c r="P114" t="n">
        <v>0</v>
      </c>
      <c r="Q114" t="n">
        <v>0</v>
      </c>
      <c r="R114" s="2" t="inlineStr"/>
    </row>
    <row r="115" ht="15" customHeight="1">
      <c r="A115" t="inlineStr">
        <is>
          <t>A 5875-2023</t>
        </is>
      </c>
      <c r="B115" s="1" t="n">
        <v>44963</v>
      </c>
      <c r="C115" s="1" t="n">
        <v>45910</v>
      </c>
      <c r="D115" t="inlineStr">
        <is>
          <t>VÄSTRA GÖTALANDS LÄN</t>
        </is>
      </c>
      <c r="E115" t="inlineStr">
        <is>
          <t>ALE</t>
        </is>
      </c>
      <c r="G115" t="n">
        <v>2.2</v>
      </c>
      <c r="H115" t="n">
        <v>0</v>
      </c>
      <c r="I115" t="n">
        <v>0</v>
      </c>
      <c r="J115" t="n">
        <v>0</v>
      </c>
      <c r="K115" t="n">
        <v>0</v>
      </c>
      <c r="L115" t="n">
        <v>0</v>
      </c>
      <c r="M115" t="n">
        <v>0</v>
      </c>
      <c r="N115" t="n">
        <v>0</v>
      </c>
      <c r="O115" t="n">
        <v>0</v>
      </c>
      <c r="P115" t="n">
        <v>0</v>
      </c>
      <c r="Q115" t="n">
        <v>0</v>
      </c>
      <c r="R115" s="2" t="inlineStr"/>
    </row>
    <row r="116" ht="15" customHeight="1">
      <c r="A116" t="inlineStr">
        <is>
          <t>A 42446-2023</t>
        </is>
      </c>
      <c r="B116" s="1" t="n">
        <v>45180</v>
      </c>
      <c r="C116" s="1" t="n">
        <v>45910</v>
      </c>
      <c r="D116" t="inlineStr">
        <is>
          <t>VÄSTRA GÖTALANDS LÄN</t>
        </is>
      </c>
      <c r="E116" t="inlineStr">
        <is>
          <t>ALE</t>
        </is>
      </c>
      <c r="G116" t="n">
        <v>0.8</v>
      </c>
      <c r="H116" t="n">
        <v>0</v>
      </c>
      <c r="I116" t="n">
        <v>0</v>
      </c>
      <c r="J116" t="n">
        <v>0</v>
      </c>
      <c r="K116" t="n">
        <v>0</v>
      </c>
      <c r="L116" t="n">
        <v>0</v>
      </c>
      <c r="M116" t="n">
        <v>0</v>
      </c>
      <c r="N116" t="n">
        <v>0</v>
      </c>
      <c r="O116" t="n">
        <v>0</v>
      </c>
      <c r="P116" t="n">
        <v>0</v>
      </c>
      <c r="Q116" t="n">
        <v>0</v>
      </c>
      <c r="R116" s="2" t="inlineStr"/>
    </row>
    <row r="117" ht="15" customHeight="1">
      <c r="A117" t="inlineStr">
        <is>
          <t>A 40074-2025</t>
        </is>
      </c>
      <c r="B117" s="1" t="n">
        <v>45894.44685185186</v>
      </c>
      <c r="C117" s="1" t="n">
        <v>45910</v>
      </c>
      <c r="D117" t="inlineStr">
        <is>
          <t>VÄSTRA GÖTALANDS LÄN</t>
        </is>
      </c>
      <c r="E117" t="inlineStr">
        <is>
          <t>ALE</t>
        </is>
      </c>
      <c r="G117" t="n">
        <v>1</v>
      </c>
      <c r="H117" t="n">
        <v>0</v>
      </c>
      <c r="I117" t="n">
        <v>0</v>
      </c>
      <c r="J117" t="n">
        <v>0</v>
      </c>
      <c r="K117" t="n">
        <v>0</v>
      </c>
      <c r="L117" t="n">
        <v>0</v>
      </c>
      <c r="M117" t="n">
        <v>0</v>
      </c>
      <c r="N117" t="n">
        <v>0</v>
      </c>
      <c r="O117" t="n">
        <v>0</v>
      </c>
      <c r="P117" t="n">
        <v>0</v>
      </c>
      <c r="Q117" t="n">
        <v>0</v>
      </c>
      <c r="R117" s="2" t="inlineStr"/>
    </row>
    <row r="118" ht="15" customHeight="1">
      <c r="A118" t="inlineStr">
        <is>
          <t>A 64199-2021</t>
        </is>
      </c>
      <c r="B118" s="1" t="n">
        <v>44510</v>
      </c>
      <c r="C118" s="1" t="n">
        <v>45910</v>
      </c>
      <c r="D118" t="inlineStr">
        <is>
          <t>VÄSTRA GÖTALANDS LÄN</t>
        </is>
      </c>
      <c r="E118" t="inlineStr">
        <is>
          <t>ALE</t>
        </is>
      </c>
      <c r="G118" t="n">
        <v>5.7</v>
      </c>
      <c r="H118" t="n">
        <v>0</v>
      </c>
      <c r="I118" t="n">
        <v>0</v>
      </c>
      <c r="J118" t="n">
        <v>0</v>
      </c>
      <c r="K118" t="n">
        <v>0</v>
      </c>
      <c r="L118" t="n">
        <v>0</v>
      </c>
      <c r="M118" t="n">
        <v>0</v>
      </c>
      <c r="N118" t="n">
        <v>0</v>
      </c>
      <c r="O118" t="n">
        <v>0</v>
      </c>
      <c r="P118" t="n">
        <v>0</v>
      </c>
      <c r="Q118" t="n">
        <v>0</v>
      </c>
      <c r="R118" s="2" t="inlineStr"/>
    </row>
    <row r="119" ht="15" customHeight="1">
      <c r="A119" t="inlineStr">
        <is>
          <t>A 40059-2025</t>
        </is>
      </c>
      <c r="B119" s="1" t="n">
        <v>45894.42600694444</v>
      </c>
      <c r="C119" s="1" t="n">
        <v>45910</v>
      </c>
      <c r="D119" t="inlineStr">
        <is>
          <t>VÄSTRA GÖTALANDS LÄN</t>
        </is>
      </c>
      <c r="E119" t="inlineStr">
        <is>
          <t>ALE</t>
        </is>
      </c>
      <c r="G119" t="n">
        <v>0.9</v>
      </c>
      <c r="H119" t="n">
        <v>0</v>
      </c>
      <c r="I119" t="n">
        <v>0</v>
      </c>
      <c r="J119" t="n">
        <v>0</v>
      </c>
      <c r="K119" t="n">
        <v>0</v>
      </c>
      <c r="L119" t="n">
        <v>0</v>
      </c>
      <c r="M119" t="n">
        <v>0</v>
      </c>
      <c r="N119" t="n">
        <v>0</v>
      </c>
      <c r="O119" t="n">
        <v>0</v>
      </c>
      <c r="P119" t="n">
        <v>0</v>
      </c>
      <c r="Q119" t="n">
        <v>0</v>
      </c>
      <c r="R119" s="2" t="inlineStr"/>
    </row>
    <row r="120" ht="15" customHeight="1">
      <c r="A120" t="inlineStr">
        <is>
          <t>A 40931-2025</t>
        </is>
      </c>
      <c r="B120" s="1" t="n">
        <v>45897.64783564815</v>
      </c>
      <c r="C120" s="1" t="n">
        <v>45910</v>
      </c>
      <c r="D120" t="inlineStr">
        <is>
          <t>VÄSTRA GÖTALANDS LÄN</t>
        </is>
      </c>
      <c r="E120" t="inlineStr">
        <is>
          <t>ALE</t>
        </is>
      </c>
      <c r="G120" t="n">
        <v>4.3</v>
      </c>
      <c r="H120" t="n">
        <v>0</v>
      </c>
      <c r="I120" t="n">
        <v>0</v>
      </c>
      <c r="J120" t="n">
        <v>0</v>
      </c>
      <c r="K120" t="n">
        <v>0</v>
      </c>
      <c r="L120" t="n">
        <v>0</v>
      </c>
      <c r="M120" t="n">
        <v>0</v>
      </c>
      <c r="N120" t="n">
        <v>0</v>
      </c>
      <c r="O120" t="n">
        <v>0</v>
      </c>
      <c r="P120" t="n">
        <v>0</v>
      </c>
      <c r="Q120" t="n">
        <v>0</v>
      </c>
      <c r="R120" s="2" t="inlineStr"/>
    </row>
    <row r="121" ht="15" customHeight="1">
      <c r="A121" t="inlineStr">
        <is>
          <t>A 67160-2021</t>
        </is>
      </c>
      <c r="B121" s="1" t="n">
        <v>44523</v>
      </c>
      <c r="C121" s="1" t="n">
        <v>45910</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53121-2024</t>
        </is>
      </c>
      <c r="B122" s="1" t="n">
        <v>45611</v>
      </c>
      <c r="C122" s="1" t="n">
        <v>45910</v>
      </c>
      <c r="D122" t="inlineStr">
        <is>
          <t>VÄSTRA GÖTALANDS LÄN</t>
        </is>
      </c>
      <c r="E122" t="inlineStr">
        <is>
          <t>ALE</t>
        </is>
      </c>
      <c r="G122" t="n">
        <v>3.4</v>
      </c>
      <c r="H122" t="n">
        <v>0</v>
      </c>
      <c r="I122" t="n">
        <v>0</v>
      </c>
      <c r="J122" t="n">
        <v>0</v>
      </c>
      <c r="K122" t="n">
        <v>0</v>
      </c>
      <c r="L122" t="n">
        <v>0</v>
      </c>
      <c r="M122" t="n">
        <v>0</v>
      </c>
      <c r="N122" t="n">
        <v>0</v>
      </c>
      <c r="O122" t="n">
        <v>0</v>
      </c>
      <c r="P122" t="n">
        <v>0</v>
      </c>
      <c r="Q122" t="n">
        <v>0</v>
      </c>
      <c r="R122" s="2" t="inlineStr"/>
    </row>
    <row r="123" ht="15" customHeight="1">
      <c r="A123" t="inlineStr">
        <is>
          <t>A 33237-2024</t>
        </is>
      </c>
      <c r="B123" s="1" t="n">
        <v>45518.59173611111</v>
      </c>
      <c r="C123" s="1" t="n">
        <v>45910</v>
      </c>
      <c r="D123" t="inlineStr">
        <is>
          <t>VÄSTRA GÖTALANDS LÄN</t>
        </is>
      </c>
      <c r="E123" t="inlineStr">
        <is>
          <t>ALE</t>
        </is>
      </c>
      <c r="G123" t="n">
        <v>0.6</v>
      </c>
      <c r="H123" t="n">
        <v>0</v>
      </c>
      <c r="I123" t="n">
        <v>0</v>
      </c>
      <c r="J123" t="n">
        <v>0</v>
      </c>
      <c r="K123" t="n">
        <v>0</v>
      </c>
      <c r="L123" t="n">
        <v>0</v>
      </c>
      <c r="M123" t="n">
        <v>0</v>
      </c>
      <c r="N123" t="n">
        <v>0</v>
      </c>
      <c r="O123" t="n">
        <v>0</v>
      </c>
      <c r="P123" t="n">
        <v>0</v>
      </c>
      <c r="Q123" t="n">
        <v>0</v>
      </c>
      <c r="R123" s="2" t="inlineStr"/>
    </row>
    <row r="124" ht="15" customHeight="1">
      <c r="A124" t="inlineStr">
        <is>
          <t>A 12055-2022</t>
        </is>
      </c>
      <c r="B124" s="1" t="n">
        <v>44636</v>
      </c>
      <c r="C124" s="1" t="n">
        <v>45910</v>
      </c>
      <c r="D124" t="inlineStr">
        <is>
          <t>VÄSTRA GÖTALANDS LÄN</t>
        </is>
      </c>
      <c r="E124" t="inlineStr">
        <is>
          <t>ALE</t>
        </is>
      </c>
      <c r="G124" t="n">
        <v>0.2</v>
      </c>
      <c r="H124" t="n">
        <v>0</v>
      </c>
      <c r="I124" t="n">
        <v>0</v>
      </c>
      <c r="J124" t="n">
        <v>0</v>
      </c>
      <c r="K124" t="n">
        <v>0</v>
      </c>
      <c r="L124" t="n">
        <v>0</v>
      </c>
      <c r="M124" t="n">
        <v>0</v>
      </c>
      <c r="N124" t="n">
        <v>0</v>
      </c>
      <c r="O124" t="n">
        <v>0</v>
      </c>
      <c r="P124" t="n">
        <v>0</v>
      </c>
      <c r="Q124" t="n">
        <v>0</v>
      </c>
      <c r="R124" s="2" t="inlineStr"/>
    </row>
    <row r="125" ht="15" customHeight="1">
      <c r="A125" t="inlineStr">
        <is>
          <t>A 36763-2022</t>
        </is>
      </c>
      <c r="B125" s="1" t="n">
        <v>44805</v>
      </c>
      <c r="C125" s="1" t="n">
        <v>45910</v>
      </c>
      <c r="D125" t="inlineStr">
        <is>
          <t>VÄSTRA GÖTALANDS LÄN</t>
        </is>
      </c>
      <c r="E125" t="inlineStr">
        <is>
          <t>ALE</t>
        </is>
      </c>
      <c r="G125" t="n">
        <v>6.1</v>
      </c>
      <c r="H125" t="n">
        <v>0</v>
      </c>
      <c r="I125" t="n">
        <v>0</v>
      </c>
      <c r="J125" t="n">
        <v>0</v>
      </c>
      <c r="K125" t="n">
        <v>0</v>
      </c>
      <c r="L125" t="n">
        <v>0</v>
      </c>
      <c r="M125" t="n">
        <v>0</v>
      </c>
      <c r="N125" t="n">
        <v>0</v>
      </c>
      <c r="O125" t="n">
        <v>0</v>
      </c>
      <c r="P125" t="n">
        <v>0</v>
      </c>
      <c r="Q125" t="n">
        <v>0</v>
      </c>
      <c r="R125" s="2" t="inlineStr"/>
    </row>
    <row r="126" ht="15" customHeight="1">
      <c r="A126" t="inlineStr">
        <is>
          <t>A 3407-2023</t>
        </is>
      </c>
      <c r="B126" s="1" t="n">
        <v>44949.54909722223</v>
      </c>
      <c r="C126" s="1" t="n">
        <v>45910</v>
      </c>
      <c r="D126" t="inlineStr">
        <is>
          <t>VÄSTRA GÖTALANDS LÄN</t>
        </is>
      </c>
      <c r="E126" t="inlineStr">
        <is>
          <t>ALE</t>
        </is>
      </c>
      <c r="G126" t="n">
        <v>1.2</v>
      </c>
      <c r="H126" t="n">
        <v>0</v>
      </c>
      <c r="I126" t="n">
        <v>0</v>
      </c>
      <c r="J126" t="n">
        <v>0</v>
      </c>
      <c r="K126" t="n">
        <v>0</v>
      </c>
      <c r="L126" t="n">
        <v>0</v>
      </c>
      <c r="M126" t="n">
        <v>0</v>
      </c>
      <c r="N126" t="n">
        <v>0</v>
      </c>
      <c r="O126" t="n">
        <v>0</v>
      </c>
      <c r="P126" t="n">
        <v>0</v>
      </c>
      <c r="Q126" t="n">
        <v>0</v>
      </c>
      <c r="R126" s="2" t="inlineStr"/>
    </row>
    <row r="127" ht="15" customHeight="1">
      <c r="A127" t="inlineStr">
        <is>
          <t>A 42660-2024</t>
        </is>
      </c>
      <c r="B127" s="1" t="n">
        <v>45566.33841435185</v>
      </c>
      <c r="C127" s="1" t="n">
        <v>45910</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3520-2022</t>
        </is>
      </c>
      <c r="B128" s="1" t="n">
        <v>44585.72818287037</v>
      </c>
      <c r="C128" s="1" t="n">
        <v>45910</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65226-2021</t>
        </is>
      </c>
      <c r="B129" s="1" t="n">
        <v>44515</v>
      </c>
      <c r="C129" s="1" t="n">
        <v>45910</v>
      </c>
      <c r="D129" t="inlineStr">
        <is>
          <t>VÄSTRA GÖTALANDS LÄN</t>
        </is>
      </c>
      <c r="E129" t="inlineStr">
        <is>
          <t>ALE</t>
        </is>
      </c>
      <c r="G129" t="n">
        <v>0.7</v>
      </c>
      <c r="H129" t="n">
        <v>0</v>
      </c>
      <c r="I129" t="n">
        <v>0</v>
      </c>
      <c r="J129" t="n">
        <v>0</v>
      </c>
      <c r="K129" t="n">
        <v>0</v>
      </c>
      <c r="L129" t="n">
        <v>0</v>
      </c>
      <c r="M129" t="n">
        <v>0</v>
      </c>
      <c r="N129" t="n">
        <v>0</v>
      </c>
      <c r="O129" t="n">
        <v>0</v>
      </c>
      <c r="P129" t="n">
        <v>0</v>
      </c>
      <c r="Q129" t="n">
        <v>0</v>
      </c>
      <c r="R129" s="2" t="inlineStr"/>
    </row>
    <row r="130" ht="15" customHeight="1">
      <c r="A130" t="inlineStr">
        <is>
          <t>A 9193-2025</t>
        </is>
      </c>
      <c r="B130" s="1" t="n">
        <v>45714</v>
      </c>
      <c r="C130" s="1" t="n">
        <v>45910</v>
      </c>
      <c r="D130" t="inlineStr">
        <is>
          <t>VÄSTRA GÖTALANDS LÄN</t>
        </is>
      </c>
      <c r="E130" t="inlineStr">
        <is>
          <t>ALE</t>
        </is>
      </c>
      <c r="G130" t="n">
        <v>7.1</v>
      </c>
      <c r="H130" t="n">
        <v>0</v>
      </c>
      <c r="I130" t="n">
        <v>0</v>
      </c>
      <c r="J130" t="n">
        <v>0</v>
      </c>
      <c r="K130" t="n">
        <v>0</v>
      </c>
      <c r="L130" t="n">
        <v>0</v>
      </c>
      <c r="M130" t="n">
        <v>0</v>
      </c>
      <c r="N130" t="n">
        <v>0</v>
      </c>
      <c r="O130" t="n">
        <v>0</v>
      </c>
      <c r="P130" t="n">
        <v>0</v>
      </c>
      <c r="Q130" t="n">
        <v>0</v>
      </c>
      <c r="R130" s="2" t="inlineStr"/>
    </row>
    <row r="131" ht="15" customHeight="1">
      <c r="A131" t="inlineStr">
        <is>
          <t>A 15241-2025</t>
        </is>
      </c>
      <c r="B131" s="1" t="n">
        <v>45744.61255787037</v>
      </c>
      <c r="C131" s="1" t="n">
        <v>45910</v>
      </c>
      <c r="D131" t="inlineStr">
        <is>
          <t>VÄSTRA GÖTALANDS LÄN</t>
        </is>
      </c>
      <c r="E131" t="inlineStr">
        <is>
          <t>ALE</t>
        </is>
      </c>
      <c r="G131" t="n">
        <v>2.2</v>
      </c>
      <c r="H131" t="n">
        <v>0</v>
      </c>
      <c r="I131" t="n">
        <v>0</v>
      </c>
      <c r="J131" t="n">
        <v>0</v>
      </c>
      <c r="K131" t="n">
        <v>0</v>
      </c>
      <c r="L131" t="n">
        <v>0</v>
      </c>
      <c r="M131" t="n">
        <v>0</v>
      </c>
      <c r="N131" t="n">
        <v>0</v>
      </c>
      <c r="O131" t="n">
        <v>0</v>
      </c>
      <c r="P131" t="n">
        <v>0</v>
      </c>
      <c r="Q131" t="n">
        <v>0</v>
      </c>
      <c r="R131" s="2" t="inlineStr"/>
    </row>
    <row r="132" ht="15" customHeight="1">
      <c r="A132" t="inlineStr">
        <is>
          <t>A 49680-2024</t>
        </is>
      </c>
      <c r="B132" s="1" t="n">
        <v>45596.66880787037</v>
      </c>
      <c r="C132" s="1" t="n">
        <v>45910</v>
      </c>
      <c r="D132" t="inlineStr">
        <is>
          <t>VÄSTRA GÖTALANDS LÄN</t>
        </is>
      </c>
      <c r="E132" t="inlineStr">
        <is>
          <t>ALE</t>
        </is>
      </c>
      <c r="G132" t="n">
        <v>3.7</v>
      </c>
      <c r="H132" t="n">
        <v>0</v>
      </c>
      <c r="I132" t="n">
        <v>0</v>
      </c>
      <c r="J132" t="n">
        <v>0</v>
      </c>
      <c r="K132" t="n">
        <v>0</v>
      </c>
      <c r="L132" t="n">
        <v>0</v>
      </c>
      <c r="M132" t="n">
        <v>0</v>
      </c>
      <c r="N132" t="n">
        <v>0</v>
      </c>
      <c r="O132" t="n">
        <v>0</v>
      </c>
      <c r="P132" t="n">
        <v>0</v>
      </c>
      <c r="Q132" t="n">
        <v>0</v>
      </c>
      <c r="R132" s="2" t="inlineStr"/>
    </row>
    <row r="133" ht="15" customHeight="1">
      <c r="A133" t="inlineStr">
        <is>
          <t>A 34153-2024</t>
        </is>
      </c>
      <c r="B133" s="1" t="n">
        <v>45524.38400462963</v>
      </c>
      <c r="C133" s="1" t="n">
        <v>45910</v>
      </c>
      <c r="D133" t="inlineStr">
        <is>
          <t>VÄSTRA GÖTALANDS LÄN</t>
        </is>
      </c>
      <c r="E133" t="inlineStr">
        <is>
          <t>ALE</t>
        </is>
      </c>
      <c r="G133" t="n">
        <v>0.8</v>
      </c>
      <c r="H133" t="n">
        <v>0</v>
      </c>
      <c r="I133" t="n">
        <v>0</v>
      </c>
      <c r="J133" t="n">
        <v>0</v>
      </c>
      <c r="K133" t="n">
        <v>0</v>
      </c>
      <c r="L133" t="n">
        <v>0</v>
      </c>
      <c r="M133" t="n">
        <v>0</v>
      </c>
      <c r="N133" t="n">
        <v>0</v>
      </c>
      <c r="O133" t="n">
        <v>0</v>
      </c>
      <c r="P133" t="n">
        <v>0</v>
      </c>
      <c r="Q133" t="n">
        <v>0</v>
      </c>
      <c r="R133" s="2" t="inlineStr"/>
    </row>
    <row r="134" ht="15" customHeight="1">
      <c r="A134" t="inlineStr">
        <is>
          <t>A 14731-2022</t>
        </is>
      </c>
      <c r="B134" s="1" t="n">
        <v>44656</v>
      </c>
      <c r="C134" s="1" t="n">
        <v>45910</v>
      </c>
      <c r="D134" t="inlineStr">
        <is>
          <t>VÄSTRA GÖTALANDS LÄN</t>
        </is>
      </c>
      <c r="E134" t="inlineStr">
        <is>
          <t>ALE</t>
        </is>
      </c>
      <c r="G134" t="n">
        <v>1.8</v>
      </c>
      <c r="H134" t="n">
        <v>0</v>
      </c>
      <c r="I134" t="n">
        <v>0</v>
      </c>
      <c r="J134" t="n">
        <v>0</v>
      </c>
      <c r="K134" t="n">
        <v>0</v>
      </c>
      <c r="L134" t="n">
        <v>0</v>
      </c>
      <c r="M134" t="n">
        <v>0</v>
      </c>
      <c r="N134" t="n">
        <v>0</v>
      </c>
      <c r="O134" t="n">
        <v>0</v>
      </c>
      <c r="P134" t="n">
        <v>0</v>
      </c>
      <c r="Q134" t="n">
        <v>0</v>
      </c>
      <c r="R134" s="2" t="inlineStr"/>
    </row>
    <row r="135" ht="15" customHeight="1">
      <c r="A135" t="inlineStr">
        <is>
          <t>A 18999-2021</t>
        </is>
      </c>
      <c r="B135" s="1" t="n">
        <v>44308</v>
      </c>
      <c r="C135" s="1" t="n">
        <v>45910</v>
      </c>
      <c r="D135" t="inlineStr">
        <is>
          <t>VÄSTRA GÖTALANDS LÄN</t>
        </is>
      </c>
      <c r="E135" t="inlineStr">
        <is>
          <t>ALE</t>
        </is>
      </c>
      <c r="G135" t="n">
        <v>3.7</v>
      </c>
      <c r="H135" t="n">
        <v>0</v>
      </c>
      <c r="I135" t="n">
        <v>0</v>
      </c>
      <c r="J135" t="n">
        <v>0</v>
      </c>
      <c r="K135" t="n">
        <v>0</v>
      </c>
      <c r="L135" t="n">
        <v>0</v>
      </c>
      <c r="M135" t="n">
        <v>0</v>
      </c>
      <c r="N135" t="n">
        <v>0</v>
      </c>
      <c r="O135" t="n">
        <v>0</v>
      </c>
      <c r="P135" t="n">
        <v>0</v>
      </c>
      <c r="Q135" t="n">
        <v>0</v>
      </c>
      <c r="R135" s="2" t="inlineStr"/>
    </row>
    <row r="136" ht="15" customHeight="1">
      <c r="A136" t="inlineStr">
        <is>
          <t>A 17044-2025</t>
        </is>
      </c>
      <c r="B136" s="1" t="n">
        <v>45755.58891203703</v>
      </c>
      <c r="C136" s="1" t="n">
        <v>45910</v>
      </c>
      <c r="D136" t="inlineStr">
        <is>
          <t>VÄSTRA GÖTALANDS LÄN</t>
        </is>
      </c>
      <c r="E136" t="inlineStr">
        <is>
          <t>ALE</t>
        </is>
      </c>
      <c r="G136" t="n">
        <v>1.5</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45910</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41598-2022</t>
        </is>
      </c>
      <c r="B138" s="1" t="n">
        <v>44827.4609837963</v>
      </c>
      <c r="C138" s="1" t="n">
        <v>45910</v>
      </c>
      <c r="D138" t="inlineStr">
        <is>
          <t>VÄSTRA GÖTALANDS LÄN</t>
        </is>
      </c>
      <c r="E138" t="inlineStr">
        <is>
          <t>ALE</t>
        </is>
      </c>
      <c r="G138" t="n">
        <v>2</v>
      </c>
      <c r="H138" t="n">
        <v>0</v>
      </c>
      <c r="I138" t="n">
        <v>0</v>
      </c>
      <c r="J138" t="n">
        <v>0</v>
      </c>
      <c r="K138" t="n">
        <v>0</v>
      </c>
      <c r="L138" t="n">
        <v>0</v>
      </c>
      <c r="M138" t="n">
        <v>0</v>
      </c>
      <c r="N138" t="n">
        <v>0</v>
      </c>
      <c r="O138" t="n">
        <v>0</v>
      </c>
      <c r="P138" t="n">
        <v>0</v>
      </c>
      <c r="Q138" t="n">
        <v>0</v>
      </c>
      <c r="R138" s="2" t="inlineStr"/>
    </row>
    <row r="139" ht="15" customHeight="1">
      <c r="A139" t="inlineStr">
        <is>
          <t>A 4642-2024</t>
        </is>
      </c>
      <c r="B139" s="1" t="n">
        <v>45328.43502314815</v>
      </c>
      <c r="C139" s="1" t="n">
        <v>45910</v>
      </c>
      <c r="D139" t="inlineStr">
        <is>
          <t>VÄSTRA GÖTALANDS LÄN</t>
        </is>
      </c>
      <c r="E139" t="inlineStr">
        <is>
          <t>ALE</t>
        </is>
      </c>
      <c r="G139" t="n">
        <v>7.1</v>
      </c>
      <c r="H139" t="n">
        <v>0</v>
      </c>
      <c r="I139" t="n">
        <v>0</v>
      </c>
      <c r="J139" t="n">
        <v>0</v>
      </c>
      <c r="K139" t="n">
        <v>0</v>
      </c>
      <c r="L139" t="n">
        <v>0</v>
      </c>
      <c r="M139" t="n">
        <v>0</v>
      </c>
      <c r="N139" t="n">
        <v>0</v>
      </c>
      <c r="O139" t="n">
        <v>0</v>
      </c>
      <c r="P139" t="n">
        <v>0</v>
      </c>
      <c r="Q139" t="n">
        <v>0</v>
      </c>
      <c r="R139" s="2" t="inlineStr"/>
    </row>
    <row r="140" ht="15" customHeight="1">
      <c r="A140" t="inlineStr">
        <is>
          <t>A 69325-2020</t>
        </is>
      </c>
      <c r="B140" s="1" t="n">
        <v>44193</v>
      </c>
      <c r="C140" s="1" t="n">
        <v>45910</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16601-2025</t>
        </is>
      </c>
      <c r="B141" s="1" t="n">
        <v>45753.53189814815</v>
      </c>
      <c r="C141" s="1" t="n">
        <v>45910</v>
      </c>
      <c r="D141" t="inlineStr">
        <is>
          <t>VÄSTRA GÖTALANDS LÄN</t>
        </is>
      </c>
      <c r="E141" t="inlineStr">
        <is>
          <t>ALE</t>
        </is>
      </c>
      <c r="G141" t="n">
        <v>1.7</v>
      </c>
      <c r="H141" t="n">
        <v>0</v>
      </c>
      <c r="I141" t="n">
        <v>0</v>
      </c>
      <c r="J141" t="n">
        <v>0</v>
      </c>
      <c r="K141" t="n">
        <v>0</v>
      </c>
      <c r="L141" t="n">
        <v>0</v>
      </c>
      <c r="M141" t="n">
        <v>0</v>
      </c>
      <c r="N141" t="n">
        <v>0</v>
      </c>
      <c r="O141" t="n">
        <v>0</v>
      </c>
      <c r="P141" t="n">
        <v>0</v>
      </c>
      <c r="Q141" t="n">
        <v>0</v>
      </c>
      <c r="R141" s="2" t="inlineStr"/>
    </row>
    <row r="142" ht="15" customHeight="1">
      <c r="A142" t="inlineStr">
        <is>
          <t>A 60233-2024</t>
        </is>
      </c>
      <c r="B142" s="1" t="n">
        <v>45642.74851851852</v>
      </c>
      <c r="C142" s="1" t="n">
        <v>45910</v>
      </c>
      <c r="D142" t="inlineStr">
        <is>
          <t>VÄSTRA GÖTALANDS LÄN</t>
        </is>
      </c>
      <c r="E142" t="inlineStr">
        <is>
          <t>ALE</t>
        </is>
      </c>
      <c r="G142" t="n">
        <v>0.8</v>
      </c>
      <c r="H142" t="n">
        <v>0</v>
      </c>
      <c r="I142" t="n">
        <v>0</v>
      </c>
      <c r="J142" t="n">
        <v>0</v>
      </c>
      <c r="K142" t="n">
        <v>0</v>
      </c>
      <c r="L142" t="n">
        <v>0</v>
      </c>
      <c r="M142" t="n">
        <v>0</v>
      </c>
      <c r="N142" t="n">
        <v>0</v>
      </c>
      <c r="O142" t="n">
        <v>0</v>
      </c>
      <c r="P142" t="n">
        <v>0</v>
      </c>
      <c r="Q142" t="n">
        <v>0</v>
      </c>
      <c r="R142" s="2" t="inlineStr"/>
    </row>
    <row r="143" ht="15" customHeight="1">
      <c r="A143" t="inlineStr">
        <is>
          <t>A 36403-2024</t>
        </is>
      </c>
      <c r="B143" s="1" t="n">
        <v>45535.69445601852</v>
      </c>
      <c r="C143" s="1" t="n">
        <v>45910</v>
      </c>
      <c r="D143" t="inlineStr">
        <is>
          <t>VÄSTRA GÖTALANDS LÄN</t>
        </is>
      </c>
      <c r="E143" t="inlineStr">
        <is>
          <t>ALE</t>
        </is>
      </c>
      <c r="G143" t="n">
        <v>0.6</v>
      </c>
      <c r="H143" t="n">
        <v>0</v>
      </c>
      <c r="I143" t="n">
        <v>0</v>
      </c>
      <c r="J143" t="n">
        <v>0</v>
      </c>
      <c r="K143" t="n">
        <v>0</v>
      </c>
      <c r="L143" t="n">
        <v>0</v>
      </c>
      <c r="M143" t="n">
        <v>0</v>
      </c>
      <c r="N143" t="n">
        <v>0</v>
      </c>
      <c r="O143" t="n">
        <v>0</v>
      </c>
      <c r="P143" t="n">
        <v>0</v>
      </c>
      <c r="Q143" t="n">
        <v>0</v>
      </c>
      <c r="R143" s="2" t="inlineStr"/>
    </row>
    <row r="144" ht="15" customHeight="1">
      <c r="A144" t="inlineStr">
        <is>
          <t>A 200-2022</t>
        </is>
      </c>
      <c r="B144" s="1" t="n">
        <v>44564</v>
      </c>
      <c r="C144" s="1" t="n">
        <v>45910</v>
      </c>
      <c r="D144" t="inlineStr">
        <is>
          <t>VÄSTRA GÖTALANDS LÄN</t>
        </is>
      </c>
      <c r="E144" t="inlineStr">
        <is>
          <t>ALE</t>
        </is>
      </c>
      <c r="G144" t="n">
        <v>6.8</v>
      </c>
      <c r="H144" t="n">
        <v>0</v>
      </c>
      <c r="I144" t="n">
        <v>0</v>
      </c>
      <c r="J144" t="n">
        <v>0</v>
      </c>
      <c r="K144" t="n">
        <v>0</v>
      </c>
      <c r="L144" t="n">
        <v>0</v>
      </c>
      <c r="M144" t="n">
        <v>0</v>
      </c>
      <c r="N144" t="n">
        <v>0</v>
      </c>
      <c r="O144" t="n">
        <v>0</v>
      </c>
      <c r="P144" t="n">
        <v>0</v>
      </c>
      <c r="Q144" t="n">
        <v>0</v>
      </c>
      <c r="R144" s="2" t="inlineStr"/>
    </row>
    <row r="145" ht="15" customHeight="1">
      <c r="A145" t="inlineStr">
        <is>
          <t>A 15582-2025</t>
        </is>
      </c>
      <c r="B145" s="1" t="n">
        <v>45747.81394675926</v>
      </c>
      <c r="C145" s="1" t="n">
        <v>45910</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7892-2024</t>
        </is>
      </c>
      <c r="B146" s="1" t="n">
        <v>45350.40921296296</v>
      </c>
      <c r="C146" s="1" t="n">
        <v>45910</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6947-2024</t>
        </is>
      </c>
      <c r="B147" s="1" t="n">
        <v>45343</v>
      </c>
      <c r="C147" s="1" t="n">
        <v>45910</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4444-2024</t>
        </is>
      </c>
      <c r="B148" s="1" t="n">
        <v>45327</v>
      </c>
      <c r="C148" s="1" t="n">
        <v>45910</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5916-2023</t>
        </is>
      </c>
      <c r="B149" s="1" t="n">
        <v>44963</v>
      </c>
      <c r="C149" s="1" t="n">
        <v>45910</v>
      </c>
      <c r="D149" t="inlineStr">
        <is>
          <t>VÄSTRA GÖTALANDS LÄN</t>
        </is>
      </c>
      <c r="E149" t="inlineStr">
        <is>
          <t>ALE</t>
        </is>
      </c>
      <c r="G149" t="n">
        <v>4.2</v>
      </c>
      <c r="H149" t="n">
        <v>0</v>
      </c>
      <c r="I149" t="n">
        <v>0</v>
      </c>
      <c r="J149" t="n">
        <v>0</v>
      </c>
      <c r="K149" t="n">
        <v>0</v>
      </c>
      <c r="L149" t="n">
        <v>0</v>
      </c>
      <c r="M149" t="n">
        <v>0</v>
      </c>
      <c r="N149" t="n">
        <v>0</v>
      </c>
      <c r="O149" t="n">
        <v>0</v>
      </c>
      <c r="P149" t="n">
        <v>0</v>
      </c>
      <c r="Q149" t="n">
        <v>0</v>
      </c>
      <c r="R149" s="2" t="inlineStr"/>
    </row>
    <row r="150" ht="15" customHeight="1">
      <c r="A150" t="inlineStr">
        <is>
          <t>A 3457-2022</t>
        </is>
      </c>
      <c r="B150" s="1" t="n">
        <v>44585</v>
      </c>
      <c r="C150" s="1" t="n">
        <v>45910</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72801-2021</t>
        </is>
      </c>
      <c r="B151" s="1" t="n">
        <v>44546</v>
      </c>
      <c r="C151" s="1" t="n">
        <v>45910</v>
      </c>
      <c r="D151" t="inlineStr">
        <is>
          <t>VÄSTRA GÖTALANDS LÄN</t>
        </is>
      </c>
      <c r="E151" t="inlineStr">
        <is>
          <t>ALE</t>
        </is>
      </c>
      <c r="F151" t="inlineStr">
        <is>
          <t>Naturvårdsverket</t>
        </is>
      </c>
      <c r="G151" t="n">
        <v>1.4</v>
      </c>
      <c r="H151" t="n">
        <v>0</v>
      </c>
      <c r="I151" t="n">
        <v>0</v>
      </c>
      <c r="J151" t="n">
        <v>0</v>
      </c>
      <c r="K151" t="n">
        <v>0</v>
      </c>
      <c r="L151" t="n">
        <v>0</v>
      </c>
      <c r="M151" t="n">
        <v>0</v>
      </c>
      <c r="N151" t="n">
        <v>0</v>
      </c>
      <c r="O151" t="n">
        <v>0</v>
      </c>
      <c r="P151" t="n">
        <v>0</v>
      </c>
      <c r="Q151" t="n">
        <v>0</v>
      </c>
      <c r="R151" s="2" t="inlineStr"/>
    </row>
    <row r="152">
      <c r="A152" t="inlineStr">
        <is>
          <t>A 8956-2025</t>
        </is>
      </c>
      <c r="B152" s="1" t="n">
        <v>45713.46825231481</v>
      </c>
      <c r="C152" s="1" t="n">
        <v>45910</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2025-09-10T18:16:10Z</dcterms:created>
  <dcterms:modified xmlns:dcterms="http://purl.org/dc/terms/" xmlns:xsi="http://www.w3.org/2001/XMLSchema-instance" xsi:type="dcterms:W3CDTF">2025-09-10T18:16:10Z</dcterms:modified>
</cp:coreProperties>
</file>