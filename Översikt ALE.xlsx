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45348</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45348</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45348</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45348</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45348</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45348</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45348</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45348</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45348</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45348</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45348</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45348</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45348</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45348</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45348</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63569-2023</t>
        </is>
      </c>
      <c r="B17" s="1" t="n">
        <v>45275</v>
      </c>
      <c r="C17" s="1" t="n">
        <v>45348</v>
      </c>
      <c r="D17" t="inlineStr">
        <is>
          <t>VÄSTRA GÖTALANDS LÄN</t>
        </is>
      </c>
      <c r="E17" t="inlineStr">
        <is>
          <t>ALE</t>
        </is>
      </c>
      <c r="G17" t="n">
        <v>2.4</v>
      </c>
      <c r="H17" t="n">
        <v>2</v>
      </c>
      <c r="I17" t="n">
        <v>0</v>
      </c>
      <c r="J17" t="n">
        <v>2</v>
      </c>
      <c r="K17" t="n">
        <v>0</v>
      </c>
      <c r="L17" t="n">
        <v>0</v>
      </c>
      <c r="M17" t="n">
        <v>0</v>
      </c>
      <c r="N17" t="n">
        <v>0</v>
      </c>
      <c r="O17" t="n">
        <v>2</v>
      </c>
      <c r="P17" t="n">
        <v>0</v>
      </c>
      <c r="Q17" t="n">
        <v>2</v>
      </c>
      <c r="R17" s="2" t="inlineStr">
        <is>
          <t>Spillkråka
Talltita</t>
        </is>
      </c>
      <c r="S17">
        <f>HYPERLINK("https://klasma.github.io/Logging_1440/artfynd/A 63569-2023 artfynd.xlsx", "A 63569-2023")</f>
        <v/>
      </c>
      <c r="T17">
        <f>HYPERLINK("https://klasma.github.io/Logging_1440/kartor/A 63569-2023 karta.png", "A 63569-2023")</f>
        <v/>
      </c>
      <c r="V17">
        <f>HYPERLINK("https://klasma.github.io/Logging_1440/klagomål/A 63569-2023 FSC-klagomål.docx", "A 63569-2023")</f>
        <v/>
      </c>
      <c r="W17">
        <f>HYPERLINK("https://klasma.github.io/Logging_1440/klagomålsmail/A 63569-2023 FSC-klagomål mail.docx", "A 63569-2023")</f>
        <v/>
      </c>
      <c r="X17">
        <f>HYPERLINK("https://klasma.github.io/Logging_1440/tillsyn/A 63569-2023 tillsynsbegäran.docx", "A 63569-2023")</f>
        <v/>
      </c>
      <c r="Y17">
        <f>HYPERLINK("https://klasma.github.io/Logging_1440/tillsynsmail/A 63569-2023 tillsynsbegäran mail.docx", "A 63569-2023")</f>
        <v/>
      </c>
      <c r="Z17">
        <f>HYPERLINK("https://klasma.github.io/Logging_1440/fåglar/A 63569-2023 prioriterade fågelarter.docx", "A 63569-2023")</f>
        <v/>
      </c>
    </row>
    <row r="18" ht="15" customHeight="1">
      <c r="A18" t="inlineStr">
        <is>
          <t>A 67849-2018</t>
        </is>
      </c>
      <c r="B18" s="1" t="n">
        <v>43440</v>
      </c>
      <c r="C18" s="1" t="n">
        <v>45348</v>
      </c>
      <c r="D18" t="inlineStr">
        <is>
          <t>VÄSTRA GÖTALANDS LÄN</t>
        </is>
      </c>
      <c r="E18" t="inlineStr">
        <is>
          <t>ALE</t>
        </is>
      </c>
      <c r="G18" t="n">
        <v>4</v>
      </c>
      <c r="H18" t="n">
        <v>0</v>
      </c>
      <c r="I18" t="n">
        <v>1</v>
      </c>
      <c r="J18" t="n">
        <v>0</v>
      </c>
      <c r="K18" t="n">
        <v>0</v>
      </c>
      <c r="L18" t="n">
        <v>0</v>
      </c>
      <c r="M18" t="n">
        <v>0</v>
      </c>
      <c r="N18" t="n">
        <v>0</v>
      </c>
      <c r="O18" t="n">
        <v>0</v>
      </c>
      <c r="P18" t="n">
        <v>0</v>
      </c>
      <c r="Q18" t="n">
        <v>1</v>
      </c>
      <c r="R18" s="2" t="inlineStr">
        <is>
          <t>Kambräken</t>
        </is>
      </c>
      <c r="S18">
        <f>HYPERLINK("https://klasma.github.io/Logging_1440/artfynd/A 67849-2018 artfynd.xlsx", "A 67849-2018")</f>
        <v/>
      </c>
      <c r="T18">
        <f>HYPERLINK("https://klasma.github.io/Logging_1440/kartor/A 67849-2018 karta.png", "A 67849-2018")</f>
        <v/>
      </c>
      <c r="V18">
        <f>HYPERLINK("https://klasma.github.io/Logging_1440/klagomål/A 67849-2018 FSC-klagomål.docx", "A 67849-2018")</f>
        <v/>
      </c>
      <c r="W18">
        <f>HYPERLINK("https://klasma.github.io/Logging_1440/klagomålsmail/A 67849-2018 FSC-klagomål mail.docx", "A 67849-2018")</f>
        <v/>
      </c>
      <c r="X18">
        <f>HYPERLINK("https://klasma.github.io/Logging_1440/tillsyn/A 67849-2018 tillsynsbegäran.docx", "A 67849-2018")</f>
        <v/>
      </c>
      <c r="Y18">
        <f>HYPERLINK("https://klasma.github.io/Logging_1440/tillsynsmail/A 67849-2018 tillsynsbegäran mail.docx", "A 67849-2018")</f>
        <v/>
      </c>
    </row>
    <row r="19" ht="15" customHeight="1">
      <c r="A19" t="inlineStr">
        <is>
          <t>A 25391-2019</t>
        </is>
      </c>
      <c r="B19" s="1" t="n">
        <v>43606</v>
      </c>
      <c r="C19" s="1" t="n">
        <v>45348</v>
      </c>
      <c r="D19" t="inlineStr">
        <is>
          <t>VÄSTRA GÖTALANDS LÄN</t>
        </is>
      </c>
      <c r="E19" t="inlineStr">
        <is>
          <t>ALE</t>
        </is>
      </c>
      <c r="G19" t="n">
        <v>10.1</v>
      </c>
      <c r="H19" t="n">
        <v>1</v>
      </c>
      <c r="I19" t="n">
        <v>0</v>
      </c>
      <c r="J19" t="n">
        <v>1</v>
      </c>
      <c r="K19" t="n">
        <v>0</v>
      </c>
      <c r="L19" t="n">
        <v>0</v>
      </c>
      <c r="M19" t="n">
        <v>0</v>
      </c>
      <c r="N19" t="n">
        <v>0</v>
      </c>
      <c r="O19" t="n">
        <v>1</v>
      </c>
      <c r="P19" t="n">
        <v>0</v>
      </c>
      <c r="Q19" t="n">
        <v>1</v>
      </c>
      <c r="R19" s="2" t="inlineStr">
        <is>
          <t>Kungsörn</t>
        </is>
      </c>
      <c r="S19">
        <f>HYPERLINK("https://klasma.github.io/Logging_1440/artfynd/A 25391-2019 artfynd.xlsx", "A 25391-2019")</f>
        <v/>
      </c>
      <c r="T19">
        <f>HYPERLINK("https://klasma.github.io/Logging_1440/kartor/A 25391-2019 karta.png", "A 25391-2019")</f>
        <v/>
      </c>
      <c r="V19">
        <f>HYPERLINK("https://klasma.github.io/Logging_1440/klagomål/A 25391-2019 FSC-klagomål.docx", "A 25391-2019")</f>
        <v/>
      </c>
      <c r="W19">
        <f>HYPERLINK("https://klasma.github.io/Logging_1440/klagomålsmail/A 25391-2019 FSC-klagomål mail.docx", "A 25391-2019")</f>
        <v/>
      </c>
      <c r="X19">
        <f>HYPERLINK("https://klasma.github.io/Logging_1440/tillsyn/A 25391-2019 tillsynsbegäran.docx", "A 25391-2019")</f>
        <v/>
      </c>
      <c r="Y19">
        <f>HYPERLINK("https://klasma.github.io/Logging_1440/tillsynsmail/A 25391-2019 tillsynsbegäran mail.docx", "A 25391-2019")</f>
        <v/>
      </c>
      <c r="Z19">
        <f>HYPERLINK("https://klasma.github.io/Logging_1440/fåglar/A 25391-2019 prioriterade fågelarter.docx", "A 25391-2019")</f>
        <v/>
      </c>
    </row>
    <row r="20" ht="15" customHeight="1">
      <c r="A20" t="inlineStr">
        <is>
          <t>A 53693-2019</t>
        </is>
      </c>
      <c r="B20" s="1" t="n">
        <v>43749</v>
      </c>
      <c r="C20" s="1" t="n">
        <v>45348</v>
      </c>
      <c r="D20" t="inlineStr">
        <is>
          <t>VÄSTRA GÖTALANDS LÄN</t>
        </is>
      </c>
      <c r="E20" t="inlineStr">
        <is>
          <t>ALE</t>
        </is>
      </c>
      <c r="G20" t="n">
        <v>11.2</v>
      </c>
      <c r="H20" t="n">
        <v>0</v>
      </c>
      <c r="I20" t="n">
        <v>1</v>
      </c>
      <c r="J20" t="n">
        <v>0</v>
      </c>
      <c r="K20" t="n">
        <v>0</v>
      </c>
      <c r="L20" t="n">
        <v>0</v>
      </c>
      <c r="M20" t="n">
        <v>0</v>
      </c>
      <c r="N20" t="n">
        <v>0</v>
      </c>
      <c r="O20" t="n">
        <v>0</v>
      </c>
      <c r="P20" t="n">
        <v>0</v>
      </c>
      <c r="Q20" t="n">
        <v>1</v>
      </c>
      <c r="R20" s="2" t="inlineStr">
        <is>
          <t>Havstulpanlav</t>
        </is>
      </c>
      <c r="S20">
        <f>HYPERLINK("https://klasma.github.io/Logging_1440/artfynd/A 53693-2019 artfynd.xlsx", "A 53693-2019")</f>
        <v/>
      </c>
      <c r="T20">
        <f>HYPERLINK("https://klasma.github.io/Logging_1440/kartor/A 53693-2019 karta.png", "A 53693-2019")</f>
        <v/>
      </c>
      <c r="V20">
        <f>HYPERLINK("https://klasma.github.io/Logging_1440/klagomål/A 53693-2019 FSC-klagomål.docx", "A 53693-2019")</f>
        <v/>
      </c>
      <c r="W20">
        <f>HYPERLINK("https://klasma.github.io/Logging_1440/klagomålsmail/A 53693-2019 FSC-klagomål mail.docx", "A 53693-2019")</f>
        <v/>
      </c>
      <c r="X20">
        <f>HYPERLINK("https://klasma.github.io/Logging_1440/tillsyn/A 53693-2019 tillsynsbegäran.docx", "A 53693-2019")</f>
        <v/>
      </c>
      <c r="Y20">
        <f>HYPERLINK("https://klasma.github.io/Logging_1440/tillsynsmail/A 53693-2019 tillsynsbegäran mail.docx", "A 53693-2019")</f>
        <v/>
      </c>
    </row>
    <row r="21" ht="15" customHeight="1">
      <c r="A21" t="inlineStr">
        <is>
          <t>A 23339-2023</t>
        </is>
      </c>
      <c r="B21" s="1" t="n">
        <v>45076</v>
      </c>
      <c r="C21" s="1" t="n">
        <v>45348</v>
      </c>
      <c r="D21" t="inlineStr">
        <is>
          <t>VÄSTRA GÖTALANDS LÄN</t>
        </is>
      </c>
      <c r="E21" t="inlineStr">
        <is>
          <t>ALE</t>
        </is>
      </c>
      <c r="G21" t="n">
        <v>7.4</v>
      </c>
      <c r="H21" t="n">
        <v>1</v>
      </c>
      <c r="I21" t="n">
        <v>0</v>
      </c>
      <c r="J21" t="n">
        <v>0</v>
      </c>
      <c r="K21" t="n">
        <v>0</v>
      </c>
      <c r="L21" t="n">
        <v>0</v>
      </c>
      <c r="M21" t="n">
        <v>0</v>
      </c>
      <c r="N21" t="n">
        <v>0</v>
      </c>
      <c r="O21" t="n">
        <v>0</v>
      </c>
      <c r="P21" t="n">
        <v>0</v>
      </c>
      <c r="Q21" t="n">
        <v>1</v>
      </c>
      <c r="R21" s="2" t="inlineStr">
        <is>
          <t>Revlummer</t>
        </is>
      </c>
      <c r="S21">
        <f>HYPERLINK("https://klasma.github.io/Logging_1440/artfynd/A 23339-2023 artfynd.xlsx", "A 23339-2023")</f>
        <v/>
      </c>
      <c r="T21">
        <f>HYPERLINK("https://klasma.github.io/Logging_1440/kartor/A 23339-2023 karta.png", "A 23339-2023")</f>
        <v/>
      </c>
      <c r="V21">
        <f>HYPERLINK("https://klasma.github.io/Logging_1440/klagomål/A 23339-2023 FSC-klagomål.docx", "A 23339-2023")</f>
        <v/>
      </c>
      <c r="W21">
        <f>HYPERLINK("https://klasma.github.io/Logging_1440/klagomålsmail/A 23339-2023 FSC-klagomål mail.docx", "A 23339-2023")</f>
        <v/>
      </c>
      <c r="X21">
        <f>HYPERLINK("https://klasma.github.io/Logging_1440/tillsyn/A 23339-2023 tillsynsbegäran.docx", "A 23339-2023")</f>
        <v/>
      </c>
      <c r="Y21">
        <f>HYPERLINK("https://klasma.github.io/Logging_1440/tillsynsmail/A 23339-2023 tillsynsbegäran mail.docx", "A 23339-2023")</f>
        <v/>
      </c>
    </row>
    <row r="22" ht="15" customHeight="1">
      <c r="A22" t="inlineStr">
        <is>
          <t>A 45010-2018</t>
        </is>
      </c>
      <c r="B22" s="1" t="n">
        <v>43361</v>
      </c>
      <c r="C22" s="1" t="n">
        <v>45348</v>
      </c>
      <c r="D22" t="inlineStr">
        <is>
          <t>VÄSTRA GÖTALANDS LÄN</t>
        </is>
      </c>
      <c r="E22" t="inlineStr">
        <is>
          <t>ALE</t>
        </is>
      </c>
      <c r="G22" t="n">
        <v>2.6</v>
      </c>
      <c r="H22" t="n">
        <v>0</v>
      </c>
      <c r="I22" t="n">
        <v>0</v>
      </c>
      <c r="J22" t="n">
        <v>0</v>
      </c>
      <c r="K22" t="n">
        <v>0</v>
      </c>
      <c r="L22" t="n">
        <v>0</v>
      </c>
      <c r="M22" t="n">
        <v>0</v>
      </c>
      <c r="N22" t="n">
        <v>0</v>
      </c>
      <c r="O22" t="n">
        <v>0</v>
      </c>
      <c r="P22" t="n">
        <v>0</v>
      </c>
      <c r="Q22" t="n">
        <v>0</v>
      </c>
      <c r="R22" s="2" t="inlineStr"/>
    </row>
    <row r="23" ht="15" customHeight="1">
      <c r="A23" t="inlineStr">
        <is>
          <t>A 46353-2018</t>
        </is>
      </c>
      <c r="B23" s="1" t="n">
        <v>43367</v>
      </c>
      <c r="C23" s="1" t="n">
        <v>45348</v>
      </c>
      <c r="D23" t="inlineStr">
        <is>
          <t>VÄSTRA GÖTALANDS LÄN</t>
        </is>
      </c>
      <c r="E23" t="inlineStr">
        <is>
          <t>ALE</t>
        </is>
      </c>
      <c r="G23" t="n">
        <v>1</v>
      </c>
      <c r="H23" t="n">
        <v>0</v>
      </c>
      <c r="I23" t="n">
        <v>0</v>
      </c>
      <c r="J23" t="n">
        <v>0</v>
      </c>
      <c r="K23" t="n">
        <v>0</v>
      </c>
      <c r="L23" t="n">
        <v>0</v>
      </c>
      <c r="M23" t="n">
        <v>0</v>
      </c>
      <c r="N23" t="n">
        <v>0</v>
      </c>
      <c r="O23" t="n">
        <v>0</v>
      </c>
      <c r="P23" t="n">
        <v>0</v>
      </c>
      <c r="Q23" t="n">
        <v>0</v>
      </c>
      <c r="R23" s="2" t="inlineStr"/>
    </row>
    <row r="24" ht="15" customHeight="1">
      <c r="A24" t="inlineStr">
        <is>
          <t>A 51458-2018</t>
        </is>
      </c>
      <c r="B24" s="1" t="n">
        <v>43383</v>
      </c>
      <c r="C24" s="1" t="n">
        <v>45348</v>
      </c>
      <c r="D24" t="inlineStr">
        <is>
          <t>VÄSTRA GÖTALANDS LÄN</t>
        </is>
      </c>
      <c r="E24" t="inlineStr">
        <is>
          <t>ALE</t>
        </is>
      </c>
      <c r="G24" t="n">
        <v>13.9</v>
      </c>
      <c r="H24" t="n">
        <v>0</v>
      </c>
      <c r="I24" t="n">
        <v>0</v>
      </c>
      <c r="J24" t="n">
        <v>0</v>
      </c>
      <c r="K24" t="n">
        <v>0</v>
      </c>
      <c r="L24" t="n">
        <v>0</v>
      </c>
      <c r="M24" t="n">
        <v>0</v>
      </c>
      <c r="N24" t="n">
        <v>0</v>
      </c>
      <c r="O24" t="n">
        <v>0</v>
      </c>
      <c r="P24" t="n">
        <v>0</v>
      </c>
      <c r="Q24" t="n">
        <v>0</v>
      </c>
      <c r="R24" s="2" t="inlineStr"/>
    </row>
    <row r="25" ht="15" customHeight="1">
      <c r="A25" t="inlineStr">
        <is>
          <t>A 52043-2018</t>
        </is>
      </c>
      <c r="B25" s="1" t="n">
        <v>43385</v>
      </c>
      <c r="C25" s="1" t="n">
        <v>45348</v>
      </c>
      <c r="D25" t="inlineStr">
        <is>
          <t>VÄSTRA GÖTALANDS LÄN</t>
        </is>
      </c>
      <c r="E25" t="inlineStr">
        <is>
          <t>ALE</t>
        </is>
      </c>
      <c r="G25" t="n">
        <v>0.4</v>
      </c>
      <c r="H25" t="n">
        <v>0</v>
      </c>
      <c r="I25" t="n">
        <v>0</v>
      </c>
      <c r="J25" t="n">
        <v>0</v>
      </c>
      <c r="K25" t="n">
        <v>0</v>
      </c>
      <c r="L25" t="n">
        <v>0</v>
      </c>
      <c r="M25" t="n">
        <v>0</v>
      </c>
      <c r="N25" t="n">
        <v>0</v>
      </c>
      <c r="O25" t="n">
        <v>0</v>
      </c>
      <c r="P25" t="n">
        <v>0</v>
      </c>
      <c r="Q25" t="n">
        <v>0</v>
      </c>
      <c r="R25" s="2" t="inlineStr"/>
    </row>
    <row r="26" ht="15" customHeight="1">
      <c r="A26" t="inlineStr">
        <is>
          <t>A 58589-2018</t>
        </is>
      </c>
      <c r="B26" s="1" t="n">
        <v>43410</v>
      </c>
      <c r="C26" s="1" t="n">
        <v>45348</v>
      </c>
      <c r="D26" t="inlineStr">
        <is>
          <t>VÄSTRA GÖTALANDS LÄN</t>
        </is>
      </c>
      <c r="E26" t="inlineStr">
        <is>
          <t>ALE</t>
        </is>
      </c>
      <c r="G26" t="n">
        <v>4.6</v>
      </c>
      <c r="H26" t="n">
        <v>0</v>
      </c>
      <c r="I26" t="n">
        <v>0</v>
      </c>
      <c r="J26" t="n">
        <v>0</v>
      </c>
      <c r="K26" t="n">
        <v>0</v>
      </c>
      <c r="L26" t="n">
        <v>0</v>
      </c>
      <c r="M26" t="n">
        <v>0</v>
      </c>
      <c r="N26" t="n">
        <v>0</v>
      </c>
      <c r="O26" t="n">
        <v>0</v>
      </c>
      <c r="P26" t="n">
        <v>0</v>
      </c>
      <c r="Q26" t="n">
        <v>0</v>
      </c>
      <c r="R26" s="2" t="inlineStr"/>
    </row>
    <row r="27" ht="15" customHeight="1">
      <c r="A27" t="inlineStr">
        <is>
          <t>A 59319-2018</t>
        </is>
      </c>
      <c r="B27" s="1" t="n">
        <v>43411</v>
      </c>
      <c r="C27" s="1" t="n">
        <v>45348</v>
      </c>
      <c r="D27" t="inlineStr">
        <is>
          <t>VÄSTRA GÖTALANDS LÄN</t>
        </is>
      </c>
      <c r="E27" t="inlineStr">
        <is>
          <t>ALE</t>
        </is>
      </c>
      <c r="G27" t="n">
        <v>12.5</v>
      </c>
      <c r="H27" t="n">
        <v>0</v>
      </c>
      <c r="I27" t="n">
        <v>0</v>
      </c>
      <c r="J27" t="n">
        <v>0</v>
      </c>
      <c r="K27" t="n">
        <v>0</v>
      </c>
      <c r="L27" t="n">
        <v>0</v>
      </c>
      <c r="M27" t="n">
        <v>0</v>
      </c>
      <c r="N27" t="n">
        <v>0</v>
      </c>
      <c r="O27" t="n">
        <v>0</v>
      </c>
      <c r="P27" t="n">
        <v>0</v>
      </c>
      <c r="Q27" t="n">
        <v>0</v>
      </c>
      <c r="R27" s="2" t="inlineStr"/>
    </row>
    <row r="28" ht="15" customHeight="1">
      <c r="A28" t="inlineStr">
        <is>
          <t>A 67125-2018</t>
        </is>
      </c>
      <c r="B28" s="1" t="n">
        <v>43438</v>
      </c>
      <c r="C28" s="1" t="n">
        <v>45348</v>
      </c>
      <c r="D28" t="inlineStr">
        <is>
          <t>VÄSTRA GÖTALANDS LÄN</t>
        </is>
      </c>
      <c r="E28" t="inlineStr">
        <is>
          <t>ALE</t>
        </is>
      </c>
      <c r="G28" t="n">
        <v>10.4</v>
      </c>
      <c r="H28" t="n">
        <v>0</v>
      </c>
      <c r="I28" t="n">
        <v>0</v>
      </c>
      <c r="J28" t="n">
        <v>0</v>
      </c>
      <c r="K28" t="n">
        <v>0</v>
      </c>
      <c r="L28" t="n">
        <v>0</v>
      </c>
      <c r="M28" t="n">
        <v>0</v>
      </c>
      <c r="N28" t="n">
        <v>0</v>
      </c>
      <c r="O28" t="n">
        <v>0</v>
      </c>
      <c r="P28" t="n">
        <v>0</v>
      </c>
      <c r="Q28" t="n">
        <v>0</v>
      </c>
      <c r="R28" s="2" t="inlineStr"/>
    </row>
    <row r="29" ht="15" customHeight="1">
      <c r="A29" t="inlineStr">
        <is>
          <t>A 67877-2018</t>
        </is>
      </c>
      <c r="B29" s="1" t="n">
        <v>43440</v>
      </c>
      <c r="C29" s="1" t="n">
        <v>45348</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67859-2018</t>
        </is>
      </c>
      <c r="B30" s="1" t="n">
        <v>43440</v>
      </c>
      <c r="C30" s="1" t="n">
        <v>45348</v>
      </c>
      <c r="D30" t="inlineStr">
        <is>
          <t>VÄSTRA GÖTALANDS LÄN</t>
        </is>
      </c>
      <c r="E30" t="inlineStr">
        <is>
          <t>ALE</t>
        </is>
      </c>
      <c r="G30" t="n">
        <v>1.2</v>
      </c>
      <c r="H30" t="n">
        <v>0</v>
      </c>
      <c r="I30" t="n">
        <v>0</v>
      </c>
      <c r="J30" t="n">
        <v>0</v>
      </c>
      <c r="K30" t="n">
        <v>0</v>
      </c>
      <c r="L30" t="n">
        <v>0</v>
      </c>
      <c r="M30" t="n">
        <v>0</v>
      </c>
      <c r="N30" t="n">
        <v>0</v>
      </c>
      <c r="O30" t="n">
        <v>0</v>
      </c>
      <c r="P30" t="n">
        <v>0</v>
      </c>
      <c r="Q30" t="n">
        <v>0</v>
      </c>
      <c r="R30" s="2" t="inlineStr"/>
    </row>
    <row r="31" ht="15" customHeight="1">
      <c r="A31" t="inlineStr">
        <is>
          <t>A 756-2019</t>
        </is>
      </c>
      <c r="B31" s="1" t="n">
        <v>43471</v>
      </c>
      <c r="C31" s="1" t="n">
        <v>45348</v>
      </c>
      <c r="D31" t="inlineStr">
        <is>
          <t>VÄSTRA GÖTALANDS LÄN</t>
        </is>
      </c>
      <c r="E31" t="inlineStr">
        <is>
          <t>ALE</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2149-2019</t>
        </is>
      </c>
      <c r="B32" s="1" t="n">
        <v>43475</v>
      </c>
      <c r="C32" s="1" t="n">
        <v>45348</v>
      </c>
      <c r="D32" t="inlineStr">
        <is>
          <t>VÄSTRA GÖTALANDS LÄN</t>
        </is>
      </c>
      <c r="E32" t="inlineStr">
        <is>
          <t>ALE</t>
        </is>
      </c>
      <c r="G32" t="n">
        <v>3.5</v>
      </c>
      <c r="H32" t="n">
        <v>0</v>
      </c>
      <c r="I32" t="n">
        <v>0</v>
      </c>
      <c r="J32" t="n">
        <v>0</v>
      </c>
      <c r="K32" t="n">
        <v>0</v>
      </c>
      <c r="L32" t="n">
        <v>0</v>
      </c>
      <c r="M32" t="n">
        <v>0</v>
      </c>
      <c r="N32" t="n">
        <v>0</v>
      </c>
      <c r="O32" t="n">
        <v>0</v>
      </c>
      <c r="P32" t="n">
        <v>0</v>
      </c>
      <c r="Q32" t="n">
        <v>0</v>
      </c>
      <c r="R32" s="2" t="inlineStr"/>
    </row>
    <row r="33" ht="15" customHeight="1">
      <c r="A33" t="inlineStr">
        <is>
          <t>A 2485-2019</t>
        </is>
      </c>
      <c r="B33" s="1" t="n">
        <v>43476</v>
      </c>
      <c r="C33" s="1" t="n">
        <v>45348</v>
      </c>
      <c r="D33" t="inlineStr">
        <is>
          <t>VÄSTRA GÖTALANDS LÄN</t>
        </is>
      </c>
      <c r="E33" t="inlineStr">
        <is>
          <t>ALE</t>
        </is>
      </c>
      <c r="G33" t="n">
        <v>0.5</v>
      </c>
      <c r="H33" t="n">
        <v>0</v>
      </c>
      <c r="I33" t="n">
        <v>0</v>
      </c>
      <c r="J33" t="n">
        <v>0</v>
      </c>
      <c r="K33" t="n">
        <v>0</v>
      </c>
      <c r="L33" t="n">
        <v>0</v>
      </c>
      <c r="M33" t="n">
        <v>0</v>
      </c>
      <c r="N33" t="n">
        <v>0</v>
      </c>
      <c r="O33" t="n">
        <v>0</v>
      </c>
      <c r="P33" t="n">
        <v>0</v>
      </c>
      <c r="Q33" t="n">
        <v>0</v>
      </c>
      <c r="R33" s="2" t="inlineStr"/>
    </row>
    <row r="34" ht="15" customHeight="1">
      <c r="A34" t="inlineStr">
        <is>
          <t>A 4350-2019</t>
        </is>
      </c>
      <c r="B34" s="1" t="n">
        <v>43479</v>
      </c>
      <c r="C34" s="1" t="n">
        <v>45348</v>
      </c>
      <c r="D34" t="inlineStr">
        <is>
          <t>VÄSTRA GÖTALANDS LÄN</t>
        </is>
      </c>
      <c r="E34" t="inlineStr">
        <is>
          <t>ALE</t>
        </is>
      </c>
      <c r="G34" t="n">
        <v>7</v>
      </c>
      <c r="H34" t="n">
        <v>0</v>
      </c>
      <c r="I34" t="n">
        <v>0</v>
      </c>
      <c r="J34" t="n">
        <v>0</v>
      </c>
      <c r="K34" t="n">
        <v>0</v>
      </c>
      <c r="L34" t="n">
        <v>0</v>
      </c>
      <c r="M34" t="n">
        <v>0</v>
      </c>
      <c r="N34" t="n">
        <v>0</v>
      </c>
      <c r="O34" t="n">
        <v>0</v>
      </c>
      <c r="P34" t="n">
        <v>0</v>
      </c>
      <c r="Q34" t="n">
        <v>0</v>
      </c>
      <c r="R34" s="2" t="inlineStr"/>
    </row>
    <row r="35" ht="15" customHeight="1">
      <c r="A35" t="inlineStr">
        <is>
          <t>A 3560-2019</t>
        </is>
      </c>
      <c r="B35" s="1" t="n">
        <v>43481</v>
      </c>
      <c r="C35" s="1" t="n">
        <v>45348</v>
      </c>
      <c r="D35" t="inlineStr">
        <is>
          <t>VÄSTRA GÖTALANDS LÄN</t>
        </is>
      </c>
      <c r="E35" t="inlineStr">
        <is>
          <t>ALE</t>
        </is>
      </c>
      <c r="G35" t="n">
        <v>0.2</v>
      </c>
      <c r="H35" t="n">
        <v>0</v>
      </c>
      <c r="I35" t="n">
        <v>0</v>
      </c>
      <c r="J35" t="n">
        <v>0</v>
      </c>
      <c r="K35" t="n">
        <v>0</v>
      </c>
      <c r="L35" t="n">
        <v>0</v>
      </c>
      <c r="M35" t="n">
        <v>0</v>
      </c>
      <c r="N35" t="n">
        <v>0</v>
      </c>
      <c r="O35" t="n">
        <v>0</v>
      </c>
      <c r="P35" t="n">
        <v>0</v>
      </c>
      <c r="Q35" t="n">
        <v>0</v>
      </c>
      <c r="R35" s="2" t="inlineStr"/>
    </row>
    <row r="36" ht="15" customHeight="1">
      <c r="A36" t="inlineStr">
        <is>
          <t>A 4367-2019</t>
        </is>
      </c>
      <c r="B36" s="1" t="n">
        <v>43483</v>
      </c>
      <c r="C36" s="1" t="n">
        <v>45348</v>
      </c>
      <c r="D36" t="inlineStr">
        <is>
          <t>VÄSTRA GÖTALANDS LÄN</t>
        </is>
      </c>
      <c r="E36" t="inlineStr">
        <is>
          <t>ALE</t>
        </is>
      </c>
      <c r="G36" t="n">
        <v>0.6</v>
      </c>
      <c r="H36" t="n">
        <v>0</v>
      </c>
      <c r="I36" t="n">
        <v>0</v>
      </c>
      <c r="J36" t="n">
        <v>0</v>
      </c>
      <c r="K36" t="n">
        <v>0</v>
      </c>
      <c r="L36" t="n">
        <v>0</v>
      </c>
      <c r="M36" t="n">
        <v>0</v>
      </c>
      <c r="N36" t="n">
        <v>0</v>
      </c>
      <c r="O36" t="n">
        <v>0</v>
      </c>
      <c r="P36" t="n">
        <v>0</v>
      </c>
      <c r="Q36" t="n">
        <v>0</v>
      </c>
      <c r="R36" s="2" t="inlineStr"/>
    </row>
    <row r="37" ht="15" customHeight="1">
      <c r="A37" t="inlineStr">
        <is>
          <t>A 9188-2019</t>
        </is>
      </c>
      <c r="B37" s="1" t="n">
        <v>43505</v>
      </c>
      <c r="C37" s="1" t="n">
        <v>45348</v>
      </c>
      <c r="D37" t="inlineStr">
        <is>
          <t>VÄSTRA GÖTALANDS LÄN</t>
        </is>
      </c>
      <c r="E37" t="inlineStr">
        <is>
          <t>ALE</t>
        </is>
      </c>
      <c r="G37" t="n">
        <v>4</v>
      </c>
      <c r="H37" t="n">
        <v>0</v>
      </c>
      <c r="I37" t="n">
        <v>0</v>
      </c>
      <c r="J37" t="n">
        <v>0</v>
      </c>
      <c r="K37" t="n">
        <v>0</v>
      </c>
      <c r="L37" t="n">
        <v>0</v>
      </c>
      <c r="M37" t="n">
        <v>0</v>
      </c>
      <c r="N37" t="n">
        <v>0</v>
      </c>
      <c r="O37" t="n">
        <v>0</v>
      </c>
      <c r="P37" t="n">
        <v>0</v>
      </c>
      <c r="Q37" t="n">
        <v>0</v>
      </c>
      <c r="R37" s="2" t="inlineStr"/>
    </row>
    <row r="38" ht="15" customHeight="1">
      <c r="A38" t="inlineStr">
        <is>
          <t>A 11978-2019</t>
        </is>
      </c>
      <c r="B38" s="1" t="n">
        <v>43521</v>
      </c>
      <c r="C38" s="1" t="n">
        <v>45348</v>
      </c>
      <c r="D38" t="inlineStr">
        <is>
          <t>VÄSTRA GÖTALANDS LÄN</t>
        </is>
      </c>
      <c r="E38" t="inlineStr">
        <is>
          <t>ALE</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14048-2019</t>
        </is>
      </c>
      <c r="B39" s="1" t="n">
        <v>43532</v>
      </c>
      <c r="C39" s="1" t="n">
        <v>45348</v>
      </c>
      <c r="D39" t="inlineStr">
        <is>
          <t>VÄSTRA GÖTALANDS LÄN</t>
        </is>
      </c>
      <c r="E39" t="inlineStr">
        <is>
          <t>ALE</t>
        </is>
      </c>
      <c r="G39" t="n">
        <v>1.5</v>
      </c>
      <c r="H39" t="n">
        <v>0</v>
      </c>
      <c r="I39" t="n">
        <v>0</v>
      </c>
      <c r="J39" t="n">
        <v>0</v>
      </c>
      <c r="K39" t="n">
        <v>0</v>
      </c>
      <c r="L39" t="n">
        <v>0</v>
      </c>
      <c r="M39" t="n">
        <v>0</v>
      </c>
      <c r="N39" t="n">
        <v>0</v>
      </c>
      <c r="O39" t="n">
        <v>0</v>
      </c>
      <c r="P39" t="n">
        <v>0</v>
      </c>
      <c r="Q39" t="n">
        <v>0</v>
      </c>
      <c r="R39" s="2" t="inlineStr"/>
    </row>
    <row r="40" ht="15" customHeight="1">
      <c r="A40" t="inlineStr">
        <is>
          <t>A 14335-2019</t>
        </is>
      </c>
      <c r="B40" s="1" t="n">
        <v>43535</v>
      </c>
      <c r="C40" s="1" t="n">
        <v>45348</v>
      </c>
      <c r="D40" t="inlineStr">
        <is>
          <t>VÄSTRA GÖTALANDS LÄN</t>
        </is>
      </c>
      <c r="E40" t="inlineStr">
        <is>
          <t>ALE</t>
        </is>
      </c>
      <c r="G40" t="n">
        <v>5.8</v>
      </c>
      <c r="H40" t="n">
        <v>0</v>
      </c>
      <c r="I40" t="n">
        <v>0</v>
      </c>
      <c r="J40" t="n">
        <v>0</v>
      </c>
      <c r="K40" t="n">
        <v>0</v>
      </c>
      <c r="L40" t="n">
        <v>0</v>
      </c>
      <c r="M40" t="n">
        <v>0</v>
      </c>
      <c r="N40" t="n">
        <v>0</v>
      </c>
      <c r="O40" t="n">
        <v>0</v>
      </c>
      <c r="P40" t="n">
        <v>0</v>
      </c>
      <c r="Q40" t="n">
        <v>0</v>
      </c>
      <c r="R40" s="2" t="inlineStr"/>
    </row>
    <row r="41" ht="15" customHeight="1">
      <c r="A41" t="inlineStr">
        <is>
          <t>A 15443-2019</t>
        </is>
      </c>
      <c r="B41" s="1" t="n">
        <v>43542</v>
      </c>
      <c r="C41" s="1" t="n">
        <v>45348</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22015-2019</t>
        </is>
      </c>
      <c r="B42" s="1" t="n">
        <v>43584</v>
      </c>
      <c r="C42" s="1" t="n">
        <v>45348</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45348</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45348</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45348</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45348</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45348</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45348</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45348</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45348</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45348</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45348</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45348</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45348</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45348</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45348</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45348</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45348</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45348</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45348</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45348</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45348</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45348</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45348</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45348</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45348</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45348</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45348</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45348</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45348</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45348</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45348</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45348</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45348</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45348</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45348</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45348</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45348</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45348</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45348</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45348</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45348</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45348</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45348</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45348</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45348</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45348</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45348</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45348</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45348</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45348</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45348</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45348</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45348</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45348</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45348</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45348</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45348</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45348</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45348</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45348</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45348</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45348</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45348</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45348</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8431-2022</t>
        </is>
      </c>
      <c r="B106" s="1" t="n">
        <v>44611</v>
      </c>
      <c r="C106" s="1" t="n">
        <v>45348</v>
      </c>
      <c r="D106" t="inlineStr">
        <is>
          <t>VÄSTRA GÖTALANDS LÄN</t>
        </is>
      </c>
      <c r="E106" t="inlineStr">
        <is>
          <t>ALE</t>
        </is>
      </c>
      <c r="G106" t="n">
        <v>2.7</v>
      </c>
      <c r="H106" t="n">
        <v>0</v>
      </c>
      <c r="I106" t="n">
        <v>0</v>
      </c>
      <c r="J106" t="n">
        <v>0</v>
      </c>
      <c r="K106" t="n">
        <v>0</v>
      </c>
      <c r="L106" t="n">
        <v>0</v>
      </c>
      <c r="M106" t="n">
        <v>0</v>
      </c>
      <c r="N106" t="n">
        <v>0</v>
      </c>
      <c r="O106" t="n">
        <v>0</v>
      </c>
      <c r="P106" t="n">
        <v>0</v>
      </c>
      <c r="Q106" t="n">
        <v>0</v>
      </c>
      <c r="R106" s="2" t="inlineStr"/>
    </row>
    <row r="107" ht="15" customHeight="1">
      <c r="A107" t="inlineStr">
        <is>
          <t>A 8432-2022</t>
        </is>
      </c>
      <c r="B107" s="1" t="n">
        <v>44611</v>
      </c>
      <c r="C107" s="1" t="n">
        <v>45348</v>
      </c>
      <c r="D107" t="inlineStr">
        <is>
          <t>VÄSTRA GÖTALANDS LÄN</t>
        </is>
      </c>
      <c r="E107" t="inlineStr">
        <is>
          <t>ALE</t>
        </is>
      </c>
      <c r="G107" t="n">
        <v>1.7</v>
      </c>
      <c r="H107" t="n">
        <v>0</v>
      </c>
      <c r="I107" t="n">
        <v>0</v>
      </c>
      <c r="J107" t="n">
        <v>0</v>
      </c>
      <c r="K107" t="n">
        <v>0</v>
      </c>
      <c r="L107" t="n">
        <v>0</v>
      </c>
      <c r="M107" t="n">
        <v>0</v>
      </c>
      <c r="N107" t="n">
        <v>0</v>
      </c>
      <c r="O107" t="n">
        <v>0</v>
      </c>
      <c r="P107" t="n">
        <v>0</v>
      </c>
      <c r="Q107" t="n">
        <v>0</v>
      </c>
      <c r="R107" s="2" t="inlineStr"/>
    </row>
    <row r="108" ht="15" customHeight="1">
      <c r="A108" t="inlineStr">
        <is>
          <t>A 8609-2022</t>
        </is>
      </c>
      <c r="B108" s="1" t="n">
        <v>44613</v>
      </c>
      <c r="C108" s="1" t="n">
        <v>45348</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12055-2022</t>
        </is>
      </c>
      <c r="B109" s="1" t="n">
        <v>44636</v>
      </c>
      <c r="C109" s="1" t="n">
        <v>45348</v>
      </c>
      <c r="D109" t="inlineStr">
        <is>
          <t>VÄSTRA GÖTALANDS LÄN</t>
        </is>
      </c>
      <c r="E109" t="inlineStr">
        <is>
          <t>ALE</t>
        </is>
      </c>
      <c r="G109" t="n">
        <v>0.2</v>
      </c>
      <c r="H109" t="n">
        <v>0</v>
      </c>
      <c r="I109" t="n">
        <v>0</v>
      </c>
      <c r="J109" t="n">
        <v>0</v>
      </c>
      <c r="K109" t="n">
        <v>0</v>
      </c>
      <c r="L109" t="n">
        <v>0</v>
      </c>
      <c r="M109" t="n">
        <v>0</v>
      </c>
      <c r="N109" t="n">
        <v>0</v>
      </c>
      <c r="O109" t="n">
        <v>0</v>
      </c>
      <c r="P109" t="n">
        <v>0</v>
      </c>
      <c r="Q109" t="n">
        <v>0</v>
      </c>
      <c r="R109" s="2" t="inlineStr"/>
    </row>
    <row r="110" ht="15" customHeight="1">
      <c r="A110" t="inlineStr">
        <is>
          <t>A 12445-2022</t>
        </is>
      </c>
      <c r="B110" s="1" t="n">
        <v>44638</v>
      </c>
      <c r="C110" s="1" t="n">
        <v>45348</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14736-2022</t>
        </is>
      </c>
      <c r="B111" s="1" t="n">
        <v>44656</v>
      </c>
      <c r="C111" s="1" t="n">
        <v>45348</v>
      </c>
      <c r="D111" t="inlineStr">
        <is>
          <t>VÄSTRA GÖTALANDS LÄN</t>
        </is>
      </c>
      <c r="E111" t="inlineStr">
        <is>
          <t>ALE</t>
        </is>
      </c>
      <c r="G111" t="n">
        <v>0.7</v>
      </c>
      <c r="H111" t="n">
        <v>0</v>
      </c>
      <c r="I111" t="n">
        <v>0</v>
      </c>
      <c r="J111" t="n">
        <v>0</v>
      </c>
      <c r="K111" t="n">
        <v>0</v>
      </c>
      <c r="L111" t="n">
        <v>0</v>
      </c>
      <c r="M111" t="n">
        <v>0</v>
      </c>
      <c r="N111" t="n">
        <v>0</v>
      </c>
      <c r="O111" t="n">
        <v>0</v>
      </c>
      <c r="P111" t="n">
        <v>0</v>
      </c>
      <c r="Q111" t="n">
        <v>0</v>
      </c>
      <c r="R111" s="2" t="inlineStr"/>
    </row>
    <row r="112" ht="15" customHeight="1">
      <c r="A112" t="inlineStr">
        <is>
          <t>A 14751-2022</t>
        </is>
      </c>
      <c r="B112" s="1" t="n">
        <v>44656</v>
      </c>
      <c r="C112" s="1" t="n">
        <v>45348</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14731-2022</t>
        </is>
      </c>
      <c r="B113" s="1" t="n">
        <v>44656</v>
      </c>
      <c r="C113" s="1" t="n">
        <v>45348</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15499-2022</t>
        </is>
      </c>
      <c r="B114" s="1" t="n">
        <v>44662</v>
      </c>
      <c r="C114" s="1" t="n">
        <v>45348</v>
      </c>
      <c r="D114" t="inlineStr">
        <is>
          <t>VÄSTRA GÖTALANDS LÄN</t>
        </is>
      </c>
      <c r="E114" t="inlineStr">
        <is>
          <t>ALE</t>
        </is>
      </c>
      <c r="G114" t="n">
        <v>4.7</v>
      </c>
      <c r="H114" t="n">
        <v>0</v>
      </c>
      <c r="I114" t="n">
        <v>0</v>
      </c>
      <c r="J114" t="n">
        <v>0</v>
      </c>
      <c r="K114" t="n">
        <v>0</v>
      </c>
      <c r="L114" t="n">
        <v>0</v>
      </c>
      <c r="M114" t="n">
        <v>0</v>
      </c>
      <c r="N114" t="n">
        <v>0</v>
      </c>
      <c r="O114" t="n">
        <v>0</v>
      </c>
      <c r="P114" t="n">
        <v>0</v>
      </c>
      <c r="Q114" t="n">
        <v>0</v>
      </c>
      <c r="R114" s="2" t="inlineStr"/>
    </row>
    <row r="115" ht="15" customHeight="1">
      <c r="A115" t="inlineStr">
        <is>
          <t>A 15508-2022</t>
        </is>
      </c>
      <c r="B115" s="1" t="n">
        <v>44662</v>
      </c>
      <c r="C115" s="1" t="n">
        <v>45348</v>
      </c>
      <c r="D115" t="inlineStr">
        <is>
          <t>VÄSTRA GÖTALANDS LÄN</t>
        </is>
      </c>
      <c r="E115" t="inlineStr">
        <is>
          <t>ALE</t>
        </is>
      </c>
      <c r="G115" t="n">
        <v>0.4</v>
      </c>
      <c r="H115" t="n">
        <v>0</v>
      </c>
      <c r="I115" t="n">
        <v>0</v>
      </c>
      <c r="J115" t="n">
        <v>0</v>
      </c>
      <c r="K115" t="n">
        <v>0</v>
      </c>
      <c r="L115" t="n">
        <v>0</v>
      </c>
      <c r="M115" t="n">
        <v>0</v>
      </c>
      <c r="N115" t="n">
        <v>0</v>
      </c>
      <c r="O115" t="n">
        <v>0</v>
      </c>
      <c r="P115" t="n">
        <v>0</v>
      </c>
      <c r="Q115" t="n">
        <v>0</v>
      </c>
      <c r="R115" s="2" t="inlineStr"/>
    </row>
    <row r="116" ht="15" customHeight="1">
      <c r="A116" t="inlineStr">
        <is>
          <t>A 20285-2022</t>
        </is>
      </c>
      <c r="B116" s="1" t="n">
        <v>44698</v>
      </c>
      <c r="C116" s="1" t="n">
        <v>45348</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22358-2022</t>
        </is>
      </c>
      <c r="B117" s="1" t="n">
        <v>44712</v>
      </c>
      <c r="C117" s="1" t="n">
        <v>45348</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24644-2022</t>
        </is>
      </c>
      <c r="B118" s="1" t="n">
        <v>44727</v>
      </c>
      <c r="C118" s="1" t="n">
        <v>45348</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v>
      </c>
      <c r="C119" s="1" t="n">
        <v>45348</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24649-2022</t>
        </is>
      </c>
      <c r="B120" s="1" t="n">
        <v>44727</v>
      </c>
      <c r="C120" s="1" t="n">
        <v>45348</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26983-2022</t>
        </is>
      </c>
      <c r="B121" s="1" t="n">
        <v>44740</v>
      </c>
      <c r="C121" s="1" t="n">
        <v>45348</v>
      </c>
      <c r="D121" t="inlineStr">
        <is>
          <t>VÄSTRA GÖTALANDS LÄN</t>
        </is>
      </c>
      <c r="E121" t="inlineStr">
        <is>
          <t>ALE</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26987-2022</t>
        </is>
      </c>
      <c r="B122" s="1" t="n">
        <v>44740</v>
      </c>
      <c r="C122" s="1" t="n">
        <v>45348</v>
      </c>
      <c r="D122" t="inlineStr">
        <is>
          <t>VÄSTRA GÖTALANDS LÄN</t>
        </is>
      </c>
      <c r="E122" t="inlineStr">
        <is>
          <t>ALE</t>
        </is>
      </c>
      <c r="F122" t="inlineStr">
        <is>
          <t>Kommuner</t>
        </is>
      </c>
      <c r="G122" t="n">
        <v>5.8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v>
      </c>
      <c r="C123" s="1" t="n">
        <v>45348</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45348</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41607-2022</t>
        </is>
      </c>
      <c r="B125" s="1" t="n">
        <v>44827</v>
      </c>
      <c r="C125" s="1" t="n">
        <v>45348</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41613-2022</t>
        </is>
      </c>
      <c r="B126" s="1" t="n">
        <v>44827</v>
      </c>
      <c r="C126" s="1" t="n">
        <v>45348</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41598-2022</t>
        </is>
      </c>
      <c r="B127" s="1" t="n">
        <v>44827</v>
      </c>
      <c r="C127" s="1" t="n">
        <v>45348</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48257-2022</t>
        </is>
      </c>
      <c r="B128" s="1" t="n">
        <v>44858</v>
      </c>
      <c r="C128" s="1" t="n">
        <v>45348</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45348</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57476-2022</t>
        </is>
      </c>
      <c r="B130" s="1" t="n">
        <v>44896</v>
      </c>
      <c r="C130" s="1" t="n">
        <v>45348</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57473-2022</t>
        </is>
      </c>
      <c r="B131" s="1" t="n">
        <v>44896</v>
      </c>
      <c r="C131" s="1" t="n">
        <v>45348</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58954-2022</t>
        </is>
      </c>
      <c r="B132" s="1" t="n">
        <v>44903</v>
      </c>
      <c r="C132" s="1" t="n">
        <v>45348</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3413-2023</t>
        </is>
      </c>
      <c r="B133" s="1" t="n">
        <v>44949</v>
      </c>
      <c r="C133" s="1" t="n">
        <v>45348</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3407-2023</t>
        </is>
      </c>
      <c r="B134" s="1" t="n">
        <v>44949</v>
      </c>
      <c r="C134" s="1" t="n">
        <v>45348</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3418-2023</t>
        </is>
      </c>
      <c r="B135" s="1" t="n">
        <v>44949</v>
      </c>
      <c r="C135" s="1" t="n">
        <v>45348</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4665-2023</t>
        </is>
      </c>
      <c r="B136" s="1" t="n">
        <v>44957</v>
      </c>
      <c r="C136" s="1" t="n">
        <v>45348</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5867-2023</t>
        </is>
      </c>
      <c r="B137" s="1" t="n">
        <v>44963</v>
      </c>
      <c r="C137" s="1" t="n">
        <v>45348</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5875-2023</t>
        </is>
      </c>
      <c r="B138" s="1" t="n">
        <v>44963</v>
      </c>
      <c r="C138" s="1" t="n">
        <v>45348</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5916-2023</t>
        </is>
      </c>
      <c r="B139" s="1" t="n">
        <v>44963</v>
      </c>
      <c r="C139" s="1" t="n">
        <v>45348</v>
      </c>
      <c r="D139" t="inlineStr">
        <is>
          <t>VÄSTRA GÖTALANDS LÄN</t>
        </is>
      </c>
      <c r="E139" t="inlineStr">
        <is>
          <t>ALE</t>
        </is>
      </c>
      <c r="G139" t="n">
        <v>4.2</v>
      </c>
      <c r="H139" t="n">
        <v>0</v>
      </c>
      <c r="I139" t="n">
        <v>0</v>
      </c>
      <c r="J139" t="n">
        <v>0</v>
      </c>
      <c r="K139" t="n">
        <v>0</v>
      </c>
      <c r="L139" t="n">
        <v>0</v>
      </c>
      <c r="M139" t="n">
        <v>0</v>
      </c>
      <c r="N139" t="n">
        <v>0</v>
      </c>
      <c r="O139" t="n">
        <v>0</v>
      </c>
      <c r="P139" t="n">
        <v>0</v>
      </c>
      <c r="Q139" t="n">
        <v>0</v>
      </c>
      <c r="R139" s="2" t="inlineStr"/>
    </row>
    <row r="140" ht="15" customHeight="1">
      <c r="A140" t="inlineStr">
        <is>
          <t>A 6916-2023</t>
        </is>
      </c>
      <c r="B140" s="1" t="n">
        <v>44967</v>
      </c>
      <c r="C140" s="1" t="n">
        <v>45348</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7807-2023</t>
        </is>
      </c>
      <c r="B141" s="1" t="n">
        <v>44973</v>
      </c>
      <c r="C141" s="1" t="n">
        <v>45348</v>
      </c>
      <c r="D141" t="inlineStr">
        <is>
          <t>VÄSTRA GÖTALANDS LÄN</t>
        </is>
      </c>
      <c r="E141" t="inlineStr">
        <is>
          <t>ALE</t>
        </is>
      </c>
      <c r="G141" t="n">
        <v>10.5</v>
      </c>
      <c r="H141" t="n">
        <v>0</v>
      </c>
      <c r="I141" t="n">
        <v>0</v>
      </c>
      <c r="J141" t="n">
        <v>0</v>
      </c>
      <c r="K141" t="n">
        <v>0</v>
      </c>
      <c r="L141" t="n">
        <v>0</v>
      </c>
      <c r="M141" t="n">
        <v>0</v>
      </c>
      <c r="N141" t="n">
        <v>0</v>
      </c>
      <c r="O141" t="n">
        <v>0</v>
      </c>
      <c r="P141" t="n">
        <v>0</v>
      </c>
      <c r="Q141" t="n">
        <v>0</v>
      </c>
      <c r="R141" s="2" t="inlineStr"/>
    </row>
    <row r="142" ht="15" customHeight="1">
      <c r="A142" t="inlineStr">
        <is>
          <t>A 9630-2023</t>
        </is>
      </c>
      <c r="B142" s="1" t="n">
        <v>44984</v>
      </c>
      <c r="C142" s="1" t="n">
        <v>45348</v>
      </c>
      <c r="D142" t="inlineStr">
        <is>
          <t>VÄSTRA GÖTALANDS LÄN</t>
        </is>
      </c>
      <c r="E142" t="inlineStr">
        <is>
          <t>ALE</t>
        </is>
      </c>
      <c r="G142" t="n">
        <v>5.4</v>
      </c>
      <c r="H142" t="n">
        <v>0</v>
      </c>
      <c r="I142" t="n">
        <v>0</v>
      </c>
      <c r="J142" t="n">
        <v>0</v>
      </c>
      <c r="K142" t="n">
        <v>0</v>
      </c>
      <c r="L142" t="n">
        <v>0</v>
      </c>
      <c r="M142" t="n">
        <v>0</v>
      </c>
      <c r="N142" t="n">
        <v>0</v>
      </c>
      <c r="O142" t="n">
        <v>0</v>
      </c>
      <c r="P142" t="n">
        <v>0</v>
      </c>
      <c r="Q142" t="n">
        <v>0</v>
      </c>
      <c r="R142" s="2" t="inlineStr"/>
    </row>
    <row r="143" ht="15" customHeight="1">
      <c r="A143" t="inlineStr">
        <is>
          <t>A 9891-2023</t>
        </is>
      </c>
      <c r="B143" s="1" t="n">
        <v>44985</v>
      </c>
      <c r="C143" s="1" t="n">
        <v>45348</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9886-2023</t>
        </is>
      </c>
      <c r="B144" s="1" t="n">
        <v>44985</v>
      </c>
      <c r="C144" s="1" t="n">
        <v>45348</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9896-2023</t>
        </is>
      </c>
      <c r="B145" s="1" t="n">
        <v>44985</v>
      </c>
      <c r="C145" s="1" t="n">
        <v>45348</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16344-2023</t>
        </is>
      </c>
      <c r="B146" s="1" t="n">
        <v>45028</v>
      </c>
      <c r="C146" s="1" t="n">
        <v>45348</v>
      </c>
      <c r="D146" t="inlineStr">
        <is>
          <t>VÄSTRA GÖTALANDS LÄN</t>
        </is>
      </c>
      <c r="E146" t="inlineStr">
        <is>
          <t>ALE</t>
        </is>
      </c>
      <c r="G146" t="n">
        <v>6.6</v>
      </c>
      <c r="H146" t="n">
        <v>0</v>
      </c>
      <c r="I146" t="n">
        <v>0</v>
      </c>
      <c r="J146" t="n">
        <v>0</v>
      </c>
      <c r="K146" t="n">
        <v>0</v>
      </c>
      <c r="L146" t="n">
        <v>0</v>
      </c>
      <c r="M146" t="n">
        <v>0</v>
      </c>
      <c r="N146" t="n">
        <v>0</v>
      </c>
      <c r="O146" t="n">
        <v>0</v>
      </c>
      <c r="P146" t="n">
        <v>0</v>
      </c>
      <c r="Q146" t="n">
        <v>0</v>
      </c>
      <c r="R146" s="2" t="inlineStr"/>
    </row>
    <row r="147" ht="15" customHeight="1">
      <c r="A147" t="inlineStr">
        <is>
          <t>A 16389-2023</t>
        </is>
      </c>
      <c r="B147" s="1" t="n">
        <v>45029</v>
      </c>
      <c r="C147" s="1" t="n">
        <v>45348</v>
      </c>
      <c r="D147" t="inlineStr">
        <is>
          <t>VÄSTRA GÖTALANDS LÄN</t>
        </is>
      </c>
      <c r="E147" t="inlineStr">
        <is>
          <t>ALE</t>
        </is>
      </c>
      <c r="G147" t="n">
        <v>2.8</v>
      </c>
      <c r="H147" t="n">
        <v>0</v>
      </c>
      <c r="I147" t="n">
        <v>0</v>
      </c>
      <c r="J147" t="n">
        <v>0</v>
      </c>
      <c r="K147" t="n">
        <v>0</v>
      </c>
      <c r="L147" t="n">
        <v>0</v>
      </c>
      <c r="M147" t="n">
        <v>0</v>
      </c>
      <c r="N147" t="n">
        <v>0</v>
      </c>
      <c r="O147" t="n">
        <v>0</v>
      </c>
      <c r="P147" t="n">
        <v>0</v>
      </c>
      <c r="Q147" t="n">
        <v>0</v>
      </c>
      <c r="R147" s="2" t="inlineStr"/>
    </row>
    <row r="148" ht="15" customHeight="1">
      <c r="A148" t="inlineStr">
        <is>
          <t>A 16876-2023</t>
        </is>
      </c>
      <c r="B148" s="1" t="n">
        <v>45033</v>
      </c>
      <c r="C148" s="1" t="n">
        <v>45348</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17534-2023</t>
        </is>
      </c>
      <c r="B149" s="1" t="n">
        <v>45036</v>
      </c>
      <c r="C149" s="1" t="n">
        <v>45348</v>
      </c>
      <c r="D149" t="inlineStr">
        <is>
          <t>VÄSTRA GÖTALANDS LÄN</t>
        </is>
      </c>
      <c r="E149" t="inlineStr">
        <is>
          <t>ALE</t>
        </is>
      </c>
      <c r="G149" t="n">
        <v>3.1</v>
      </c>
      <c r="H149" t="n">
        <v>0</v>
      </c>
      <c r="I149" t="n">
        <v>0</v>
      </c>
      <c r="J149" t="n">
        <v>0</v>
      </c>
      <c r="K149" t="n">
        <v>0</v>
      </c>
      <c r="L149" t="n">
        <v>0</v>
      </c>
      <c r="M149" t="n">
        <v>0</v>
      </c>
      <c r="N149" t="n">
        <v>0</v>
      </c>
      <c r="O149" t="n">
        <v>0</v>
      </c>
      <c r="P149" t="n">
        <v>0</v>
      </c>
      <c r="Q149" t="n">
        <v>0</v>
      </c>
      <c r="R149" s="2" t="inlineStr"/>
    </row>
    <row r="150" ht="15" customHeight="1">
      <c r="A150" t="inlineStr">
        <is>
          <t>A 18120-2023</t>
        </is>
      </c>
      <c r="B150" s="1" t="n">
        <v>45040</v>
      </c>
      <c r="C150" s="1" t="n">
        <v>45348</v>
      </c>
      <c r="D150" t="inlineStr">
        <is>
          <t>VÄSTRA GÖTALANDS LÄN</t>
        </is>
      </c>
      <c r="E150" t="inlineStr">
        <is>
          <t>ALE</t>
        </is>
      </c>
      <c r="G150" t="n">
        <v>3</v>
      </c>
      <c r="H150" t="n">
        <v>0</v>
      </c>
      <c r="I150" t="n">
        <v>0</v>
      </c>
      <c r="J150" t="n">
        <v>0</v>
      </c>
      <c r="K150" t="n">
        <v>0</v>
      </c>
      <c r="L150" t="n">
        <v>0</v>
      </c>
      <c r="M150" t="n">
        <v>0</v>
      </c>
      <c r="N150" t="n">
        <v>0</v>
      </c>
      <c r="O150" t="n">
        <v>0</v>
      </c>
      <c r="P150" t="n">
        <v>0</v>
      </c>
      <c r="Q150" t="n">
        <v>0</v>
      </c>
      <c r="R150" s="2" t="inlineStr"/>
    </row>
    <row r="151" ht="15" customHeight="1">
      <c r="A151" t="inlineStr">
        <is>
          <t>A 18637-2023</t>
        </is>
      </c>
      <c r="B151" s="1" t="n">
        <v>45043</v>
      </c>
      <c r="C151" s="1" t="n">
        <v>45348</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20066-2023</t>
        </is>
      </c>
      <c r="B152" s="1" t="n">
        <v>45054</v>
      </c>
      <c r="C152" s="1" t="n">
        <v>45348</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20067-2023</t>
        </is>
      </c>
      <c r="B153" s="1" t="n">
        <v>45054</v>
      </c>
      <c r="C153" s="1" t="n">
        <v>45348</v>
      </c>
      <c r="D153" t="inlineStr">
        <is>
          <t>VÄSTRA GÖTALANDS LÄN</t>
        </is>
      </c>
      <c r="E153" t="inlineStr">
        <is>
          <t>ALE</t>
        </is>
      </c>
      <c r="G153" t="n">
        <v>0.4</v>
      </c>
      <c r="H153" t="n">
        <v>0</v>
      </c>
      <c r="I153" t="n">
        <v>0</v>
      </c>
      <c r="J153" t="n">
        <v>0</v>
      </c>
      <c r="K153" t="n">
        <v>0</v>
      </c>
      <c r="L153" t="n">
        <v>0</v>
      </c>
      <c r="M153" t="n">
        <v>0</v>
      </c>
      <c r="N153" t="n">
        <v>0</v>
      </c>
      <c r="O153" t="n">
        <v>0</v>
      </c>
      <c r="P153" t="n">
        <v>0</v>
      </c>
      <c r="Q153" t="n">
        <v>0</v>
      </c>
      <c r="R153" s="2" t="inlineStr"/>
    </row>
    <row r="154" ht="15" customHeight="1">
      <c r="A154" t="inlineStr">
        <is>
          <t>A 20586-2023</t>
        </is>
      </c>
      <c r="B154" s="1" t="n">
        <v>45057</v>
      </c>
      <c r="C154" s="1" t="n">
        <v>45348</v>
      </c>
      <c r="D154" t="inlineStr">
        <is>
          <t>VÄSTRA GÖTALANDS LÄN</t>
        </is>
      </c>
      <c r="E154" t="inlineStr">
        <is>
          <t>ALE</t>
        </is>
      </c>
      <c r="G154" t="n">
        <v>1.5</v>
      </c>
      <c r="H154" t="n">
        <v>0</v>
      </c>
      <c r="I154" t="n">
        <v>0</v>
      </c>
      <c r="J154" t="n">
        <v>0</v>
      </c>
      <c r="K154" t="n">
        <v>0</v>
      </c>
      <c r="L154" t="n">
        <v>0</v>
      </c>
      <c r="M154" t="n">
        <v>0</v>
      </c>
      <c r="N154" t="n">
        <v>0</v>
      </c>
      <c r="O154" t="n">
        <v>0</v>
      </c>
      <c r="P154" t="n">
        <v>0</v>
      </c>
      <c r="Q154" t="n">
        <v>0</v>
      </c>
      <c r="R154" s="2" t="inlineStr"/>
    </row>
    <row r="155" ht="15" customHeight="1">
      <c r="A155" t="inlineStr">
        <is>
          <t>A 24207-2023</t>
        </is>
      </c>
      <c r="B155" s="1" t="n">
        <v>45079</v>
      </c>
      <c r="C155" s="1" t="n">
        <v>45348</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25471-2023</t>
        </is>
      </c>
      <c r="B156" s="1" t="n">
        <v>45089</v>
      </c>
      <c r="C156" s="1" t="n">
        <v>45348</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26157-2023</t>
        </is>
      </c>
      <c r="B157" s="1" t="n">
        <v>45091</v>
      </c>
      <c r="C157" s="1" t="n">
        <v>45348</v>
      </c>
      <c r="D157" t="inlineStr">
        <is>
          <t>VÄSTRA GÖTALANDS LÄN</t>
        </is>
      </c>
      <c r="E157" t="inlineStr">
        <is>
          <t>ALE</t>
        </is>
      </c>
      <c r="G157" t="n">
        <v>2.6</v>
      </c>
      <c r="H157" t="n">
        <v>0</v>
      </c>
      <c r="I157" t="n">
        <v>0</v>
      </c>
      <c r="J157" t="n">
        <v>0</v>
      </c>
      <c r="K157" t="n">
        <v>0</v>
      </c>
      <c r="L157" t="n">
        <v>0</v>
      </c>
      <c r="M157" t="n">
        <v>0</v>
      </c>
      <c r="N157" t="n">
        <v>0</v>
      </c>
      <c r="O157" t="n">
        <v>0</v>
      </c>
      <c r="P157" t="n">
        <v>0</v>
      </c>
      <c r="Q157" t="n">
        <v>0</v>
      </c>
      <c r="R157" s="2" t="inlineStr"/>
    </row>
    <row r="158" ht="15" customHeight="1">
      <c r="A158" t="inlineStr">
        <is>
          <t>A 26187-2023</t>
        </is>
      </c>
      <c r="B158" s="1" t="n">
        <v>45091</v>
      </c>
      <c r="C158" s="1" t="n">
        <v>45348</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26100-2023</t>
        </is>
      </c>
      <c r="B159" s="1" t="n">
        <v>45091</v>
      </c>
      <c r="C159" s="1" t="n">
        <v>45348</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26083-2023</t>
        </is>
      </c>
      <c r="B160" s="1" t="n">
        <v>45091</v>
      </c>
      <c r="C160" s="1" t="n">
        <v>45348</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30185-2023</t>
        </is>
      </c>
      <c r="B161" s="1" t="n">
        <v>45110</v>
      </c>
      <c r="C161" s="1" t="n">
        <v>45348</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32762-2023</t>
        </is>
      </c>
      <c r="B162" s="1" t="n">
        <v>45123</v>
      </c>
      <c r="C162" s="1" t="n">
        <v>45348</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32833-2023</t>
        </is>
      </c>
      <c r="B163" s="1" t="n">
        <v>45124</v>
      </c>
      <c r="C163" s="1" t="n">
        <v>45348</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35132-2023</t>
        </is>
      </c>
      <c r="B164" s="1" t="n">
        <v>45145</v>
      </c>
      <c r="C164" s="1" t="n">
        <v>45348</v>
      </c>
      <c r="D164" t="inlineStr">
        <is>
          <t>VÄSTRA GÖTALANDS LÄN</t>
        </is>
      </c>
      <c r="E164" t="inlineStr">
        <is>
          <t>ALE</t>
        </is>
      </c>
      <c r="G164" t="n">
        <v>1.4</v>
      </c>
      <c r="H164" t="n">
        <v>0</v>
      </c>
      <c r="I164" t="n">
        <v>0</v>
      </c>
      <c r="J164" t="n">
        <v>0</v>
      </c>
      <c r="K164" t="n">
        <v>0</v>
      </c>
      <c r="L164" t="n">
        <v>0</v>
      </c>
      <c r="M164" t="n">
        <v>0</v>
      </c>
      <c r="N164" t="n">
        <v>0</v>
      </c>
      <c r="O164" t="n">
        <v>0</v>
      </c>
      <c r="P164" t="n">
        <v>0</v>
      </c>
      <c r="Q164" t="n">
        <v>0</v>
      </c>
      <c r="R164" s="2" t="inlineStr"/>
    </row>
    <row r="165" ht="15" customHeight="1">
      <c r="A165" t="inlineStr">
        <is>
          <t>A 37518-2023</t>
        </is>
      </c>
      <c r="B165" s="1" t="n">
        <v>45158</v>
      </c>
      <c r="C165" s="1" t="n">
        <v>45348</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37519-2023</t>
        </is>
      </c>
      <c r="B166" s="1" t="n">
        <v>45158</v>
      </c>
      <c r="C166" s="1" t="n">
        <v>45348</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38614-2023</t>
        </is>
      </c>
      <c r="B167" s="1" t="n">
        <v>45162</v>
      </c>
      <c r="C167" s="1" t="n">
        <v>45348</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42446-2023</t>
        </is>
      </c>
      <c r="B168" s="1" t="n">
        <v>45180</v>
      </c>
      <c r="C168" s="1" t="n">
        <v>45348</v>
      </c>
      <c r="D168" t="inlineStr">
        <is>
          <t>VÄSTRA GÖTALANDS LÄN</t>
        </is>
      </c>
      <c r="E168" t="inlineStr">
        <is>
          <t>ALE</t>
        </is>
      </c>
      <c r="G168" t="n">
        <v>0.8</v>
      </c>
      <c r="H168" t="n">
        <v>0</v>
      </c>
      <c r="I168" t="n">
        <v>0</v>
      </c>
      <c r="J168" t="n">
        <v>0</v>
      </c>
      <c r="K168" t="n">
        <v>0</v>
      </c>
      <c r="L168" t="n">
        <v>0</v>
      </c>
      <c r="M168" t="n">
        <v>0</v>
      </c>
      <c r="N168" t="n">
        <v>0</v>
      </c>
      <c r="O168" t="n">
        <v>0</v>
      </c>
      <c r="P168" t="n">
        <v>0</v>
      </c>
      <c r="Q168" t="n">
        <v>0</v>
      </c>
      <c r="R168" s="2" t="inlineStr"/>
    </row>
    <row r="169" ht="15" customHeight="1">
      <c r="A169" t="inlineStr">
        <is>
          <t>A 44429-2023</t>
        </is>
      </c>
      <c r="B169" s="1" t="n">
        <v>45189</v>
      </c>
      <c r="C169" s="1" t="n">
        <v>45348</v>
      </c>
      <c r="D169" t="inlineStr">
        <is>
          <t>VÄSTRA GÖTALANDS LÄN</t>
        </is>
      </c>
      <c r="E169" t="inlineStr">
        <is>
          <t>ALE</t>
        </is>
      </c>
      <c r="G169" t="n">
        <v>0.1</v>
      </c>
      <c r="H169" t="n">
        <v>0</v>
      </c>
      <c r="I169" t="n">
        <v>0</v>
      </c>
      <c r="J169" t="n">
        <v>0</v>
      </c>
      <c r="K169" t="n">
        <v>0</v>
      </c>
      <c r="L169" t="n">
        <v>0</v>
      </c>
      <c r="M169" t="n">
        <v>0</v>
      </c>
      <c r="N169" t="n">
        <v>0</v>
      </c>
      <c r="O169" t="n">
        <v>0</v>
      </c>
      <c r="P169" t="n">
        <v>0</v>
      </c>
      <c r="Q169" t="n">
        <v>0</v>
      </c>
      <c r="R169" s="2" t="inlineStr"/>
    </row>
    <row r="170" ht="15" customHeight="1">
      <c r="A170" t="inlineStr">
        <is>
          <t>A 47087-2023</t>
        </is>
      </c>
      <c r="B170" s="1" t="n">
        <v>45196</v>
      </c>
      <c r="C170" s="1" t="n">
        <v>45348</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ht="15" customHeight="1">
      <c r="A171" t="inlineStr">
        <is>
          <t>A 48866-2023</t>
        </is>
      </c>
      <c r="B171" s="1" t="n">
        <v>45209</v>
      </c>
      <c r="C171" s="1" t="n">
        <v>45348</v>
      </c>
      <c r="D171" t="inlineStr">
        <is>
          <t>VÄSTRA GÖTALANDS LÄN</t>
        </is>
      </c>
      <c r="E171" t="inlineStr">
        <is>
          <t>ALE</t>
        </is>
      </c>
      <c r="G171" t="n">
        <v>2.5</v>
      </c>
      <c r="H171" t="n">
        <v>0</v>
      </c>
      <c r="I171" t="n">
        <v>0</v>
      </c>
      <c r="J171" t="n">
        <v>0</v>
      </c>
      <c r="K171" t="n">
        <v>0</v>
      </c>
      <c r="L171" t="n">
        <v>0</v>
      </c>
      <c r="M171" t="n">
        <v>0</v>
      </c>
      <c r="N171" t="n">
        <v>0</v>
      </c>
      <c r="O171" t="n">
        <v>0</v>
      </c>
      <c r="P171" t="n">
        <v>0</v>
      </c>
      <c r="Q171" t="n">
        <v>0</v>
      </c>
      <c r="R171" s="2" t="inlineStr"/>
    </row>
    <row r="172" ht="15" customHeight="1">
      <c r="A172" t="inlineStr">
        <is>
          <t>A 51564-2023</t>
        </is>
      </c>
      <c r="B172" s="1" t="n">
        <v>45222</v>
      </c>
      <c r="C172" s="1" t="n">
        <v>45348</v>
      </c>
      <c r="D172" t="inlineStr">
        <is>
          <t>VÄSTRA GÖTALANDS LÄN</t>
        </is>
      </c>
      <c r="E172" t="inlineStr">
        <is>
          <t>ALE</t>
        </is>
      </c>
      <c r="G172" t="n">
        <v>1.5</v>
      </c>
      <c r="H172" t="n">
        <v>0</v>
      </c>
      <c r="I172" t="n">
        <v>0</v>
      </c>
      <c r="J172" t="n">
        <v>0</v>
      </c>
      <c r="K172" t="n">
        <v>0</v>
      </c>
      <c r="L172" t="n">
        <v>0</v>
      </c>
      <c r="M172" t="n">
        <v>0</v>
      </c>
      <c r="N172" t="n">
        <v>0</v>
      </c>
      <c r="O172" t="n">
        <v>0</v>
      </c>
      <c r="P172" t="n">
        <v>0</v>
      </c>
      <c r="Q172" t="n">
        <v>0</v>
      </c>
      <c r="R172" s="2" t="inlineStr"/>
    </row>
    <row r="173" ht="15" customHeight="1">
      <c r="A173" t="inlineStr">
        <is>
          <t>A 53476-2023</t>
        </is>
      </c>
      <c r="B173" s="1" t="n">
        <v>45230</v>
      </c>
      <c r="C173" s="1" t="n">
        <v>45348</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56842-2023</t>
        </is>
      </c>
      <c r="B174" s="1" t="n">
        <v>45244</v>
      </c>
      <c r="C174" s="1" t="n">
        <v>45348</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59933-2023</t>
        </is>
      </c>
      <c r="B175" s="1" t="n">
        <v>45257</v>
      </c>
      <c r="C175" s="1" t="n">
        <v>45348</v>
      </c>
      <c r="D175" t="inlineStr">
        <is>
          <t>VÄSTRA GÖTALANDS LÄN</t>
        </is>
      </c>
      <c r="E175" t="inlineStr">
        <is>
          <t>ALE</t>
        </is>
      </c>
      <c r="G175" t="n">
        <v>2.7</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45348</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63575-2023</t>
        </is>
      </c>
      <c r="B177" s="1" t="n">
        <v>45275</v>
      </c>
      <c r="C177" s="1" t="n">
        <v>45348</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772-2024</t>
        </is>
      </c>
      <c r="B178" s="1" t="n">
        <v>45300</v>
      </c>
      <c r="C178" s="1" t="n">
        <v>45348</v>
      </c>
      <c r="D178" t="inlineStr">
        <is>
          <t>VÄSTRA GÖTALANDS LÄN</t>
        </is>
      </c>
      <c r="E178" t="inlineStr">
        <is>
          <t>ALE</t>
        </is>
      </c>
      <c r="G178" t="n">
        <v>2.2</v>
      </c>
      <c r="H178" t="n">
        <v>0</v>
      </c>
      <c r="I178" t="n">
        <v>0</v>
      </c>
      <c r="J178" t="n">
        <v>0</v>
      </c>
      <c r="K178" t="n">
        <v>0</v>
      </c>
      <c r="L178" t="n">
        <v>0</v>
      </c>
      <c r="M178" t="n">
        <v>0</v>
      </c>
      <c r="N178" t="n">
        <v>0</v>
      </c>
      <c r="O178" t="n">
        <v>0</v>
      </c>
      <c r="P178" t="n">
        <v>0</v>
      </c>
      <c r="Q178" t="n">
        <v>0</v>
      </c>
      <c r="R178" s="2" t="inlineStr"/>
    </row>
    <row r="179" ht="15" customHeight="1">
      <c r="A179" t="inlineStr">
        <is>
          <t>A 1500-2024</t>
        </is>
      </c>
      <c r="B179" s="1" t="n">
        <v>45306</v>
      </c>
      <c r="C179" s="1" t="n">
        <v>45348</v>
      </c>
      <c r="D179" t="inlineStr">
        <is>
          <t>VÄSTRA GÖTALANDS LÄN</t>
        </is>
      </c>
      <c r="E179" t="inlineStr">
        <is>
          <t>ALE</t>
        </is>
      </c>
      <c r="G179" t="n">
        <v>1.3</v>
      </c>
      <c r="H179" t="n">
        <v>0</v>
      </c>
      <c r="I179" t="n">
        <v>0</v>
      </c>
      <c r="J179" t="n">
        <v>0</v>
      </c>
      <c r="K179" t="n">
        <v>0</v>
      </c>
      <c r="L179" t="n">
        <v>0</v>
      </c>
      <c r="M179" t="n">
        <v>0</v>
      </c>
      <c r="N179" t="n">
        <v>0</v>
      </c>
      <c r="O179" t="n">
        <v>0</v>
      </c>
      <c r="P179" t="n">
        <v>0</v>
      </c>
      <c r="Q179" t="n">
        <v>0</v>
      </c>
      <c r="R179" s="2" t="inlineStr"/>
    </row>
    <row r="180" ht="15" customHeight="1">
      <c r="A180" t="inlineStr">
        <is>
          <t>A 1503-2024</t>
        </is>
      </c>
      <c r="B180" s="1" t="n">
        <v>45306</v>
      </c>
      <c r="C180" s="1" t="n">
        <v>45348</v>
      </c>
      <c r="D180" t="inlineStr">
        <is>
          <t>VÄSTRA GÖTALANDS LÄN</t>
        </is>
      </c>
      <c r="E180" t="inlineStr">
        <is>
          <t>ALE</t>
        </is>
      </c>
      <c r="G180" t="n">
        <v>6.6</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45348</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1822-2024</t>
        </is>
      </c>
      <c r="B182" s="1" t="n">
        <v>45307</v>
      </c>
      <c r="C182" s="1" t="n">
        <v>45348</v>
      </c>
      <c r="D182" t="inlineStr">
        <is>
          <t>VÄSTRA GÖTALANDS LÄN</t>
        </is>
      </c>
      <c r="E182" t="inlineStr">
        <is>
          <t>ALE</t>
        </is>
      </c>
      <c r="G182" t="n">
        <v>2</v>
      </c>
      <c r="H182" t="n">
        <v>0</v>
      </c>
      <c r="I182" t="n">
        <v>0</v>
      </c>
      <c r="J182" t="n">
        <v>0</v>
      </c>
      <c r="K182" t="n">
        <v>0</v>
      </c>
      <c r="L182" t="n">
        <v>0</v>
      </c>
      <c r="M182" t="n">
        <v>0</v>
      </c>
      <c r="N182" t="n">
        <v>0</v>
      </c>
      <c r="O182" t="n">
        <v>0</v>
      </c>
      <c r="P182" t="n">
        <v>0</v>
      </c>
      <c r="Q182" t="n">
        <v>0</v>
      </c>
      <c r="R182" s="2" t="inlineStr"/>
    </row>
    <row r="183" ht="15" customHeight="1">
      <c r="A183" t="inlineStr">
        <is>
          <t>A 1823-2024</t>
        </is>
      </c>
      <c r="B183" s="1" t="n">
        <v>45307</v>
      </c>
      <c r="C183" s="1" t="n">
        <v>45348</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45348</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3338-2024</t>
        </is>
      </c>
      <c r="B185" s="1" t="n">
        <v>45317</v>
      </c>
      <c r="C185" s="1" t="n">
        <v>45348</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3973-2024</t>
        </is>
      </c>
      <c r="B186" s="1" t="n">
        <v>45322</v>
      </c>
      <c r="C186" s="1" t="n">
        <v>45348</v>
      </c>
      <c r="D186" t="inlineStr">
        <is>
          <t>VÄSTRA GÖTALANDS LÄN</t>
        </is>
      </c>
      <c r="E186" t="inlineStr">
        <is>
          <t>ALE</t>
        </is>
      </c>
      <c r="G186" t="n">
        <v>1.2</v>
      </c>
      <c r="H186" t="n">
        <v>0</v>
      </c>
      <c r="I186" t="n">
        <v>0</v>
      </c>
      <c r="J186" t="n">
        <v>0</v>
      </c>
      <c r="K186" t="n">
        <v>0</v>
      </c>
      <c r="L186" t="n">
        <v>0</v>
      </c>
      <c r="M186" t="n">
        <v>0</v>
      </c>
      <c r="N186" t="n">
        <v>0</v>
      </c>
      <c r="O186" t="n">
        <v>0</v>
      </c>
      <c r="P186" t="n">
        <v>0</v>
      </c>
      <c r="Q186" t="n">
        <v>0</v>
      </c>
      <c r="R186" s="2" t="inlineStr"/>
    </row>
    <row r="187" ht="15" customHeight="1">
      <c r="A187" t="inlineStr">
        <is>
          <t>A 4363-2024</t>
        </is>
      </c>
      <c r="B187" s="1" t="n">
        <v>45325</v>
      </c>
      <c r="C187" s="1" t="n">
        <v>45348</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4444-2024</t>
        </is>
      </c>
      <c r="B188" s="1" t="n">
        <v>45327</v>
      </c>
      <c r="C188" s="1" t="n">
        <v>45348</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4642-2024</t>
        </is>
      </c>
      <c r="B189" s="1" t="n">
        <v>45328</v>
      </c>
      <c r="C189" s="1" t="n">
        <v>45348</v>
      </c>
      <c r="D189" t="inlineStr">
        <is>
          <t>VÄSTRA GÖTALANDS LÄN</t>
        </is>
      </c>
      <c r="E189" t="inlineStr">
        <is>
          <t>ALE</t>
        </is>
      </c>
      <c r="G189" t="n">
        <v>7.1</v>
      </c>
      <c r="H189" t="n">
        <v>0</v>
      </c>
      <c r="I189" t="n">
        <v>0</v>
      </c>
      <c r="J189" t="n">
        <v>0</v>
      </c>
      <c r="K189" t="n">
        <v>0</v>
      </c>
      <c r="L189" t="n">
        <v>0</v>
      </c>
      <c r="M189" t="n">
        <v>0</v>
      </c>
      <c r="N189" t="n">
        <v>0</v>
      </c>
      <c r="O189" t="n">
        <v>0</v>
      </c>
      <c r="P189" t="n">
        <v>0</v>
      </c>
      <c r="Q189" t="n">
        <v>0</v>
      </c>
      <c r="R189" s="2" t="inlineStr"/>
    </row>
    <row r="190" ht="15" customHeight="1">
      <c r="A190" t="inlineStr">
        <is>
          <t>A 5344-2024</t>
        </is>
      </c>
      <c r="B190" s="1" t="n">
        <v>45331</v>
      </c>
      <c r="C190" s="1" t="n">
        <v>45348</v>
      </c>
      <c r="D190" t="inlineStr">
        <is>
          <t>VÄSTRA GÖTALANDS LÄN</t>
        </is>
      </c>
      <c r="E190" t="inlineStr">
        <is>
          <t>ALE</t>
        </is>
      </c>
      <c r="G190" t="n">
        <v>2.5</v>
      </c>
      <c r="H190" t="n">
        <v>0</v>
      </c>
      <c r="I190" t="n">
        <v>0</v>
      </c>
      <c r="J190" t="n">
        <v>0</v>
      </c>
      <c r="K190" t="n">
        <v>0</v>
      </c>
      <c r="L190" t="n">
        <v>0</v>
      </c>
      <c r="M190" t="n">
        <v>0</v>
      </c>
      <c r="N190" t="n">
        <v>0</v>
      </c>
      <c r="O190" t="n">
        <v>0</v>
      </c>
      <c r="P190" t="n">
        <v>0</v>
      </c>
      <c r="Q190" t="n">
        <v>0</v>
      </c>
      <c r="R190" s="2" t="inlineStr"/>
    </row>
    <row r="191" ht="15" customHeight="1">
      <c r="A191" t="inlineStr">
        <is>
          <t>A 6236-2024</t>
        </is>
      </c>
      <c r="B191" s="1" t="n">
        <v>45337</v>
      </c>
      <c r="C191" s="1" t="n">
        <v>45348</v>
      </c>
      <c r="D191" t="inlineStr">
        <is>
          <t>VÄSTRA GÖTALANDS LÄN</t>
        </is>
      </c>
      <c r="E191" t="inlineStr">
        <is>
          <t>ALE</t>
        </is>
      </c>
      <c r="G191" t="n">
        <v>8.800000000000001</v>
      </c>
      <c r="H191" t="n">
        <v>0</v>
      </c>
      <c r="I191" t="n">
        <v>0</v>
      </c>
      <c r="J191" t="n">
        <v>0</v>
      </c>
      <c r="K191" t="n">
        <v>0</v>
      </c>
      <c r="L191" t="n">
        <v>0</v>
      </c>
      <c r="M191" t="n">
        <v>0</v>
      </c>
      <c r="N191" t="n">
        <v>0</v>
      </c>
      <c r="O191" t="n">
        <v>0</v>
      </c>
      <c r="P191" t="n">
        <v>0</v>
      </c>
      <c r="Q191" t="n">
        <v>0</v>
      </c>
      <c r="R191" s="2" t="inlineStr"/>
    </row>
    <row r="192">
      <c r="A192" t="inlineStr">
        <is>
          <t>A 6947-2024</t>
        </is>
      </c>
      <c r="B192" s="1" t="n">
        <v>45343</v>
      </c>
      <c r="C192" s="1" t="n">
        <v>45348</v>
      </c>
      <c r="D192" t="inlineStr">
        <is>
          <t>VÄSTRA GÖTALANDS LÄN</t>
        </is>
      </c>
      <c r="E192" t="inlineStr">
        <is>
          <t>ALE</t>
        </is>
      </c>
      <c r="G192" t="n">
        <v>3.7</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2024-02-26T13:01:56Z</dcterms:created>
  <dcterms:modified xmlns:dcterms="http://purl.org/dc/terms/" xmlns:xsi="http://www.w3.org/2001/XMLSchema-instance" xsi:type="dcterms:W3CDTF">2024-02-26T13:01:56Z</dcterms:modified>
</cp:coreProperties>
</file>