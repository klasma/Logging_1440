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45572</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45572</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45572</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45572</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45572</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45572</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45572</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45572</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39575-2024</t>
        </is>
      </c>
      <c r="B12" s="1" t="n">
        <v>45552</v>
      </c>
      <c r="C12" s="1" t="n">
        <v>45572</v>
      </c>
      <c r="D12" t="inlineStr">
        <is>
          <t>VÄSTRA GÖTALANDS LÄN</t>
        </is>
      </c>
      <c r="E12" t="inlineStr">
        <is>
          <t>ALE</t>
        </is>
      </c>
      <c r="G12" t="n">
        <v>10.3</v>
      </c>
      <c r="H12" t="n">
        <v>2</v>
      </c>
      <c r="I12" t="n">
        <v>4</v>
      </c>
      <c r="J12" t="n">
        <v>1</v>
      </c>
      <c r="K12" t="n">
        <v>1</v>
      </c>
      <c r="L12" t="n">
        <v>1</v>
      </c>
      <c r="M12" t="n">
        <v>0</v>
      </c>
      <c r="N12" t="n">
        <v>0</v>
      </c>
      <c r="O12" t="n">
        <v>3</v>
      </c>
      <c r="P12" t="n">
        <v>2</v>
      </c>
      <c r="Q12" t="n">
        <v>8</v>
      </c>
      <c r="R12" s="2" t="inlineStr">
        <is>
          <t>Ask
Brödtaggsvamp
Spillkråka
Blåmossa
Dropptaggsvamp
Stor revmossa
Tibast
Kungsfågel</t>
        </is>
      </c>
      <c r="S12">
        <f>HYPERLINK("https://klasma.github.io/Logging_1440/artfynd/A 39575-2024 artfynd.xlsx", "A 39575-2024")</f>
        <v/>
      </c>
      <c r="T12">
        <f>HYPERLINK("https://klasma.github.io/Logging_1440/kartor/A 39575-2024 karta.png", "A 39575-2024")</f>
        <v/>
      </c>
      <c r="V12">
        <f>HYPERLINK("https://klasma.github.io/Logging_1440/klagomål/A 39575-2024 FSC-klagomål.docx", "A 39575-2024")</f>
        <v/>
      </c>
      <c r="W12">
        <f>HYPERLINK("https://klasma.github.io/Logging_1440/klagomålsmail/A 39575-2024 FSC-klagomål mail.docx", "A 39575-2024")</f>
        <v/>
      </c>
      <c r="X12">
        <f>HYPERLINK("https://klasma.github.io/Logging_1440/tillsyn/A 39575-2024 tillsynsbegäran.docx", "A 39575-2024")</f>
        <v/>
      </c>
      <c r="Y12">
        <f>HYPERLINK("https://klasma.github.io/Logging_1440/tillsynsmail/A 39575-2024 tillsynsbegäran mail.docx", "A 39575-2024")</f>
        <v/>
      </c>
      <c r="Z12">
        <f>HYPERLINK("https://klasma.github.io/Logging_1440/fåglar/A 39575-2024 prioriterade fågelarter.docx", "A 39575-2024")</f>
        <v/>
      </c>
    </row>
    <row r="13" ht="15" customHeight="1">
      <c r="A13" t="inlineStr">
        <is>
          <t>A 17566-2024</t>
        </is>
      </c>
      <c r="B13" s="1" t="n">
        <v>45415</v>
      </c>
      <c r="C13" s="1" t="n">
        <v>45572</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45572</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45572</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563-2024</t>
        </is>
      </c>
      <c r="B16" s="1" t="n">
        <v>45299</v>
      </c>
      <c r="C16" s="1" t="n">
        <v>45572</v>
      </c>
      <c r="D16" t="inlineStr">
        <is>
          <t>VÄSTRA GÖTALANDS LÄN</t>
        </is>
      </c>
      <c r="E16" t="inlineStr">
        <is>
          <t>ALE</t>
        </is>
      </c>
      <c r="F16" t="inlineStr">
        <is>
          <t>Kyrkan</t>
        </is>
      </c>
      <c r="G16" t="n">
        <v>26</v>
      </c>
      <c r="H16" t="n">
        <v>3</v>
      </c>
      <c r="I16" t="n">
        <v>1</v>
      </c>
      <c r="J16" t="n">
        <v>3</v>
      </c>
      <c r="K16" t="n">
        <v>0</v>
      </c>
      <c r="L16" t="n">
        <v>0</v>
      </c>
      <c r="M16" t="n">
        <v>0</v>
      </c>
      <c r="N16" t="n">
        <v>0</v>
      </c>
      <c r="O16" t="n">
        <v>3</v>
      </c>
      <c r="P16" t="n">
        <v>0</v>
      </c>
      <c r="Q16" t="n">
        <v>5</v>
      </c>
      <c r="R16" s="2" t="inlineStr">
        <is>
          <t>Kortskaftad ärgspik
Spillkråka
Talltita
Björksplintborre
Tjäder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7903-2024</t>
        </is>
      </c>
      <c r="B17" s="1" t="n">
        <v>45350</v>
      </c>
      <c r="C17" s="1" t="n">
        <v>45572</v>
      </c>
      <c r="D17" t="inlineStr">
        <is>
          <t>VÄSTRA GÖTALANDS LÄN</t>
        </is>
      </c>
      <c r="E17" t="inlineStr">
        <is>
          <t>ALE</t>
        </is>
      </c>
      <c r="G17" t="n">
        <v>5.2</v>
      </c>
      <c r="H17" t="n">
        <v>4</v>
      </c>
      <c r="I17" t="n">
        <v>1</v>
      </c>
      <c r="J17" t="n">
        <v>3</v>
      </c>
      <c r="K17" t="n">
        <v>0</v>
      </c>
      <c r="L17" t="n">
        <v>0</v>
      </c>
      <c r="M17" t="n">
        <v>0</v>
      </c>
      <c r="N17" t="n">
        <v>0</v>
      </c>
      <c r="O17" t="n">
        <v>3</v>
      </c>
      <c r="P17" t="n">
        <v>0</v>
      </c>
      <c r="Q17" t="n">
        <v>5</v>
      </c>
      <c r="R17" s="2" t="inlineStr">
        <is>
          <t>Entita
Spillkråka
Talltita
Björksplintborre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39592-2024</t>
        </is>
      </c>
      <c r="B18" s="1" t="n">
        <v>45552</v>
      </c>
      <c r="C18" s="1" t="n">
        <v>45572</v>
      </c>
      <c r="D18" t="inlineStr">
        <is>
          <t>VÄSTRA GÖTALANDS LÄN</t>
        </is>
      </c>
      <c r="E18" t="inlineStr">
        <is>
          <t>ALE</t>
        </is>
      </c>
      <c r="G18" t="n">
        <v>1.2</v>
      </c>
      <c r="H18" t="n">
        <v>2</v>
      </c>
      <c r="I18" t="n">
        <v>2</v>
      </c>
      <c r="J18" t="n">
        <v>1</v>
      </c>
      <c r="K18" t="n">
        <v>1</v>
      </c>
      <c r="L18" t="n">
        <v>0</v>
      </c>
      <c r="M18" t="n">
        <v>0</v>
      </c>
      <c r="N18" t="n">
        <v>0</v>
      </c>
      <c r="O18" t="n">
        <v>2</v>
      </c>
      <c r="P18" t="n">
        <v>1</v>
      </c>
      <c r="Q18" t="n">
        <v>5</v>
      </c>
      <c r="R18" s="2" t="inlineStr">
        <is>
          <t>Flikbålmossa
Spillkråka
Bronshjon
Stor revmossa
Kungsfågel</t>
        </is>
      </c>
      <c r="S18">
        <f>HYPERLINK("https://klasma.github.io/Logging_1440/artfynd/A 39592-2024 artfynd.xlsx", "A 39592-2024")</f>
        <v/>
      </c>
      <c r="T18">
        <f>HYPERLINK("https://klasma.github.io/Logging_1440/kartor/A 39592-2024 karta.png", "A 39592-2024")</f>
        <v/>
      </c>
      <c r="V18">
        <f>HYPERLINK("https://klasma.github.io/Logging_1440/klagomål/A 39592-2024 FSC-klagomål.docx", "A 39592-2024")</f>
        <v/>
      </c>
      <c r="W18">
        <f>HYPERLINK("https://klasma.github.io/Logging_1440/klagomålsmail/A 39592-2024 FSC-klagomål mail.docx", "A 39592-2024")</f>
        <v/>
      </c>
      <c r="X18">
        <f>HYPERLINK("https://klasma.github.io/Logging_1440/tillsyn/A 39592-2024 tillsynsbegäran.docx", "A 39592-2024")</f>
        <v/>
      </c>
      <c r="Y18">
        <f>HYPERLINK("https://klasma.github.io/Logging_1440/tillsynsmail/A 39592-2024 tillsynsbegäran mail.docx", "A 39592-2024")</f>
        <v/>
      </c>
      <c r="Z18">
        <f>HYPERLINK("https://klasma.github.io/Logging_1440/fåglar/A 39592-2024 prioriterade fågelarter.docx", "A 39592-2024")</f>
        <v/>
      </c>
    </row>
    <row r="19" ht="15" customHeight="1">
      <c r="A19" t="inlineStr">
        <is>
          <t>A 7906-2024</t>
        </is>
      </c>
      <c r="B19" s="1" t="n">
        <v>45350</v>
      </c>
      <c r="C19" s="1" t="n">
        <v>45572</v>
      </c>
      <c r="D19" t="inlineStr">
        <is>
          <t>VÄSTRA GÖTALANDS LÄN</t>
        </is>
      </c>
      <c r="E19" t="inlineStr">
        <is>
          <t>ALE</t>
        </is>
      </c>
      <c r="G19" t="n">
        <v>1</v>
      </c>
      <c r="H19" t="n">
        <v>3</v>
      </c>
      <c r="I19" t="n">
        <v>1</v>
      </c>
      <c r="J19" t="n">
        <v>1</v>
      </c>
      <c r="K19" t="n">
        <v>1</v>
      </c>
      <c r="L19" t="n">
        <v>0</v>
      </c>
      <c r="M19" t="n">
        <v>0</v>
      </c>
      <c r="N19" t="n">
        <v>0</v>
      </c>
      <c r="O19" t="n">
        <v>2</v>
      </c>
      <c r="P19" t="n">
        <v>1</v>
      </c>
      <c r="Q19" t="n">
        <v>4</v>
      </c>
      <c r="R19" s="2" t="inlineStr">
        <is>
          <t>Knärot
Spillkråka
Blanksvart trämyra
Kungsfågel</t>
        </is>
      </c>
      <c r="S19">
        <f>HYPERLINK("https://klasma.github.io/Logging_1440/artfynd/A 7906-2024 artfynd.xlsx", "A 7906-2024")</f>
        <v/>
      </c>
      <c r="T19">
        <f>HYPERLINK("https://klasma.github.io/Logging_1440/kartor/A 7906-2024 karta.png", "A 7906-2024")</f>
        <v/>
      </c>
      <c r="U19">
        <f>HYPERLINK("https://klasma.github.io/Logging_1440/knärot/A 7906-2024 karta knärot.png", "A 7906-2024")</f>
        <v/>
      </c>
      <c r="V19">
        <f>HYPERLINK("https://klasma.github.io/Logging_1440/klagomål/A 7906-2024 FSC-klagomål.docx", "A 7906-2024")</f>
        <v/>
      </c>
      <c r="W19">
        <f>HYPERLINK("https://klasma.github.io/Logging_1440/klagomålsmail/A 7906-2024 FSC-klagomål mail.docx", "A 7906-2024")</f>
        <v/>
      </c>
      <c r="X19">
        <f>HYPERLINK("https://klasma.github.io/Logging_1440/tillsyn/A 7906-2024 tillsynsbegäran.docx", "A 7906-2024")</f>
        <v/>
      </c>
      <c r="Y19">
        <f>HYPERLINK("https://klasma.github.io/Logging_1440/tillsynsmail/A 7906-2024 tillsynsbegäran mail.docx", "A 7906-2024")</f>
        <v/>
      </c>
      <c r="Z19">
        <f>HYPERLINK("https://klasma.github.io/Logging_1440/fåglar/A 7906-2024 prioriterade fågelarter.docx", "A 7906-2024")</f>
        <v/>
      </c>
    </row>
    <row r="20" ht="15" customHeight="1">
      <c r="A20" t="inlineStr">
        <is>
          <t>A 26491-2024</t>
        </is>
      </c>
      <c r="B20" s="1" t="n">
        <v>45469</v>
      </c>
      <c r="C20" s="1" t="n">
        <v>45572</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39593-2024</t>
        </is>
      </c>
      <c r="B21" s="1" t="n">
        <v>45552</v>
      </c>
      <c r="C21" s="1" t="n">
        <v>45572</v>
      </c>
      <c r="D21" t="inlineStr">
        <is>
          <t>VÄSTRA GÖTALANDS LÄN</t>
        </is>
      </c>
      <c r="E21" t="inlineStr">
        <is>
          <t>ALE</t>
        </is>
      </c>
      <c r="G21" t="n">
        <v>0.7</v>
      </c>
      <c r="H21" t="n">
        <v>1</v>
      </c>
      <c r="I21" t="n">
        <v>3</v>
      </c>
      <c r="J21" t="n">
        <v>1</v>
      </c>
      <c r="K21" t="n">
        <v>0</v>
      </c>
      <c r="L21" t="n">
        <v>0</v>
      </c>
      <c r="M21" t="n">
        <v>0</v>
      </c>
      <c r="N21" t="n">
        <v>0</v>
      </c>
      <c r="O21" t="n">
        <v>1</v>
      </c>
      <c r="P21" t="n">
        <v>0</v>
      </c>
      <c r="Q21" t="n">
        <v>4</v>
      </c>
      <c r="R21" s="2" t="inlineStr">
        <is>
          <t>Spillkråka
Bronshjon
Stor revmossa
Vågbandad barkbock</t>
        </is>
      </c>
      <c r="S21">
        <f>HYPERLINK("https://klasma.github.io/Logging_1440/artfynd/A 39593-2024 artfynd.xlsx", "A 39593-2024")</f>
        <v/>
      </c>
      <c r="T21">
        <f>HYPERLINK("https://klasma.github.io/Logging_1440/kartor/A 39593-2024 karta.png", "A 39593-2024")</f>
        <v/>
      </c>
      <c r="V21">
        <f>HYPERLINK("https://klasma.github.io/Logging_1440/klagomål/A 39593-2024 FSC-klagomål.docx", "A 39593-2024")</f>
        <v/>
      </c>
      <c r="W21">
        <f>HYPERLINK("https://klasma.github.io/Logging_1440/klagomålsmail/A 39593-2024 FSC-klagomål mail.docx", "A 39593-2024")</f>
        <v/>
      </c>
      <c r="X21">
        <f>HYPERLINK("https://klasma.github.io/Logging_1440/tillsyn/A 39593-2024 tillsynsbegäran.docx", "A 39593-2024")</f>
        <v/>
      </c>
      <c r="Y21">
        <f>HYPERLINK("https://klasma.github.io/Logging_1440/tillsynsmail/A 39593-2024 tillsynsbegäran mail.docx", "A 39593-2024")</f>
        <v/>
      </c>
      <c r="Z21">
        <f>HYPERLINK("https://klasma.github.io/Logging_1440/fåglar/A 39593-2024 prioriterade fågelarter.docx", "A 39593-2024")</f>
        <v/>
      </c>
    </row>
    <row r="22" ht="15" customHeight="1">
      <c r="A22" t="inlineStr">
        <is>
          <t>A 1456-2020</t>
        </is>
      </c>
      <c r="B22" s="1" t="n">
        <v>43843</v>
      </c>
      <c r="C22" s="1" t="n">
        <v>45572</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45572</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45572</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45572</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45572</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45572</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45572</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45572</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45572</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45572</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45572</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45572</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45572</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45572</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45572</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45572</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45572</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45572</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45572</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45572</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45572</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45572</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45572</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45572</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45572</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45572</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45572</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45572</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45572</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45572</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45572</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45572</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45572</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45572</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45572</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45572</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45572</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45572</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45572</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45572</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45572</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45572</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45572</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45572</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45572</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45572</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45572</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45572</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45572</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45572</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45572</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45572</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45572</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45572</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45572</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45572</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45572</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45572</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45572</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45572</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45572</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45572</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45572</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45572</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45572</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45572</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45572</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45572</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45572</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45572</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45572</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45572</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45572</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45572</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45572</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45572</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45572</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45572</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45572</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45572</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45572</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45572</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45572</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45572</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45572</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45572</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45572</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45572</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45572</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45572</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45572</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45572</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45572</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45572</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45572</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45572</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45572</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45572</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45572</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45572</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45572</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45572</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45572</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45572</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45572</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45572</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45572</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45572</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45572</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45572</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45572</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45572</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45572</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45572</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45572</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45572</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45572</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45572</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45572</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45572</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45572</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45572</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45572</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45572</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45572</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45572</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45572</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45572</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45572</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45572</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45572</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45572</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45572</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45572</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45572</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45572</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45572</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45572</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45572</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45572</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45572</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45572</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45572</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45572</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45572</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45572</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45572</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45572</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45572</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2024-10-07T12:51:54Z</dcterms:created>
  <dcterms:modified xmlns:dcterms="http://purl.org/dc/terms/" xmlns:xsi="http://www.w3.org/2001/XMLSchema-instance" xsi:type="dcterms:W3CDTF">2024-10-07T12:51:54Z</dcterms:modified>
</cp:coreProperties>
</file>