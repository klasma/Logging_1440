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45472</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45472</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45472</v>
      </c>
      <c r="D4" t="inlineStr">
        <is>
          <t>VÄSTRA GÖTALANDS LÄN</t>
        </is>
      </c>
      <c r="E4" t="inlineStr">
        <is>
          <t>ALE</t>
        </is>
      </c>
      <c r="G4" t="n">
        <v>8.699999999999999</v>
      </c>
      <c r="H4" t="n">
        <v>3</v>
      </c>
      <c r="I4" t="n">
        <v>10</v>
      </c>
      <c r="J4" t="n">
        <v>6</v>
      </c>
      <c r="K4" t="n">
        <v>1</v>
      </c>
      <c r="L4" t="n">
        <v>0</v>
      </c>
      <c r="M4" t="n">
        <v>0</v>
      </c>
      <c r="N4" t="n">
        <v>0</v>
      </c>
      <c r="O4" t="n">
        <v>7</v>
      </c>
      <c r="P4" t="n">
        <v>1</v>
      </c>
      <c r="Q4" t="n">
        <v>19</v>
      </c>
      <c r="R4"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13111-2022</t>
        </is>
      </c>
      <c r="B5" s="1" t="n">
        <v>44644</v>
      </c>
      <c r="C5" s="1" t="n">
        <v>45472</v>
      </c>
      <c r="D5" t="inlineStr">
        <is>
          <t>VÄSTRA GÖTALANDS LÄN</t>
        </is>
      </c>
      <c r="E5" t="inlineStr">
        <is>
          <t>ALE</t>
        </is>
      </c>
      <c r="G5" t="n">
        <v>10.3</v>
      </c>
      <c r="H5" t="n">
        <v>4</v>
      </c>
      <c r="I5" t="n">
        <v>11</v>
      </c>
      <c r="J5" t="n">
        <v>4</v>
      </c>
      <c r="K5" t="n">
        <v>1</v>
      </c>
      <c r="L5" t="n">
        <v>0</v>
      </c>
      <c r="M5" t="n">
        <v>0</v>
      </c>
      <c r="N5" t="n">
        <v>0</v>
      </c>
      <c r="O5" t="n">
        <v>5</v>
      </c>
      <c r="P5" t="n">
        <v>1</v>
      </c>
      <c r="Q5" t="n">
        <v>16</v>
      </c>
      <c r="R5" s="2" t="inlineStr">
        <is>
          <t>Flikbålmossa
Entita
Mindre hackspett
Spillkråka
Talltita
Blåmossa
Bronshjon
Fällmossa
Guldlockmossa
Klippfrullania
Rödgul trumpetsvamp
Smal svampklubba
Stor revmossa
Svavelriska
Västlig hakmossa
Vågbandad barkbock</t>
        </is>
      </c>
      <c r="S5">
        <f>HYPERLINK("https://klasma.github.io/Logging_1440/artfynd/A 13111-2022 artfynd.xlsx", "A 13111-2022")</f>
        <v/>
      </c>
      <c r="T5">
        <f>HYPERLINK("https://klasma.github.io/Logging_1440/kartor/A 13111-2022 karta.png",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9045-2024</t>
        </is>
      </c>
      <c r="B6" s="1" t="n">
        <v>45357</v>
      </c>
      <c r="C6" s="1" t="n">
        <v>45472</v>
      </c>
      <c r="D6" t="inlineStr">
        <is>
          <t>VÄSTRA GÖTALANDS LÄN</t>
        </is>
      </c>
      <c r="E6" t="inlineStr">
        <is>
          <t>ALE</t>
        </is>
      </c>
      <c r="G6" t="n">
        <v>9.1</v>
      </c>
      <c r="H6" t="n">
        <v>5</v>
      </c>
      <c r="I6" t="n">
        <v>5</v>
      </c>
      <c r="J6" t="n">
        <v>1</v>
      </c>
      <c r="K6" t="n">
        <v>0</v>
      </c>
      <c r="L6" t="n">
        <v>0</v>
      </c>
      <c r="M6" t="n">
        <v>0</v>
      </c>
      <c r="N6" t="n">
        <v>0</v>
      </c>
      <c r="O6" t="n">
        <v>1</v>
      </c>
      <c r="P6" t="n">
        <v>0</v>
      </c>
      <c r="Q6" t="n">
        <v>10</v>
      </c>
      <c r="R6" s="2" t="inlineStr">
        <is>
          <t>Spillkråka
Björksplintborre
Blåmossa
Klippfrullania
Stor revmossa
Vågbandad barkbock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45472</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45472</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45472</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17566-2024</t>
        </is>
      </c>
      <c r="B10" s="1" t="n">
        <v>45415</v>
      </c>
      <c r="C10" s="1" t="n">
        <v>45472</v>
      </c>
      <c r="D10" t="inlineStr">
        <is>
          <t>VÄSTRA GÖTALANDS LÄN</t>
        </is>
      </c>
      <c r="E10" t="inlineStr">
        <is>
          <t>ALE</t>
        </is>
      </c>
      <c r="G10" t="n">
        <v>6.9</v>
      </c>
      <c r="H10" t="n">
        <v>5</v>
      </c>
      <c r="I10" t="n">
        <v>2</v>
      </c>
      <c r="J10" t="n">
        <v>2</v>
      </c>
      <c r="K10" t="n">
        <v>1</v>
      </c>
      <c r="L10" t="n">
        <v>0</v>
      </c>
      <c r="M10" t="n">
        <v>0</v>
      </c>
      <c r="N10" t="n">
        <v>0</v>
      </c>
      <c r="O10" t="n">
        <v>3</v>
      </c>
      <c r="P10" t="n">
        <v>1</v>
      </c>
      <c r="Q10" t="n">
        <v>7</v>
      </c>
      <c r="R10" s="2" t="inlineStr">
        <is>
          <t>Knärot
Spillkråka
Tretåig hackspett
Blåmossa
Västlig hakmossa
Kungsfågel
Revlummer</t>
        </is>
      </c>
      <c r="S10">
        <f>HYPERLINK("https://klasma.github.io/Logging_1440/artfynd/A 17566-2024 artfynd.xlsx", "A 17566-2024")</f>
        <v/>
      </c>
      <c r="T10">
        <f>HYPERLINK("https://klasma.github.io/Logging_1440/kartor/A 17566-2024 karta.png", "A 17566-2024")</f>
        <v/>
      </c>
      <c r="U10">
        <f>HYPERLINK("https://klasma.github.io/Logging_1440/knärot/A 17566-2024 karta knärot.png", "A 17566-2024")</f>
        <v/>
      </c>
      <c r="V10">
        <f>HYPERLINK("https://klasma.github.io/Logging_1440/klagomål/A 17566-2024 FSC-klagomål.docx", "A 17566-2024")</f>
        <v/>
      </c>
      <c r="W10">
        <f>HYPERLINK("https://klasma.github.io/Logging_1440/klagomålsmail/A 17566-2024 FSC-klagomål mail.docx", "A 17566-2024")</f>
        <v/>
      </c>
      <c r="X10">
        <f>HYPERLINK("https://klasma.github.io/Logging_1440/tillsyn/A 17566-2024 tillsynsbegäran.docx", "A 17566-2024")</f>
        <v/>
      </c>
      <c r="Y10">
        <f>HYPERLINK("https://klasma.github.io/Logging_1440/tillsynsmail/A 17566-2024 tillsynsbegäran mail.docx", "A 17566-2024")</f>
        <v/>
      </c>
      <c r="Z10">
        <f>HYPERLINK("https://klasma.github.io/Logging_1440/fåglar/A 17566-2024 prioriterade fågelarter.docx", "A 17566-2024")</f>
        <v/>
      </c>
    </row>
    <row r="11" ht="15" customHeight="1">
      <c r="A11" t="inlineStr">
        <is>
          <t>A 25436-2019</t>
        </is>
      </c>
      <c r="B11" s="1" t="n">
        <v>43606</v>
      </c>
      <c r="C11" s="1" t="n">
        <v>45472</v>
      </c>
      <c r="D11" t="inlineStr">
        <is>
          <t>VÄSTRA GÖTALANDS LÄN</t>
        </is>
      </c>
      <c r="E11" t="inlineStr">
        <is>
          <t>ALE</t>
        </is>
      </c>
      <c r="G11" t="n">
        <v>1.1</v>
      </c>
      <c r="H11" t="n">
        <v>2</v>
      </c>
      <c r="I11" t="n">
        <v>4</v>
      </c>
      <c r="J11" t="n">
        <v>2</v>
      </c>
      <c r="K11" t="n">
        <v>0</v>
      </c>
      <c r="L11" t="n">
        <v>0</v>
      </c>
      <c r="M11" t="n">
        <v>0</v>
      </c>
      <c r="N11" t="n">
        <v>0</v>
      </c>
      <c r="O11" t="n">
        <v>2</v>
      </c>
      <c r="P11" t="n">
        <v>0</v>
      </c>
      <c r="Q11" t="n">
        <v>6</v>
      </c>
      <c r="R11" s="2" t="inlineStr">
        <is>
          <t>Spillkråka
Talltita
Blåmossa
Havstulpanlav
Kattfotslav
Klippfrullania</t>
        </is>
      </c>
      <c r="S11">
        <f>HYPERLINK("https://klasma.github.io/Logging_1440/artfynd/A 25436-2019 artfynd.xlsx", "A 25436-2019")</f>
        <v/>
      </c>
      <c r="T11">
        <f>HYPERLINK("https://klasma.github.io/Logging_1440/kartor/A 25436-2019 karta.png", "A 25436-2019")</f>
        <v/>
      </c>
      <c r="V11">
        <f>HYPERLINK("https://klasma.github.io/Logging_1440/klagomål/A 25436-2019 FSC-klagomål.docx", "A 25436-2019")</f>
        <v/>
      </c>
      <c r="W11">
        <f>HYPERLINK("https://klasma.github.io/Logging_1440/klagomålsmail/A 25436-2019 FSC-klagomål mail.docx", "A 25436-2019")</f>
        <v/>
      </c>
      <c r="X11">
        <f>HYPERLINK("https://klasma.github.io/Logging_1440/tillsyn/A 25436-2019 tillsynsbegäran.docx", "A 25436-2019")</f>
        <v/>
      </c>
      <c r="Y11">
        <f>HYPERLINK("https://klasma.github.io/Logging_1440/tillsynsmail/A 25436-2019 tillsynsbegäran mail.docx", "A 25436-2019")</f>
        <v/>
      </c>
      <c r="Z11">
        <f>HYPERLINK("https://klasma.github.io/Logging_1440/fåglar/A 25436-2019 prioriterade fågelarter.docx", "A 25436-2019")</f>
        <v/>
      </c>
    </row>
    <row r="12" ht="15" customHeight="1">
      <c r="A12" t="inlineStr">
        <is>
          <t>A 40983-2023</t>
        </is>
      </c>
      <c r="B12" s="1" t="n">
        <v>45173</v>
      </c>
      <c r="C12" s="1" t="n">
        <v>45472</v>
      </c>
      <c r="D12" t="inlineStr">
        <is>
          <t>VÄSTRA GÖTALANDS LÄN</t>
        </is>
      </c>
      <c r="E12" t="inlineStr">
        <is>
          <t>ALE</t>
        </is>
      </c>
      <c r="F12" t="inlineStr">
        <is>
          <t>Kyrkan</t>
        </is>
      </c>
      <c r="G12" t="n">
        <v>12.6</v>
      </c>
      <c r="H12" t="n">
        <v>2</v>
      </c>
      <c r="I12" t="n">
        <v>3</v>
      </c>
      <c r="J12" t="n">
        <v>3</v>
      </c>
      <c r="K12" t="n">
        <v>0</v>
      </c>
      <c r="L12" t="n">
        <v>0</v>
      </c>
      <c r="M12" t="n">
        <v>0</v>
      </c>
      <c r="N12" t="n">
        <v>0</v>
      </c>
      <c r="O12" t="n">
        <v>3</v>
      </c>
      <c r="P12" t="n">
        <v>0</v>
      </c>
      <c r="Q12" t="n">
        <v>6</v>
      </c>
      <c r="R12" s="2" t="inlineStr">
        <is>
          <t>Kortskaftad ärgspik
Spillkråka
Talltita
Klippfrullania
Rostfläck
Rävticka</t>
        </is>
      </c>
      <c r="S12">
        <f>HYPERLINK("https://klasma.github.io/Logging_1440/artfynd/A 40983-2023 artfynd.xlsx", "A 40983-2023")</f>
        <v/>
      </c>
      <c r="T12">
        <f>HYPERLINK("https://klasma.github.io/Logging_1440/kartor/A 40983-2023 karta.png", "A 40983-2023")</f>
        <v/>
      </c>
      <c r="V12">
        <f>HYPERLINK("https://klasma.github.io/Logging_1440/klagomål/A 40983-2023 FSC-klagomål.docx", "A 40983-2023")</f>
        <v/>
      </c>
      <c r="W12">
        <f>HYPERLINK("https://klasma.github.io/Logging_1440/klagomålsmail/A 40983-2023 FSC-klagomål mail.docx", "A 40983-2023")</f>
        <v/>
      </c>
      <c r="X12">
        <f>HYPERLINK("https://klasma.github.io/Logging_1440/tillsyn/A 40983-2023 tillsynsbegäran.docx", "A 40983-2023")</f>
        <v/>
      </c>
      <c r="Y12">
        <f>HYPERLINK("https://klasma.github.io/Logging_1440/tillsynsmail/A 40983-2023 tillsynsbegäran mail.docx", "A 40983-2023")</f>
        <v/>
      </c>
      <c r="Z12">
        <f>HYPERLINK("https://klasma.github.io/Logging_1440/fåglar/A 40983-2023 prioriterade fågelarter.docx", "A 40983-2023")</f>
        <v/>
      </c>
    </row>
    <row r="13" ht="15" customHeight="1">
      <c r="A13" t="inlineStr">
        <is>
          <t>A 563-2024</t>
        </is>
      </c>
      <c r="B13" s="1" t="n">
        <v>45299</v>
      </c>
      <c r="C13" s="1" t="n">
        <v>45472</v>
      </c>
      <c r="D13" t="inlineStr">
        <is>
          <t>VÄSTRA GÖTALANDS LÄN</t>
        </is>
      </c>
      <c r="E13" t="inlineStr">
        <is>
          <t>ALE</t>
        </is>
      </c>
      <c r="F13" t="inlineStr">
        <is>
          <t>Kyrkan</t>
        </is>
      </c>
      <c r="G13" t="n">
        <v>26</v>
      </c>
      <c r="H13" t="n">
        <v>3</v>
      </c>
      <c r="I13" t="n">
        <v>1</v>
      </c>
      <c r="J13" t="n">
        <v>3</v>
      </c>
      <c r="K13" t="n">
        <v>0</v>
      </c>
      <c r="L13" t="n">
        <v>0</v>
      </c>
      <c r="M13" t="n">
        <v>0</v>
      </c>
      <c r="N13" t="n">
        <v>0</v>
      </c>
      <c r="O13" t="n">
        <v>3</v>
      </c>
      <c r="P13" t="n">
        <v>0</v>
      </c>
      <c r="Q13" t="n">
        <v>5</v>
      </c>
      <c r="R13" s="2" t="inlineStr">
        <is>
          <t>Kortskaftad ärgspik
Spillkråka
Talltita
Björksplintborre
Tjäder</t>
        </is>
      </c>
      <c r="S13">
        <f>HYPERLINK("https://klasma.github.io/Logging_1440/artfynd/A 563-2024 artfynd.xlsx", "A 563-2024")</f>
        <v/>
      </c>
      <c r="T13">
        <f>HYPERLINK("https://klasma.github.io/Logging_1440/kartor/A 563-2024 karta.png", "A 563-2024")</f>
        <v/>
      </c>
      <c r="V13">
        <f>HYPERLINK("https://klasma.github.io/Logging_1440/klagomål/A 563-2024 FSC-klagomål.docx", "A 563-2024")</f>
        <v/>
      </c>
      <c r="W13">
        <f>HYPERLINK("https://klasma.github.io/Logging_1440/klagomålsmail/A 563-2024 FSC-klagomål mail.docx", "A 563-2024")</f>
        <v/>
      </c>
      <c r="X13">
        <f>HYPERLINK("https://klasma.github.io/Logging_1440/tillsyn/A 563-2024 tillsynsbegäran.docx", "A 563-2024")</f>
        <v/>
      </c>
      <c r="Y13">
        <f>HYPERLINK("https://klasma.github.io/Logging_1440/tillsynsmail/A 563-2024 tillsynsbegäran mail.docx", "A 563-2024")</f>
        <v/>
      </c>
      <c r="Z13">
        <f>HYPERLINK("https://klasma.github.io/Logging_1440/fåglar/A 563-2024 prioriterade fågelarter.docx", "A 563-2024")</f>
        <v/>
      </c>
    </row>
    <row r="14" ht="15" customHeight="1">
      <c r="A14" t="inlineStr">
        <is>
          <t>A 7903-2024</t>
        </is>
      </c>
      <c r="B14" s="1" t="n">
        <v>45350</v>
      </c>
      <c r="C14" s="1" t="n">
        <v>45472</v>
      </c>
      <c r="D14" t="inlineStr">
        <is>
          <t>VÄSTRA GÖTALANDS LÄN</t>
        </is>
      </c>
      <c r="E14" t="inlineStr">
        <is>
          <t>ALE</t>
        </is>
      </c>
      <c r="G14" t="n">
        <v>5.2</v>
      </c>
      <c r="H14" t="n">
        <v>4</v>
      </c>
      <c r="I14" t="n">
        <v>1</v>
      </c>
      <c r="J14" t="n">
        <v>3</v>
      </c>
      <c r="K14" t="n">
        <v>0</v>
      </c>
      <c r="L14" t="n">
        <v>0</v>
      </c>
      <c r="M14" t="n">
        <v>0</v>
      </c>
      <c r="N14" t="n">
        <v>0</v>
      </c>
      <c r="O14" t="n">
        <v>3</v>
      </c>
      <c r="P14" t="n">
        <v>0</v>
      </c>
      <c r="Q14" t="n">
        <v>5</v>
      </c>
      <c r="R14" s="2" t="inlineStr">
        <is>
          <t>Entita
Spillkråka
Talltita
Björksplintborre
Kungsfågel</t>
        </is>
      </c>
      <c r="S14">
        <f>HYPERLINK("https://klasma.github.io/Logging_1440/artfynd/A 7903-2024 artfynd.xlsx", "A 7903-2024")</f>
        <v/>
      </c>
      <c r="T14">
        <f>HYPERLINK("https://klasma.github.io/Logging_1440/kartor/A 7903-2024 karta.png", "A 7903-2024")</f>
        <v/>
      </c>
      <c r="V14">
        <f>HYPERLINK("https://klasma.github.io/Logging_1440/klagomål/A 7903-2024 FSC-klagomål.docx", "A 7903-2024")</f>
        <v/>
      </c>
      <c r="W14">
        <f>HYPERLINK("https://klasma.github.io/Logging_1440/klagomålsmail/A 7903-2024 FSC-klagomål mail.docx", "A 7903-2024")</f>
        <v/>
      </c>
      <c r="X14">
        <f>HYPERLINK("https://klasma.github.io/Logging_1440/tillsyn/A 7903-2024 tillsynsbegäran.docx", "A 7903-2024")</f>
        <v/>
      </c>
      <c r="Y14">
        <f>HYPERLINK("https://klasma.github.io/Logging_1440/tillsynsmail/A 7903-2024 tillsynsbegäran mail.docx", "A 7903-2024")</f>
        <v/>
      </c>
      <c r="Z14">
        <f>HYPERLINK("https://klasma.github.io/Logging_1440/fåglar/A 7903-2024 prioriterade fågelarter.docx", "A 7903-2024")</f>
        <v/>
      </c>
    </row>
    <row r="15" ht="15" customHeight="1">
      <c r="A15" t="inlineStr">
        <is>
          <t>A 53693-2019</t>
        </is>
      </c>
      <c r="B15" s="1" t="n">
        <v>43749</v>
      </c>
      <c r="C15" s="1" t="n">
        <v>45472</v>
      </c>
      <c r="D15" t="inlineStr">
        <is>
          <t>VÄSTRA GÖTALANDS LÄN</t>
        </is>
      </c>
      <c r="E15" t="inlineStr">
        <is>
          <t>ALE</t>
        </is>
      </c>
      <c r="G15" t="n">
        <v>11.2</v>
      </c>
      <c r="H15" t="n">
        <v>2</v>
      </c>
      <c r="I15" t="n">
        <v>2</v>
      </c>
      <c r="J15" t="n">
        <v>0</v>
      </c>
      <c r="K15" t="n">
        <v>0</v>
      </c>
      <c r="L15" t="n">
        <v>0</v>
      </c>
      <c r="M15" t="n">
        <v>0</v>
      </c>
      <c r="N15" t="n">
        <v>0</v>
      </c>
      <c r="O15" t="n">
        <v>0</v>
      </c>
      <c r="P15" t="n">
        <v>0</v>
      </c>
      <c r="Q15" t="n">
        <v>4</v>
      </c>
      <c r="R15" s="2" t="inlineStr">
        <is>
          <t>Björksplintborre
Havstulpanlav
Orre
Tjäder</t>
        </is>
      </c>
      <c r="S15">
        <f>HYPERLINK("https://klasma.github.io/Logging_1440/artfynd/A 53693-2019 artfynd.xlsx", "A 53693-2019")</f>
        <v/>
      </c>
      <c r="T15">
        <f>HYPERLINK("https://klasma.github.io/Logging_1440/kartor/A 53693-2019 karta.png", "A 53693-2019")</f>
        <v/>
      </c>
      <c r="V15">
        <f>HYPERLINK("https://klasma.github.io/Logging_1440/klagomål/A 53693-2019 FSC-klagomål.docx", "A 53693-2019")</f>
        <v/>
      </c>
      <c r="W15">
        <f>HYPERLINK("https://klasma.github.io/Logging_1440/klagomålsmail/A 53693-2019 FSC-klagomål mail.docx", "A 53693-2019")</f>
        <v/>
      </c>
      <c r="X15">
        <f>HYPERLINK("https://klasma.github.io/Logging_1440/tillsyn/A 53693-2019 tillsynsbegäran.docx", "A 53693-2019")</f>
        <v/>
      </c>
      <c r="Y15">
        <f>HYPERLINK("https://klasma.github.io/Logging_1440/tillsynsmail/A 53693-2019 tillsynsbegäran mail.docx", "A 53693-2019")</f>
        <v/>
      </c>
      <c r="Z15">
        <f>HYPERLINK("https://klasma.github.io/Logging_1440/fåglar/A 53693-2019 prioriterade fågelarter.docx", "A 53693-2019")</f>
        <v/>
      </c>
    </row>
    <row r="16" ht="15" customHeight="1">
      <c r="A16" t="inlineStr">
        <is>
          <t>A 7906-2024</t>
        </is>
      </c>
      <c r="B16" s="1" t="n">
        <v>45350</v>
      </c>
      <c r="C16" s="1" t="n">
        <v>45472</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45472</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45472</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45472</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45472</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45472</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45472</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45472</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45472</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45472</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45472</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8432-2022</t>
        </is>
      </c>
      <c r="B27" s="1" t="n">
        <v>44611</v>
      </c>
      <c r="C27" s="1" t="n">
        <v>45472</v>
      </c>
      <c r="D27" t="inlineStr">
        <is>
          <t>VÄSTRA GÖTALANDS LÄN</t>
        </is>
      </c>
      <c r="E27" t="inlineStr">
        <is>
          <t>ALE</t>
        </is>
      </c>
      <c r="G27" t="n">
        <v>1.7</v>
      </c>
      <c r="H27" t="n">
        <v>1</v>
      </c>
      <c r="I27" t="n">
        <v>0</v>
      </c>
      <c r="J27" t="n">
        <v>0</v>
      </c>
      <c r="K27" t="n">
        <v>0</v>
      </c>
      <c r="L27" t="n">
        <v>0</v>
      </c>
      <c r="M27" t="n">
        <v>0</v>
      </c>
      <c r="N27" t="n">
        <v>0</v>
      </c>
      <c r="O27" t="n">
        <v>0</v>
      </c>
      <c r="P27" t="n">
        <v>0</v>
      </c>
      <c r="Q27" t="n">
        <v>1</v>
      </c>
      <c r="R27" s="2" t="inlineStr">
        <is>
          <t>Gröngöling</t>
        </is>
      </c>
      <c r="S27">
        <f>HYPERLINK("https://klasma.github.io/Logging_1440/artfynd/A 8432-2022 artfynd.xlsx", "A 8432-2022")</f>
        <v/>
      </c>
      <c r="T27">
        <f>HYPERLINK("https://klasma.github.io/Logging_1440/kartor/A 8432-2022 karta.png", "A 8432-2022")</f>
        <v/>
      </c>
      <c r="V27">
        <f>HYPERLINK("https://klasma.github.io/Logging_1440/klagomål/A 8432-2022 FSC-klagomål.docx", "A 8432-2022")</f>
        <v/>
      </c>
      <c r="W27">
        <f>HYPERLINK("https://klasma.github.io/Logging_1440/klagomålsmail/A 8432-2022 FSC-klagomål mail.docx", "A 8432-2022")</f>
        <v/>
      </c>
      <c r="X27">
        <f>HYPERLINK("https://klasma.github.io/Logging_1440/tillsyn/A 8432-2022 tillsynsbegäran.docx", "A 8432-2022")</f>
        <v/>
      </c>
      <c r="Y27">
        <f>HYPERLINK("https://klasma.github.io/Logging_1440/tillsynsmail/A 8432-2022 tillsynsbegäran mail.docx", "A 8432-2022")</f>
        <v/>
      </c>
      <c r="Z27">
        <f>HYPERLINK("https://klasma.github.io/Logging_1440/fåglar/A 8432-2022 prioriterade fågelarter.docx", "A 8432-2022")</f>
        <v/>
      </c>
    </row>
    <row r="28" ht="15" customHeight="1">
      <c r="A28" t="inlineStr">
        <is>
          <t>A 23339-2023</t>
        </is>
      </c>
      <c r="B28" s="1" t="n">
        <v>45076</v>
      </c>
      <c r="C28" s="1" t="n">
        <v>45472</v>
      </c>
      <c r="D28" t="inlineStr">
        <is>
          <t>VÄSTRA GÖTALANDS LÄN</t>
        </is>
      </c>
      <c r="E28" t="inlineStr">
        <is>
          <t>ALE</t>
        </is>
      </c>
      <c r="G28" t="n">
        <v>7.4</v>
      </c>
      <c r="H28" t="n">
        <v>1</v>
      </c>
      <c r="I28" t="n">
        <v>0</v>
      </c>
      <c r="J28" t="n">
        <v>0</v>
      </c>
      <c r="K28" t="n">
        <v>0</v>
      </c>
      <c r="L28" t="n">
        <v>0</v>
      </c>
      <c r="M28" t="n">
        <v>0</v>
      </c>
      <c r="N28" t="n">
        <v>0</v>
      </c>
      <c r="O28" t="n">
        <v>0</v>
      </c>
      <c r="P28" t="n">
        <v>0</v>
      </c>
      <c r="Q28" t="n">
        <v>1</v>
      </c>
      <c r="R28" s="2" t="inlineStr">
        <is>
          <t>Revlummer</t>
        </is>
      </c>
      <c r="S28">
        <f>HYPERLINK("https://klasma.github.io/Logging_1440/artfynd/A 23339-2023 artfynd.xlsx", "A 23339-2023")</f>
        <v/>
      </c>
      <c r="T28">
        <f>HYPERLINK("https://klasma.github.io/Logging_1440/kartor/A 23339-2023 karta.png", "A 23339-2023")</f>
        <v/>
      </c>
      <c r="V28">
        <f>HYPERLINK("https://klasma.github.io/Logging_1440/klagomål/A 23339-2023 FSC-klagomål.docx", "A 23339-2023")</f>
        <v/>
      </c>
      <c r="W28">
        <f>HYPERLINK("https://klasma.github.io/Logging_1440/klagomålsmail/A 23339-2023 FSC-klagomål mail.docx", "A 23339-2023")</f>
        <v/>
      </c>
      <c r="X28">
        <f>HYPERLINK("https://klasma.github.io/Logging_1440/tillsyn/A 23339-2023 tillsynsbegäran.docx", "A 23339-2023")</f>
        <v/>
      </c>
      <c r="Y28">
        <f>HYPERLINK("https://klasma.github.io/Logging_1440/tillsynsmail/A 23339-2023 tillsynsbegäran mail.docx", "A 23339-2023")</f>
        <v/>
      </c>
    </row>
    <row r="29" ht="15" customHeight="1">
      <c r="A29" t="inlineStr">
        <is>
          <t>A 26493-2024</t>
        </is>
      </c>
      <c r="B29" s="1" t="n">
        <v>45469</v>
      </c>
      <c r="C29" s="1" t="n">
        <v>45472</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22015-2019</t>
        </is>
      </c>
      <c r="B30" s="1" t="n">
        <v>43584</v>
      </c>
      <c r="C30" s="1" t="n">
        <v>45472</v>
      </c>
      <c r="D30" t="inlineStr">
        <is>
          <t>VÄSTRA GÖTALANDS LÄN</t>
        </is>
      </c>
      <c r="E30" t="inlineStr">
        <is>
          <t>ALE</t>
        </is>
      </c>
      <c r="G30" t="n">
        <v>1.6</v>
      </c>
      <c r="H30" t="n">
        <v>0</v>
      </c>
      <c r="I30" t="n">
        <v>0</v>
      </c>
      <c r="J30" t="n">
        <v>0</v>
      </c>
      <c r="K30" t="n">
        <v>0</v>
      </c>
      <c r="L30" t="n">
        <v>0</v>
      </c>
      <c r="M30" t="n">
        <v>0</v>
      </c>
      <c r="N30" t="n">
        <v>0</v>
      </c>
      <c r="O30" t="n">
        <v>0</v>
      </c>
      <c r="P30" t="n">
        <v>0</v>
      </c>
      <c r="Q30" t="n">
        <v>0</v>
      </c>
      <c r="R30" s="2" t="inlineStr"/>
    </row>
    <row r="31" ht="15" customHeight="1">
      <c r="A31" t="inlineStr">
        <is>
          <t>A 50538-2019</t>
        </is>
      </c>
      <c r="B31" s="1" t="n">
        <v>43735</v>
      </c>
      <c r="C31" s="1" t="n">
        <v>45472</v>
      </c>
      <c r="D31" t="inlineStr">
        <is>
          <t>VÄSTRA GÖTALANDS LÄN</t>
        </is>
      </c>
      <c r="E31" t="inlineStr">
        <is>
          <t>ALE</t>
        </is>
      </c>
      <c r="G31" t="n">
        <v>10.9</v>
      </c>
      <c r="H31" t="n">
        <v>0</v>
      </c>
      <c r="I31" t="n">
        <v>0</v>
      </c>
      <c r="J31" t="n">
        <v>0</v>
      </c>
      <c r="K31" t="n">
        <v>0</v>
      </c>
      <c r="L31" t="n">
        <v>0</v>
      </c>
      <c r="M31" t="n">
        <v>0</v>
      </c>
      <c r="N31" t="n">
        <v>0</v>
      </c>
      <c r="O31" t="n">
        <v>0</v>
      </c>
      <c r="P31" t="n">
        <v>0</v>
      </c>
      <c r="Q31" t="n">
        <v>0</v>
      </c>
      <c r="R31" s="2" t="inlineStr"/>
    </row>
    <row r="32" ht="15" customHeight="1">
      <c r="A32" t="inlineStr">
        <is>
          <t>A 59735-2019</t>
        </is>
      </c>
      <c r="B32" s="1" t="n">
        <v>43776</v>
      </c>
      <c r="C32" s="1" t="n">
        <v>45472</v>
      </c>
      <c r="D32" t="inlineStr">
        <is>
          <t>VÄSTRA GÖTALANDS LÄN</t>
        </is>
      </c>
      <c r="E32" t="inlineStr">
        <is>
          <t>ALE</t>
        </is>
      </c>
      <c r="G32" t="n">
        <v>2</v>
      </c>
      <c r="H32" t="n">
        <v>0</v>
      </c>
      <c r="I32" t="n">
        <v>0</v>
      </c>
      <c r="J32" t="n">
        <v>0</v>
      </c>
      <c r="K32" t="n">
        <v>0</v>
      </c>
      <c r="L32" t="n">
        <v>0</v>
      </c>
      <c r="M32" t="n">
        <v>0</v>
      </c>
      <c r="N32" t="n">
        <v>0</v>
      </c>
      <c r="O32" t="n">
        <v>0</v>
      </c>
      <c r="P32" t="n">
        <v>0</v>
      </c>
      <c r="Q32" t="n">
        <v>0</v>
      </c>
      <c r="R32" s="2" t="inlineStr"/>
    </row>
    <row r="33" ht="15" customHeight="1">
      <c r="A33" t="inlineStr">
        <is>
          <t>A 60395-2019</t>
        </is>
      </c>
      <c r="B33" s="1" t="n">
        <v>43780</v>
      </c>
      <c r="C33" s="1" t="n">
        <v>45472</v>
      </c>
      <c r="D33" t="inlineStr">
        <is>
          <t>VÄSTRA GÖTALANDS LÄN</t>
        </is>
      </c>
      <c r="E33" t="inlineStr">
        <is>
          <t>ALE</t>
        </is>
      </c>
      <c r="F33" t="inlineStr">
        <is>
          <t>Kommuner</t>
        </is>
      </c>
      <c r="G33" t="n">
        <v>1.7</v>
      </c>
      <c r="H33" t="n">
        <v>0</v>
      </c>
      <c r="I33" t="n">
        <v>0</v>
      </c>
      <c r="J33" t="n">
        <v>0</v>
      </c>
      <c r="K33" t="n">
        <v>0</v>
      </c>
      <c r="L33" t="n">
        <v>0</v>
      </c>
      <c r="M33" t="n">
        <v>0</v>
      </c>
      <c r="N33" t="n">
        <v>0</v>
      </c>
      <c r="O33" t="n">
        <v>0</v>
      </c>
      <c r="P33" t="n">
        <v>0</v>
      </c>
      <c r="Q33" t="n">
        <v>0</v>
      </c>
      <c r="R33" s="2" t="inlineStr"/>
    </row>
    <row r="34" ht="15" customHeight="1">
      <c r="A34" t="inlineStr">
        <is>
          <t>A 60379-2019</t>
        </is>
      </c>
      <c r="B34" s="1" t="n">
        <v>43780</v>
      </c>
      <c r="C34" s="1" t="n">
        <v>45472</v>
      </c>
      <c r="D34" t="inlineStr">
        <is>
          <t>VÄSTRA GÖTALANDS LÄN</t>
        </is>
      </c>
      <c r="E34" t="inlineStr">
        <is>
          <t>ALE</t>
        </is>
      </c>
      <c r="F34" t="inlineStr">
        <is>
          <t>Kommuner</t>
        </is>
      </c>
      <c r="G34" t="n">
        <v>1.1</v>
      </c>
      <c r="H34" t="n">
        <v>0</v>
      </c>
      <c r="I34" t="n">
        <v>0</v>
      </c>
      <c r="J34" t="n">
        <v>0</v>
      </c>
      <c r="K34" t="n">
        <v>0</v>
      </c>
      <c r="L34" t="n">
        <v>0</v>
      </c>
      <c r="M34" t="n">
        <v>0</v>
      </c>
      <c r="N34" t="n">
        <v>0</v>
      </c>
      <c r="O34" t="n">
        <v>0</v>
      </c>
      <c r="P34" t="n">
        <v>0</v>
      </c>
      <c r="Q34" t="n">
        <v>0</v>
      </c>
      <c r="R34" s="2" t="inlineStr"/>
    </row>
    <row r="35" ht="15" customHeight="1">
      <c r="A35" t="inlineStr">
        <is>
          <t>A 60679-2019</t>
        </is>
      </c>
      <c r="B35" s="1" t="n">
        <v>43781</v>
      </c>
      <c r="C35" s="1" t="n">
        <v>45472</v>
      </c>
      <c r="D35" t="inlineStr">
        <is>
          <t>VÄSTRA GÖTALANDS LÄN</t>
        </is>
      </c>
      <c r="E35" t="inlineStr">
        <is>
          <t>ALE</t>
        </is>
      </c>
      <c r="G35" t="n">
        <v>1.8</v>
      </c>
      <c r="H35" t="n">
        <v>0</v>
      </c>
      <c r="I35" t="n">
        <v>0</v>
      </c>
      <c r="J35" t="n">
        <v>0</v>
      </c>
      <c r="K35" t="n">
        <v>0</v>
      </c>
      <c r="L35" t="n">
        <v>0</v>
      </c>
      <c r="M35" t="n">
        <v>0</v>
      </c>
      <c r="N35" t="n">
        <v>0</v>
      </c>
      <c r="O35" t="n">
        <v>0</v>
      </c>
      <c r="P35" t="n">
        <v>0</v>
      </c>
      <c r="Q35" t="n">
        <v>0</v>
      </c>
      <c r="R35" s="2" t="inlineStr"/>
    </row>
    <row r="36" ht="15" customHeight="1">
      <c r="A36" t="inlineStr">
        <is>
          <t>A 62130-2019</t>
        </is>
      </c>
      <c r="B36" s="1" t="n">
        <v>43787</v>
      </c>
      <c r="C36" s="1" t="n">
        <v>45472</v>
      </c>
      <c r="D36" t="inlineStr">
        <is>
          <t>VÄSTRA GÖTALANDS LÄN</t>
        </is>
      </c>
      <c r="E36" t="inlineStr">
        <is>
          <t>ALE</t>
        </is>
      </c>
      <c r="G36" t="n">
        <v>4.3</v>
      </c>
      <c r="H36" t="n">
        <v>0</v>
      </c>
      <c r="I36" t="n">
        <v>0</v>
      </c>
      <c r="J36" t="n">
        <v>0</v>
      </c>
      <c r="K36" t="n">
        <v>0</v>
      </c>
      <c r="L36" t="n">
        <v>0</v>
      </c>
      <c r="M36" t="n">
        <v>0</v>
      </c>
      <c r="N36" t="n">
        <v>0</v>
      </c>
      <c r="O36" t="n">
        <v>0</v>
      </c>
      <c r="P36" t="n">
        <v>0</v>
      </c>
      <c r="Q36" t="n">
        <v>0</v>
      </c>
      <c r="R36" s="2" t="inlineStr"/>
    </row>
    <row r="37" ht="15" customHeight="1">
      <c r="A37" t="inlineStr">
        <is>
          <t>A 377-2020</t>
        </is>
      </c>
      <c r="B37" s="1" t="n">
        <v>43837</v>
      </c>
      <c r="C37" s="1" t="n">
        <v>45472</v>
      </c>
      <c r="D37" t="inlineStr">
        <is>
          <t>VÄSTRA GÖTALANDS LÄN</t>
        </is>
      </c>
      <c r="E37" t="inlineStr">
        <is>
          <t>ALE</t>
        </is>
      </c>
      <c r="G37" t="n">
        <v>2.6</v>
      </c>
      <c r="H37" t="n">
        <v>0</v>
      </c>
      <c r="I37" t="n">
        <v>0</v>
      </c>
      <c r="J37" t="n">
        <v>0</v>
      </c>
      <c r="K37" t="n">
        <v>0</v>
      </c>
      <c r="L37" t="n">
        <v>0</v>
      </c>
      <c r="M37" t="n">
        <v>0</v>
      </c>
      <c r="N37" t="n">
        <v>0</v>
      </c>
      <c r="O37" t="n">
        <v>0</v>
      </c>
      <c r="P37" t="n">
        <v>0</v>
      </c>
      <c r="Q37" t="n">
        <v>0</v>
      </c>
      <c r="R37" s="2" t="inlineStr"/>
    </row>
    <row r="38" ht="15" customHeight="1">
      <c r="A38" t="inlineStr">
        <is>
          <t>A 2843-2020</t>
        </is>
      </c>
      <c r="B38" s="1" t="n">
        <v>43850</v>
      </c>
      <c r="C38" s="1" t="n">
        <v>45472</v>
      </c>
      <c r="D38" t="inlineStr">
        <is>
          <t>VÄSTRA GÖTALANDS LÄN</t>
        </is>
      </c>
      <c r="E38" t="inlineStr">
        <is>
          <t>ALE</t>
        </is>
      </c>
      <c r="G38" t="n">
        <v>1.8</v>
      </c>
      <c r="H38" t="n">
        <v>0</v>
      </c>
      <c r="I38" t="n">
        <v>0</v>
      </c>
      <c r="J38" t="n">
        <v>0</v>
      </c>
      <c r="K38" t="n">
        <v>0</v>
      </c>
      <c r="L38" t="n">
        <v>0</v>
      </c>
      <c r="M38" t="n">
        <v>0</v>
      </c>
      <c r="N38" t="n">
        <v>0</v>
      </c>
      <c r="O38" t="n">
        <v>0</v>
      </c>
      <c r="P38" t="n">
        <v>0</v>
      </c>
      <c r="Q38" t="n">
        <v>0</v>
      </c>
      <c r="R38" s="2" t="inlineStr"/>
    </row>
    <row r="39" ht="15" customHeight="1">
      <c r="A39" t="inlineStr">
        <is>
          <t>A 4879-2020</t>
        </is>
      </c>
      <c r="B39" s="1" t="n">
        <v>43859</v>
      </c>
      <c r="C39" s="1" t="n">
        <v>45472</v>
      </c>
      <c r="D39" t="inlineStr">
        <is>
          <t>VÄSTRA GÖTALANDS LÄN</t>
        </is>
      </c>
      <c r="E39" t="inlineStr">
        <is>
          <t>ALE</t>
        </is>
      </c>
      <c r="G39" t="n">
        <v>3.1</v>
      </c>
      <c r="H39" t="n">
        <v>0</v>
      </c>
      <c r="I39" t="n">
        <v>0</v>
      </c>
      <c r="J39" t="n">
        <v>0</v>
      </c>
      <c r="K39" t="n">
        <v>0</v>
      </c>
      <c r="L39" t="n">
        <v>0</v>
      </c>
      <c r="M39" t="n">
        <v>0</v>
      </c>
      <c r="N39" t="n">
        <v>0</v>
      </c>
      <c r="O39" t="n">
        <v>0</v>
      </c>
      <c r="P39" t="n">
        <v>0</v>
      </c>
      <c r="Q39" t="n">
        <v>0</v>
      </c>
      <c r="R39" s="2" t="inlineStr"/>
    </row>
    <row r="40" ht="15" customHeight="1">
      <c r="A40" t="inlineStr">
        <is>
          <t>A 7706-2020</t>
        </is>
      </c>
      <c r="B40" s="1" t="n">
        <v>43872</v>
      </c>
      <c r="C40" s="1" t="n">
        <v>45472</v>
      </c>
      <c r="D40" t="inlineStr">
        <is>
          <t>VÄSTRA GÖTALANDS LÄN</t>
        </is>
      </c>
      <c r="E40" t="inlineStr">
        <is>
          <t>ALE</t>
        </is>
      </c>
      <c r="G40" t="n">
        <v>1.2</v>
      </c>
      <c r="H40" t="n">
        <v>0</v>
      </c>
      <c r="I40" t="n">
        <v>0</v>
      </c>
      <c r="J40" t="n">
        <v>0</v>
      </c>
      <c r="K40" t="n">
        <v>0</v>
      </c>
      <c r="L40" t="n">
        <v>0</v>
      </c>
      <c r="M40" t="n">
        <v>0</v>
      </c>
      <c r="N40" t="n">
        <v>0</v>
      </c>
      <c r="O40" t="n">
        <v>0</v>
      </c>
      <c r="P40" t="n">
        <v>0</v>
      </c>
      <c r="Q40" t="n">
        <v>0</v>
      </c>
      <c r="R40" s="2" t="inlineStr"/>
    </row>
    <row r="41" ht="15" customHeight="1">
      <c r="A41" t="inlineStr">
        <is>
          <t>A 7804-2020</t>
        </is>
      </c>
      <c r="B41" s="1" t="n">
        <v>43873</v>
      </c>
      <c r="C41" s="1" t="n">
        <v>45472</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9154-2020</t>
        </is>
      </c>
      <c r="B42" s="1" t="n">
        <v>43879</v>
      </c>
      <c r="C42" s="1" t="n">
        <v>45472</v>
      </c>
      <c r="D42" t="inlineStr">
        <is>
          <t>VÄSTRA GÖTALANDS LÄN</t>
        </is>
      </c>
      <c r="E42" t="inlineStr">
        <is>
          <t>ALE</t>
        </is>
      </c>
      <c r="G42" t="n">
        <v>2.7</v>
      </c>
      <c r="H42" t="n">
        <v>0</v>
      </c>
      <c r="I42" t="n">
        <v>0</v>
      </c>
      <c r="J42" t="n">
        <v>0</v>
      </c>
      <c r="K42" t="n">
        <v>0</v>
      </c>
      <c r="L42" t="n">
        <v>0</v>
      </c>
      <c r="M42" t="n">
        <v>0</v>
      </c>
      <c r="N42" t="n">
        <v>0</v>
      </c>
      <c r="O42" t="n">
        <v>0</v>
      </c>
      <c r="P42" t="n">
        <v>0</v>
      </c>
      <c r="Q42" t="n">
        <v>0</v>
      </c>
      <c r="R42" s="2" t="inlineStr"/>
    </row>
    <row r="43" ht="15" customHeight="1">
      <c r="A43" t="inlineStr">
        <is>
          <t>A 10079-2020</t>
        </is>
      </c>
      <c r="B43" s="1" t="n">
        <v>43886</v>
      </c>
      <c r="C43" s="1" t="n">
        <v>45472</v>
      </c>
      <c r="D43" t="inlineStr">
        <is>
          <t>VÄSTRA GÖTALANDS LÄN</t>
        </is>
      </c>
      <c r="E43" t="inlineStr">
        <is>
          <t>ALE</t>
        </is>
      </c>
      <c r="G43" t="n">
        <v>1</v>
      </c>
      <c r="H43" t="n">
        <v>0</v>
      </c>
      <c r="I43" t="n">
        <v>0</v>
      </c>
      <c r="J43" t="n">
        <v>0</v>
      </c>
      <c r="K43" t="n">
        <v>0</v>
      </c>
      <c r="L43" t="n">
        <v>0</v>
      </c>
      <c r="M43" t="n">
        <v>0</v>
      </c>
      <c r="N43" t="n">
        <v>0</v>
      </c>
      <c r="O43" t="n">
        <v>0</v>
      </c>
      <c r="P43" t="n">
        <v>0</v>
      </c>
      <c r="Q43" t="n">
        <v>0</v>
      </c>
      <c r="R43" s="2" t="inlineStr"/>
    </row>
    <row r="44" ht="15" customHeight="1">
      <c r="A44" t="inlineStr">
        <is>
          <t>A 13432-2020</t>
        </is>
      </c>
      <c r="B44" s="1" t="n">
        <v>43902</v>
      </c>
      <c r="C44" s="1" t="n">
        <v>45472</v>
      </c>
      <c r="D44" t="inlineStr">
        <is>
          <t>VÄSTRA GÖTALANDS LÄN</t>
        </is>
      </c>
      <c r="E44" t="inlineStr">
        <is>
          <t>ALE</t>
        </is>
      </c>
      <c r="G44" t="n">
        <v>0.6</v>
      </c>
      <c r="H44" t="n">
        <v>0</v>
      </c>
      <c r="I44" t="n">
        <v>0</v>
      </c>
      <c r="J44" t="n">
        <v>0</v>
      </c>
      <c r="K44" t="n">
        <v>0</v>
      </c>
      <c r="L44" t="n">
        <v>0</v>
      </c>
      <c r="M44" t="n">
        <v>0</v>
      </c>
      <c r="N44" t="n">
        <v>0</v>
      </c>
      <c r="O44" t="n">
        <v>0</v>
      </c>
      <c r="P44" t="n">
        <v>0</v>
      </c>
      <c r="Q44" t="n">
        <v>0</v>
      </c>
      <c r="R44" s="2" t="inlineStr"/>
    </row>
    <row r="45" ht="15" customHeight="1">
      <c r="A45" t="inlineStr">
        <is>
          <t>A 21077-2020</t>
        </is>
      </c>
      <c r="B45" s="1" t="n">
        <v>43951</v>
      </c>
      <c r="C45" s="1" t="n">
        <v>45472</v>
      </c>
      <c r="D45" t="inlineStr">
        <is>
          <t>VÄSTRA GÖTALANDS LÄN</t>
        </is>
      </c>
      <c r="E45" t="inlineStr">
        <is>
          <t>ALE</t>
        </is>
      </c>
      <c r="G45" t="n">
        <v>4.4</v>
      </c>
      <c r="H45" t="n">
        <v>0</v>
      </c>
      <c r="I45" t="n">
        <v>0</v>
      </c>
      <c r="J45" t="n">
        <v>0</v>
      </c>
      <c r="K45" t="n">
        <v>0</v>
      </c>
      <c r="L45" t="n">
        <v>0</v>
      </c>
      <c r="M45" t="n">
        <v>0</v>
      </c>
      <c r="N45" t="n">
        <v>0</v>
      </c>
      <c r="O45" t="n">
        <v>0</v>
      </c>
      <c r="P45" t="n">
        <v>0</v>
      </c>
      <c r="Q45" t="n">
        <v>0</v>
      </c>
      <c r="R45" s="2" t="inlineStr"/>
    </row>
    <row r="46" ht="15" customHeight="1">
      <c r="A46" t="inlineStr">
        <is>
          <t>A 23099-2020</t>
        </is>
      </c>
      <c r="B46" s="1" t="n">
        <v>43965</v>
      </c>
      <c r="C46" s="1" t="n">
        <v>45472</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27496-2020</t>
        </is>
      </c>
      <c r="B47" s="1" t="n">
        <v>43993</v>
      </c>
      <c r="C47" s="1" t="n">
        <v>45472</v>
      </c>
      <c r="D47" t="inlineStr">
        <is>
          <t>VÄSTRA GÖTALANDS LÄN</t>
        </is>
      </c>
      <c r="E47" t="inlineStr">
        <is>
          <t>ALE</t>
        </is>
      </c>
      <c r="G47" t="n">
        <v>3.5</v>
      </c>
      <c r="H47" t="n">
        <v>0</v>
      </c>
      <c r="I47" t="n">
        <v>0</v>
      </c>
      <c r="J47" t="n">
        <v>0</v>
      </c>
      <c r="K47" t="n">
        <v>0</v>
      </c>
      <c r="L47" t="n">
        <v>0</v>
      </c>
      <c r="M47" t="n">
        <v>0</v>
      </c>
      <c r="N47" t="n">
        <v>0</v>
      </c>
      <c r="O47" t="n">
        <v>0</v>
      </c>
      <c r="P47" t="n">
        <v>0</v>
      </c>
      <c r="Q47" t="n">
        <v>0</v>
      </c>
      <c r="R47" s="2" t="inlineStr"/>
    </row>
    <row r="48" ht="15" customHeight="1">
      <c r="A48" t="inlineStr">
        <is>
          <t>A 29258-2020</t>
        </is>
      </c>
      <c r="B48" s="1" t="n">
        <v>44004</v>
      </c>
      <c r="C48" s="1" t="n">
        <v>45472</v>
      </c>
      <c r="D48" t="inlineStr">
        <is>
          <t>VÄSTRA GÖTALANDS LÄN</t>
        </is>
      </c>
      <c r="E48" t="inlineStr">
        <is>
          <t>ALE</t>
        </is>
      </c>
      <c r="G48" t="n">
        <v>1.5</v>
      </c>
      <c r="H48" t="n">
        <v>0</v>
      </c>
      <c r="I48" t="n">
        <v>0</v>
      </c>
      <c r="J48" t="n">
        <v>0</v>
      </c>
      <c r="K48" t="n">
        <v>0</v>
      </c>
      <c r="L48" t="n">
        <v>0</v>
      </c>
      <c r="M48" t="n">
        <v>0</v>
      </c>
      <c r="N48" t="n">
        <v>0</v>
      </c>
      <c r="O48" t="n">
        <v>0</v>
      </c>
      <c r="P48" t="n">
        <v>0</v>
      </c>
      <c r="Q48" t="n">
        <v>0</v>
      </c>
      <c r="R48" s="2" t="inlineStr"/>
    </row>
    <row r="49" ht="15" customHeight="1">
      <c r="A49" t="inlineStr">
        <is>
          <t>A 31247-2020</t>
        </is>
      </c>
      <c r="B49" s="1" t="n">
        <v>44012</v>
      </c>
      <c r="C49" s="1" t="n">
        <v>45472</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52839-2020</t>
        </is>
      </c>
      <c r="B50" s="1" t="n">
        <v>44118</v>
      </c>
      <c r="C50" s="1" t="n">
        <v>45472</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58099-2020</t>
        </is>
      </c>
      <c r="B51" s="1" t="n">
        <v>44144</v>
      </c>
      <c r="C51" s="1" t="n">
        <v>45472</v>
      </c>
      <c r="D51" t="inlineStr">
        <is>
          <t>VÄSTRA GÖTALANDS LÄN</t>
        </is>
      </c>
      <c r="E51" t="inlineStr">
        <is>
          <t>ALE</t>
        </is>
      </c>
      <c r="G51" t="n">
        <v>4.6</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45472</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66467-2020</t>
        </is>
      </c>
      <c r="B53" s="1" t="n">
        <v>44176</v>
      </c>
      <c r="C53" s="1" t="n">
        <v>45472</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66551-2020</t>
        </is>
      </c>
      <c r="B54" s="1" t="n">
        <v>44179</v>
      </c>
      <c r="C54" s="1" t="n">
        <v>45472</v>
      </c>
      <c r="D54" t="inlineStr">
        <is>
          <t>VÄSTRA GÖTALANDS LÄN</t>
        </is>
      </c>
      <c r="E54" t="inlineStr">
        <is>
          <t>ALE</t>
        </is>
      </c>
      <c r="G54" t="n">
        <v>4.5</v>
      </c>
      <c r="H54" t="n">
        <v>0</v>
      </c>
      <c r="I54" t="n">
        <v>0</v>
      </c>
      <c r="J54" t="n">
        <v>0</v>
      </c>
      <c r="K54" t="n">
        <v>0</v>
      </c>
      <c r="L54" t="n">
        <v>0</v>
      </c>
      <c r="M54" t="n">
        <v>0</v>
      </c>
      <c r="N54" t="n">
        <v>0</v>
      </c>
      <c r="O54" t="n">
        <v>0</v>
      </c>
      <c r="P54" t="n">
        <v>0</v>
      </c>
      <c r="Q54" t="n">
        <v>0</v>
      </c>
      <c r="R54" s="2" t="inlineStr"/>
    </row>
    <row r="55" ht="15" customHeight="1">
      <c r="A55" t="inlineStr">
        <is>
          <t>A 69325-2020</t>
        </is>
      </c>
      <c r="B55" s="1" t="n">
        <v>44193</v>
      </c>
      <c r="C55" s="1" t="n">
        <v>45472</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69359-2020</t>
        </is>
      </c>
      <c r="B56" s="1" t="n">
        <v>44193</v>
      </c>
      <c r="C56" s="1" t="n">
        <v>45472</v>
      </c>
      <c r="D56" t="inlineStr">
        <is>
          <t>VÄSTRA GÖTALANDS LÄN</t>
        </is>
      </c>
      <c r="E56" t="inlineStr">
        <is>
          <t>ALE</t>
        </is>
      </c>
      <c r="G56" t="n">
        <v>1.7</v>
      </c>
      <c r="H56" t="n">
        <v>0</v>
      </c>
      <c r="I56" t="n">
        <v>0</v>
      </c>
      <c r="J56" t="n">
        <v>0</v>
      </c>
      <c r="K56" t="n">
        <v>0</v>
      </c>
      <c r="L56" t="n">
        <v>0</v>
      </c>
      <c r="M56" t="n">
        <v>0</v>
      </c>
      <c r="N56" t="n">
        <v>0</v>
      </c>
      <c r="O56" t="n">
        <v>0</v>
      </c>
      <c r="P56" t="n">
        <v>0</v>
      </c>
      <c r="Q56" t="n">
        <v>0</v>
      </c>
      <c r="R56" s="2" t="inlineStr"/>
    </row>
    <row r="57" ht="15" customHeight="1">
      <c r="A57" t="inlineStr">
        <is>
          <t>A 2003-2021</t>
        </is>
      </c>
      <c r="B57" s="1" t="n">
        <v>44210</v>
      </c>
      <c r="C57" s="1" t="n">
        <v>45472</v>
      </c>
      <c r="D57" t="inlineStr">
        <is>
          <t>VÄSTRA GÖTALANDS LÄN</t>
        </is>
      </c>
      <c r="E57" t="inlineStr">
        <is>
          <t>ALE</t>
        </is>
      </c>
      <c r="F57" t="inlineStr">
        <is>
          <t>Kommuner</t>
        </is>
      </c>
      <c r="G57" t="n">
        <v>0.6</v>
      </c>
      <c r="H57" t="n">
        <v>0</v>
      </c>
      <c r="I57" t="n">
        <v>0</v>
      </c>
      <c r="J57" t="n">
        <v>0</v>
      </c>
      <c r="K57" t="n">
        <v>0</v>
      </c>
      <c r="L57" t="n">
        <v>0</v>
      </c>
      <c r="M57" t="n">
        <v>0</v>
      </c>
      <c r="N57" t="n">
        <v>0</v>
      </c>
      <c r="O57" t="n">
        <v>0</v>
      </c>
      <c r="P57" t="n">
        <v>0</v>
      </c>
      <c r="Q57" t="n">
        <v>0</v>
      </c>
      <c r="R57" s="2" t="inlineStr"/>
    </row>
    <row r="58" ht="15" customHeight="1">
      <c r="A58" t="inlineStr">
        <is>
          <t>A 3293-2021</t>
        </is>
      </c>
      <c r="B58" s="1" t="n">
        <v>44217</v>
      </c>
      <c r="C58" s="1" t="n">
        <v>45472</v>
      </c>
      <c r="D58" t="inlineStr">
        <is>
          <t>VÄSTRA GÖTALANDS LÄN</t>
        </is>
      </c>
      <c r="E58" t="inlineStr">
        <is>
          <t>ALE</t>
        </is>
      </c>
      <c r="G58" t="n">
        <v>4.2</v>
      </c>
      <c r="H58" t="n">
        <v>0</v>
      </c>
      <c r="I58" t="n">
        <v>0</v>
      </c>
      <c r="J58" t="n">
        <v>0</v>
      </c>
      <c r="K58" t="n">
        <v>0</v>
      </c>
      <c r="L58" t="n">
        <v>0</v>
      </c>
      <c r="M58" t="n">
        <v>0</v>
      </c>
      <c r="N58" t="n">
        <v>0</v>
      </c>
      <c r="O58" t="n">
        <v>0</v>
      </c>
      <c r="P58" t="n">
        <v>0</v>
      </c>
      <c r="Q58" t="n">
        <v>0</v>
      </c>
      <c r="R58" s="2" t="inlineStr"/>
    </row>
    <row r="59" ht="15" customHeight="1">
      <c r="A59" t="inlineStr">
        <is>
          <t>A 13462-2021</t>
        </is>
      </c>
      <c r="B59" s="1" t="n">
        <v>44273</v>
      </c>
      <c r="C59" s="1" t="n">
        <v>45472</v>
      </c>
      <c r="D59" t="inlineStr">
        <is>
          <t>VÄSTRA GÖTALANDS LÄN</t>
        </is>
      </c>
      <c r="E59" t="inlineStr">
        <is>
          <t>ALE</t>
        </is>
      </c>
      <c r="G59" t="n">
        <v>7.4</v>
      </c>
      <c r="H59" t="n">
        <v>0</v>
      </c>
      <c r="I59" t="n">
        <v>0</v>
      </c>
      <c r="J59" t="n">
        <v>0</v>
      </c>
      <c r="K59" t="n">
        <v>0</v>
      </c>
      <c r="L59" t="n">
        <v>0</v>
      </c>
      <c r="M59" t="n">
        <v>0</v>
      </c>
      <c r="N59" t="n">
        <v>0</v>
      </c>
      <c r="O59" t="n">
        <v>0</v>
      </c>
      <c r="P59" t="n">
        <v>0</v>
      </c>
      <c r="Q59" t="n">
        <v>0</v>
      </c>
      <c r="R59" s="2" t="inlineStr"/>
    </row>
    <row r="60" ht="15" customHeight="1">
      <c r="A60" t="inlineStr">
        <is>
          <t>A 14517-2021</t>
        </is>
      </c>
      <c r="B60" s="1" t="n">
        <v>44279</v>
      </c>
      <c r="C60" s="1" t="n">
        <v>45472</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17283-2021</t>
        </is>
      </c>
      <c r="B61" s="1" t="n">
        <v>44298</v>
      </c>
      <c r="C61" s="1" t="n">
        <v>45472</v>
      </c>
      <c r="D61" t="inlineStr">
        <is>
          <t>VÄSTRA GÖTALANDS LÄN</t>
        </is>
      </c>
      <c r="E61" t="inlineStr">
        <is>
          <t>ALE</t>
        </is>
      </c>
      <c r="G61" t="n">
        <v>1.2</v>
      </c>
      <c r="H61" t="n">
        <v>0</v>
      </c>
      <c r="I61" t="n">
        <v>0</v>
      </c>
      <c r="J61" t="n">
        <v>0</v>
      </c>
      <c r="K61" t="n">
        <v>0</v>
      </c>
      <c r="L61" t="n">
        <v>0</v>
      </c>
      <c r="M61" t="n">
        <v>0</v>
      </c>
      <c r="N61" t="n">
        <v>0</v>
      </c>
      <c r="O61" t="n">
        <v>0</v>
      </c>
      <c r="P61" t="n">
        <v>0</v>
      </c>
      <c r="Q61" t="n">
        <v>0</v>
      </c>
      <c r="R61" s="2" t="inlineStr"/>
    </row>
    <row r="62" ht="15" customHeight="1">
      <c r="A62" t="inlineStr">
        <is>
          <t>A 17286-2021</t>
        </is>
      </c>
      <c r="B62" s="1" t="n">
        <v>44298</v>
      </c>
      <c r="C62" s="1" t="n">
        <v>45472</v>
      </c>
      <c r="D62" t="inlineStr">
        <is>
          <t>VÄSTRA GÖTALANDS LÄN</t>
        </is>
      </c>
      <c r="E62" t="inlineStr">
        <is>
          <t>ALE</t>
        </is>
      </c>
      <c r="G62" t="n">
        <v>3.3</v>
      </c>
      <c r="H62" t="n">
        <v>0</v>
      </c>
      <c r="I62" t="n">
        <v>0</v>
      </c>
      <c r="J62" t="n">
        <v>0</v>
      </c>
      <c r="K62" t="n">
        <v>0</v>
      </c>
      <c r="L62" t="n">
        <v>0</v>
      </c>
      <c r="M62" t="n">
        <v>0</v>
      </c>
      <c r="N62" t="n">
        <v>0</v>
      </c>
      <c r="O62" t="n">
        <v>0</v>
      </c>
      <c r="P62" t="n">
        <v>0</v>
      </c>
      <c r="Q62" t="n">
        <v>0</v>
      </c>
      <c r="R62" s="2" t="inlineStr"/>
    </row>
    <row r="63" ht="15" customHeight="1">
      <c r="A63" t="inlineStr">
        <is>
          <t>A 18999-2021</t>
        </is>
      </c>
      <c r="B63" s="1" t="n">
        <v>44308</v>
      </c>
      <c r="C63" s="1" t="n">
        <v>45472</v>
      </c>
      <c r="D63" t="inlineStr">
        <is>
          <t>VÄSTRA GÖTALANDS LÄN</t>
        </is>
      </c>
      <c r="E63" t="inlineStr">
        <is>
          <t>ALE</t>
        </is>
      </c>
      <c r="G63" t="n">
        <v>3.7</v>
      </c>
      <c r="H63" t="n">
        <v>0</v>
      </c>
      <c r="I63" t="n">
        <v>0</v>
      </c>
      <c r="J63" t="n">
        <v>0</v>
      </c>
      <c r="K63" t="n">
        <v>0</v>
      </c>
      <c r="L63" t="n">
        <v>0</v>
      </c>
      <c r="M63" t="n">
        <v>0</v>
      </c>
      <c r="N63" t="n">
        <v>0</v>
      </c>
      <c r="O63" t="n">
        <v>0</v>
      </c>
      <c r="P63" t="n">
        <v>0</v>
      </c>
      <c r="Q63" t="n">
        <v>0</v>
      </c>
      <c r="R63" s="2" t="inlineStr"/>
    </row>
    <row r="64" ht="15" customHeight="1">
      <c r="A64" t="inlineStr">
        <is>
          <t>A 21026-2021</t>
        </is>
      </c>
      <c r="B64" s="1" t="n">
        <v>44319</v>
      </c>
      <c r="C64" s="1" t="n">
        <v>45472</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21281-2021</t>
        </is>
      </c>
      <c r="B65" s="1" t="n">
        <v>44320</v>
      </c>
      <c r="C65" s="1" t="n">
        <v>45472</v>
      </c>
      <c r="D65" t="inlineStr">
        <is>
          <t>VÄSTRA GÖTALANDS LÄN</t>
        </is>
      </c>
      <c r="E65" t="inlineStr">
        <is>
          <t>ALE</t>
        </is>
      </c>
      <c r="G65" t="n">
        <v>1.4</v>
      </c>
      <c r="H65" t="n">
        <v>0</v>
      </c>
      <c r="I65" t="n">
        <v>0</v>
      </c>
      <c r="J65" t="n">
        <v>0</v>
      </c>
      <c r="K65" t="n">
        <v>0</v>
      </c>
      <c r="L65" t="n">
        <v>0</v>
      </c>
      <c r="M65" t="n">
        <v>0</v>
      </c>
      <c r="N65" t="n">
        <v>0</v>
      </c>
      <c r="O65" t="n">
        <v>0</v>
      </c>
      <c r="P65" t="n">
        <v>0</v>
      </c>
      <c r="Q65" t="n">
        <v>0</v>
      </c>
      <c r="R65" s="2" t="inlineStr"/>
    </row>
    <row r="66" ht="15" customHeight="1">
      <c r="A66" t="inlineStr">
        <is>
          <t>A 22138-2021</t>
        </is>
      </c>
      <c r="B66" s="1" t="n">
        <v>44324</v>
      </c>
      <c r="C66" s="1" t="n">
        <v>45472</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25632-2021</t>
        </is>
      </c>
      <c r="B67" s="1" t="n">
        <v>44343</v>
      </c>
      <c r="C67" s="1" t="n">
        <v>45472</v>
      </c>
      <c r="D67" t="inlineStr">
        <is>
          <t>VÄSTRA GÖTALANDS LÄN</t>
        </is>
      </c>
      <c r="E67" t="inlineStr">
        <is>
          <t>ALE</t>
        </is>
      </c>
      <c r="G67" t="n">
        <v>3.2</v>
      </c>
      <c r="H67" t="n">
        <v>0</v>
      </c>
      <c r="I67" t="n">
        <v>0</v>
      </c>
      <c r="J67" t="n">
        <v>0</v>
      </c>
      <c r="K67" t="n">
        <v>0</v>
      </c>
      <c r="L67" t="n">
        <v>0</v>
      </c>
      <c r="M67" t="n">
        <v>0</v>
      </c>
      <c r="N67" t="n">
        <v>0</v>
      </c>
      <c r="O67" t="n">
        <v>0</v>
      </c>
      <c r="P67" t="n">
        <v>0</v>
      </c>
      <c r="Q67" t="n">
        <v>0</v>
      </c>
      <c r="R67" s="2" t="inlineStr"/>
    </row>
    <row r="68" ht="15" customHeight="1">
      <c r="A68" t="inlineStr">
        <is>
          <t>A 27314-2021</t>
        </is>
      </c>
      <c r="B68" s="1" t="n">
        <v>44351</v>
      </c>
      <c r="C68" s="1" t="n">
        <v>45472</v>
      </c>
      <c r="D68" t="inlineStr">
        <is>
          <t>VÄSTRA GÖTALANDS LÄN</t>
        </is>
      </c>
      <c r="E68" t="inlineStr">
        <is>
          <t>ALE</t>
        </is>
      </c>
      <c r="G68" t="n">
        <v>11.3</v>
      </c>
      <c r="H68" t="n">
        <v>0</v>
      </c>
      <c r="I68" t="n">
        <v>0</v>
      </c>
      <c r="J68" t="n">
        <v>0</v>
      </c>
      <c r="K68" t="n">
        <v>0</v>
      </c>
      <c r="L68" t="n">
        <v>0</v>
      </c>
      <c r="M68" t="n">
        <v>0</v>
      </c>
      <c r="N68" t="n">
        <v>0</v>
      </c>
      <c r="O68" t="n">
        <v>0</v>
      </c>
      <c r="P68" t="n">
        <v>0</v>
      </c>
      <c r="Q68" t="n">
        <v>0</v>
      </c>
      <c r="R68" s="2" t="inlineStr"/>
    </row>
    <row r="69" ht="15" customHeight="1">
      <c r="A69" t="inlineStr">
        <is>
          <t>A 31566-2021</t>
        </is>
      </c>
      <c r="B69" s="1" t="n">
        <v>44369</v>
      </c>
      <c r="C69" s="1" t="n">
        <v>45472</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31568-2021</t>
        </is>
      </c>
      <c r="B70" s="1" t="n">
        <v>44369</v>
      </c>
      <c r="C70" s="1" t="n">
        <v>45472</v>
      </c>
      <c r="D70" t="inlineStr">
        <is>
          <t>VÄSTRA GÖTALANDS LÄN</t>
        </is>
      </c>
      <c r="E70" t="inlineStr">
        <is>
          <t>ALE</t>
        </is>
      </c>
      <c r="G70" t="n">
        <v>0.5</v>
      </c>
      <c r="H70" t="n">
        <v>0</v>
      </c>
      <c r="I70" t="n">
        <v>0</v>
      </c>
      <c r="J70" t="n">
        <v>0</v>
      </c>
      <c r="K70" t="n">
        <v>0</v>
      </c>
      <c r="L70" t="n">
        <v>0</v>
      </c>
      <c r="M70" t="n">
        <v>0</v>
      </c>
      <c r="N70" t="n">
        <v>0</v>
      </c>
      <c r="O70" t="n">
        <v>0</v>
      </c>
      <c r="P70" t="n">
        <v>0</v>
      </c>
      <c r="Q70" t="n">
        <v>0</v>
      </c>
      <c r="R70" s="2" t="inlineStr"/>
    </row>
    <row r="71" ht="15" customHeight="1">
      <c r="A71" t="inlineStr">
        <is>
          <t>A 35148-2021</t>
        </is>
      </c>
      <c r="B71" s="1" t="n">
        <v>44384</v>
      </c>
      <c r="C71" s="1" t="n">
        <v>45472</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36394-2021</t>
        </is>
      </c>
      <c r="B72" s="1" t="n">
        <v>44389</v>
      </c>
      <c r="C72" s="1" t="n">
        <v>45472</v>
      </c>
      <c r="D72" t="inlineStr">
        <is>
          <t>VÄSTRA GÖTALANDS LÄN</t>
        </is>
      </c>
      <c r="E72" t="inlineStr">
        <is>
          <t>ALE</t>
        </is>
      </c>
      <c r="G72" t="n">
        <v>0.9</v>
      </c>
      <c r="H72" t="n">
        <v>0</v>
      </c>
      <c r="I72" t="n">
        <v>0</v>
      </c>
      <c r="J72" t="n">
        <v>0</v>
      </c>
      <c r="K72" t="n">
        <v>0</v>
      </c>
      <c r="L72" t="n">
        <v>0</v>
      </c>
      <c r="M72" t="n">
        <v>0</v>
      </c>
      <c r="N72" t="n">
        <v>0</v>
      </c>
      <c r="O72" t="n">
        <v>0</v>
      </c>
      <c r="P72" t="n">
        <v>0</v>
      </c>
      <c r="Q72" t="n">
        <v>0</v>
      </c>
      <c r="R72" s="2" t="inlineStr"/>
    </row>
    <row r="73" ht="15" customHeight="1">
      <c r="A73" t="inlineStr">
        <is>
          <t>A 45986-2021</t>
        </is>
      </c>
      <c r="B73" s="1" t="n">
        <v>44441</v>
      </c>
      <c r="C73" s="1" t="n">
        <v>45472</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45472</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46391-2021</t>
        </is>
      </c>
      <c r="B75" s="1" t="n">
        <v>44443</v>
      </c>
      <c r="C75" s="1" t="n">
        <v>45472</v>
      </c>
      <c r="D75" t="inlineStr">
        <is>
          <t>VÄSTRA GÖTALANDS LÄN</t>
        </is>
      </c>
      <c r="E75" t="inlineStr">
        <is>
          <t>ALE</t>
        </is>
      </c>
      <c r="G75" t="n">
        <v>1.3</v>
      </c>
      <c r="H75" t="n">
        <v>0</v>
      </c>
      <c r="I75" t="n">
        <v>0</v>
      </c>
      <c r="J75" t="n">
        <v>0</v>
      </c>
      <c r="K75" t="n">
        <v>0</v>
      </c>
      <c r="L75" t="n">
        <v>0</v>
      </c>
      <c r="M75" t="n">
        <v>0</v>
      </c>
      <c r="N75" t="n">
        <v>0</v>
      </c>
      <c r="O75" t="n">
        <v>0</v>
      </c>
      <c r="P75" t="n">
        <v>0</v>
      </c>
      <c r="Q75" t="n">
        <v>0</v>
      </c>
      <c r="R75" s="2" t="inlineStr"/>
    </row>
    <row r="76" ht="15" customHeight="1">
      <c r="A76" t="inlineStr">
        <is>
          <t>A 49955-2021</t>
        </is>
      </c>
      <c r="B76" s="1" t="n">
        <v>44456</v>
      </c>
      <c r="C76" s="1" t="n">
        <v>45472</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53144-2021</t>
        </is>
      </c>
      <c r="B77" s="1" t="n">
        <v>44468</v>
      </c>
      <c r="C77" s="1" t="n">
        <v>45472</v>
      </c>
      <c r="D77" t="inlineStr">
        <is>
          <t>VÄSTRA GÖTALANDS LÄN</t>
        </is>
      </c>
      <c r="E77" t="inlineStr">
        <is>
          <t>ALE</t>
        </is>
      </c>
      <c r="G77" t="n">
        <v>2.6</v>
      </c>
      <c r="H77" t="n">
        <v>0</v>
      </c>
      <c r="I77" t="n">
        <v>0</v>
      </c>
      <c r="J77" t="n">
        <v>0</v>
      </c>
      <c r="K77" t="n">
        <v>0</v>
      </c>
      <c r="L77" t="n">
        <v>0</v>
      </c>
      <c r="M77" t="n">
        <v>0</v>
      </c>
      <c r="N77" t="n">
        <v>0</v>
      </c>
      <c r="O77" t="n">
        <v>0</v>
      </c>
      <c r="P77" t="n">
        <v>0</v>
      </c>
      <c r="Q77" t="n">
        <v>0</v>
      </c>
      <c r="R77" s="2" t="inlineStr"/>
    </row>
    <row r="78" ht="15" customHeight="1">
      <c r="A78" t="inlineStr">
        <is>
          <t>A 55405-2021</t>
        </is>
      </c>
      <c r="B78" s="1" t="n">
        <v>44475</v>
      </c>
      <c r="C78" s="1" t="n">
        <v>45472</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56493-2021</t>
        </is>
      </c>
      <c r="B79" s="1" t="n">
        <v>44480</v>
      </c>
      <c r="C79" s="1" t="n">
        <v>45472</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62855-2021</t>
        </is>
      </c>
      <c r="B80" s="1" t="n">
        <v>44504</v>
      </c>
      <c r="C80" s="1" t="n">
        <v>45472</v>
      </c>
      <c r="D80" t="inlineStr">
        <is>
          <t>VÄSTRA GÖTALANDS LÄN</t>
        </is>
      </c>
      <c r="E80" t="inlineStr">
        <is>
          <t>ALE</t>
        </is>
      </c>
      <c r="G80" t="n">
        <v>5.6</v>
      </c>
      <c r="H80" t="n">
        <v>0</v>
      </c>
      <c r="I80" t="n">
        <v>0</v>
      </c>
      <c r="J80" t="n">
        <v>0</v>
      </c>
      <c r="K80" t="n">
        <v>0</v>
      </c>
      <c r="L80" t="n">
        <v>0</v>
      </c>
      <c r="M80" t="n">
        <v>0</v>
      </c>
      <c r="N80" t="n">
        <v>0</v>
      </c>
      <c r="O80" t="n">
        <v>0</v>
      </c>
      <c r="P80" t="n">
        <v>0</v>
      </c>
      <c r="Q80" t="n">
        <v>0</v>
      </c>
      <c r="R80" s="2" t="inlineStr"/>
    </row>
    <row r="81" ht="15" customHeight="1">
      <c r="A81" t="inlineStr">
        <is>
          <t>A 64199-2021</t>
        </is>
      </c>
      <c r="B81" s="1" t="n">
        <v>44510</v>
      </c>
      <c r="C81" s="1" t="n">
        <v>45472</v>
      </c>
      <c r="D81" t="inlineStr">
        <is>
          <t>VÄSTRA GÖTALANDS LÄN</t>
        </is>
      </c>
      <c r="E81" t="inlineStr">
        <is>
          <t>ALE</t>
        </is>
      </c>
      <c r="G81" t="n">
        <v>5.7</v>
      </c>
      <c r="H81" t="n">
        <v>0</v>
      </c>
      <c r="I81" t="n">
        <v>0</v>
      </c>
      <c r="J81" t="n">
        <v>0</v>
      </c>
      <c r="K81" t="n">
        <v>0</v>
      </c>
      <c r="L81" t="n">
        <v>0</v>
      </c>
      <c r="M81" t="n">
        <v>0</v>
      </c>
      <c r="N81" t="n">
        <v>0</v>
      </c>
      <c r="O81" t="n">
        <v>0</v>
      </c>
      <c r="P81" t="n">
        <v>0</v>
      </c>
      <c r="Q81" t="n">
        <v>0</v>
      </c>
      <c r="R81" s="2" t="inlineStr"/>
    </row>
    <row r="82" ht="15" customHeight="1">
      <c r="A82" t="inlineStr">
        <is>
          <t>A 65226-2021</t>
        </is>
      </c>
      <c r="B82" s="1" t="n">
        <v>44515</v>
      </c>
      <c r="C82" s="1" t="n">
        <v>45472</v>
      </c>
      <c r="D82" t="inlineStr">
        <is>
          <t>VÄSTRA GÖTALANDS LÄN</t>
        </is>
      </c>
      <c r="E82" t="inlineStr">
        <is>
          <t>ALE</t>
        </is>
      </c>
      <c r="G82" t="n">
        <v>0.7</v>
      </c>
      <c r="H82" t="n">
        <v>0</v>
      </c>
      <c r="I82" t="n">
        <v>0</v>
      </c>
      <c r="J82" t="n">
        <v>0</v>
      </c>
      <c r="K82" t="n">
        <v>0</v>
      </c>
      <c r="L82" t="n">
        <v>0</v>
      </c>
      <c r="M82" t="n">
        <v>0</v>
      </c>
      <c r="N82" t="n">
        <v>0</v>
      </c>
      <c r="O82" t="n">
        <v>0</v>
      </c>
      <c r="P82" t="n">
        <v>0</v>
      </c>
      <c r="Q82" t="n">
        <v>0</v>
      </c>
      <c r="R82" s="2" t="inlineStr"/>
    </row>
    <row r="83" ht="15" customHeight="1">
      <c r="A83" t="inlineStr">
        <is>
          <t>A 65222-2021</t>
        </is>
      </c>
      <c r="B83" s="1" t="n">
        <v>44515</v>
      </c>
      <c r="C83" s="1" t="n">
        <v>45472</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66893-2021</t>
        </is>
      </c>
      <c r="B84" s="1" t="n">
        <v>44522</v>
      </c>
      <c r="C84" s="1" t="n">
        <v>45472</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67165-2021</t>
        </is>
      </c>
      <c r="B85" s="1" t="n">
        <v>44523</v>
      </c>
      <c r="C85" s="1" t="n">
        <v>45472</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67160-2021</t>
        </is>
      </c>
      <c r="B86" s="1" t="n">
        <v>44523</v>
      </c>
      <c r="C86" s="1" t="n">
        <v>45472</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72801-2021</t>
        </is>
      </c>
      <c r="B87" s="1" t="n">
        <v>44546</v>
      </c>
      <c r="C87" s="1" t="n">
        <v>45472</v>
      </c>
      <c r="D87" t="inlineStr">
        <is>
          <t>VÄSTRA GÖTALANDS LÄN</t>
        </is>
      </c>
      <c r="E87" t="inlineStr">
        <is>
          <t>ALE</t>
        </is>
      </c>
      <c r="F87" t="inlineStr">
        <is>
          <t>Naturvårdsverket</t>
        </is>
      </c>
      <c r="G87" t="n">
        <v>1.4</v>
      </c>
      <c r="H87" t="n">
        <v>0</v>
      </c>
      <c r="I87" t="n">
        <v>0</v>
      </c>
      <c r="J87" t="n">
        <v>0</v>
      </c>
      <c r="K87" t="n">
        <v>0</v>
      </c>
      <c r="L87" t="n">
        <v>0</v>
      </c>
      <c r="M87" t="n">
        <v>0</v>
      </c>
      <c r="N87" t="n">
        <v>0</v>
      </c>
      <c r="O87" t="n">
        <v>0</v>
      </c>
      <c r="P87" t="n">
        <v>0</v>
      </c>
      <c r="Q87" t="n">
        <v>0</v>
      </c>
      <c r="R87" s="2" t="inlineStr"/>
    </row>
    <row r="88" ht="15" customHeight="1">
      <c r="A88" t="inlineStr">
        <is>
          <t>A 200-2022</t>
        </is>
      </c>
      <c r="B88" s="1" t="n">
        <v>44564</v>
      </c>
      <c r="C88" s="1" t="n">
        <v>45472</v>
      </c>
      <c r="D88" t="inlineStr">
        <is>
          <t>VÄSTRA GÖTALANDS LÄN</t>
        </is>
      </c>
      <c r="E88" t="inlineStr">
        <is>
          <t>ALE</t>
        </is>
      </c>
      <c r="G88" t="n">
        <v>6.8</v>
      </c>
      <c r="H88" t="n">
        <v>0</v>
      </c>
      <c r="I88" t="n">
        <v>0</v>
      </c>
      <c r="J88" t="n">
        <v>0</v>
      </c>
      <c r="K88" t="n">
        <v>0</v>
      </c>
      <c r="L88" t="n">
        <v>0</v>
      </c>
      <c r="M88" t="n">
        <v>0</v>
      </c>
      <c r="N88" t="n">
        <v>0</v>
      </c>
      <c r="O88" t="n">
        <v>0</v>
      </c>
      <c r="P88" t="n">
        <v>0</v>
      </c>
      <c r="Q88" t="n">
        <v>0</v>
      </c>
      <c r="R88" s="2" t="inlineStr"/>
    </row>
    <row r="89" ht="15" customHeight="1">
      <c r="A89" t="inlineStr">
        <is>
          <t>A 1566-2022</t>
        </is>
      </c>
      <c r="B89" s="1" t="n">
        <v>44573</v>
      </c>
      <c r="C89" s="1" t="n">
        <v>45472</v>
      </c>
      <c r="D89" t="inlineStr">
        <is>
          <t>VÄSTRA GÖTALANDS LÄN</t>
        </is>
      </c>
      <c r="E89" t="inlineStr">
        <is>
          <t>ALE</t>
        </is>
      </c>
      <c r="G89" t="n">
        <v>3</v>
      </c>
      <c r="H89" t="n">
        <v>0</v>
      </c>
      <c r="I89" t="n">
        <v>0</v>
      </c>
      <c r="J89" t="n">
        <v>0</v>
      </c>
      <c r="K89" t="n">
        <v>0</v>
      </c>
      <c r="L89" t="n">
        <v>0</v>
      </c>
      <c r="M89" t="n">
        <v>0</v>
      </c>
      <c r="N89" t="n">
        <v>0</v>
      </c>
      <c r="O89" t="n">
        <v>0</v>
      </c>
      <c r="P89" t="n">
        <v>0</v>
      </c>
      <c r="Q89" t="n">
        <v>0</v>
      </c>
      <c r="R89" s="2" t="inlineStr"/>
    </row>
    <row r="90" ht="15" customHeight="1">
      <c r="A90" t="inlineStr">
        <is>
          <t>A 2563-2022</t>
        </is>
      </c>
      <c r="B90" s="1" t="n">
        <v>44580</v>
      </c>
      <c r="C90" s="1" t="n">
        <v>45472</v>
      </c>
      <c r="D90" t="inlineStr">
        <is>
          <t>VÄSTRA GÖTALANDS LÄN</t>
        </is>
      </c>
      <c r="E90" t="inlineStr">
        <is>
          <t>ALE</t>
        </is>
      </c>
      <c r="G90" t="n">
        <v>2.6</v>
      </c>
      <c r="H90" t="n">
        <v>0</v>
      </c>
      <c r="I90" t="n">
        <v>0</v>
      </c>
      <c r="J90" t="n">
        <v>0</v>
      </c>
      <c r="K90" t="n">
        <v>0</v>
      </c>
      <c r="L90" t="n">
        <v>0</v>
      </c>
      <c r="M90" t="n">
        <v>0</v>
      </c>
      <c r="N90" t="n">
        <v>0</v>
      </c>
      <c r="O90" t="n">
        <v>0</v>
      </c>
      <c r="P90" t="n">
        <v>0</v>
      </c>
      <c r="Q90" t="n">
        <v>0</v>
      </c>
      <c r="R90" s="2" t="inlineStr"/>
    </row>
    <row r="91" ht="15" customHeight="1">
      <c r="A91" t="inlineStr">
        <is>
          <t>A 3179-2022</t>
        </is>
      </c>
      <c r="B91" s="1" t="n">
        <v>44582</v>
      </c>
      <c r="C91" s="1" t="n">
        <v>45472</v>
      </c>
      <c r="D91" t="inlineStr">
        <is>
          <t>VÄSTRA GÖTALANDS LÄN</t>
        </is>
      </c>
      <c r="E91" t="inlineStr">
        <is>
          <t>ALE</t>
        </is>
      </c>
      <c r="G91" t="n">
        <v>2.9</v>
      </c>
      <c r="H91" t="n">
        <v>0</v>
      </c>
      <c r="I91" t="n">
        <v>0</v>
      </c>
      <c r="J91" t="n">
        <v>0</v>
      </c>
      <c r="K91" t="n">
        <v>0</v>
      </c>
      <c r="L91" t="n">
        <v>0</v>
      </c>
      <c r="M91" t="n">
        <v>0</v>
      </c>
      <c r="N91" t="n">
        <v>0</v>
      </c>
      <c r="O91" t="n">
        <v>0</v>
      </c>
      <c r="P91" t="n">
        <v>0</v>
      </c>
      <c r="Q91" t="n">
        <v>0</v>
      </c>
      <c r="R91" s="2" t="inlineStr"/>
    </row>
    <row r="92" ht="15" customHeight="1">
      <c r="A92" t="inlineStr">
        <is>
          <t>A 3457-2022</t>
        </is>
      </c>
      <c r="B92" s="1" t="n">
        <v>44585</v>
      </c>
      <c r="C92" s="1" t="n">
        <v>45472</v>
      </c>
      <c r="D92" t="inlineStr">
        <is>
          <t>VÄSTRA GÖTALANDS LÄN</t>
        </is>
      </c>
      <c r="E92" t="inlineStr">
        <is>
          <t>ALE</t>
        </is>
      </c>
      <c r="G92" t="n">
        <v>5.1</v>
      </c>
      <c r="H92" t="n">
        <v>0</v>
      </c>
      <c r="I92" t="n">
        <v>0</v>
      </c>
      <c r="J92" t="n">
        <v>0</v>
      </c>
      <c r="K92" t="n">
        <v>0</v>
      </c>
      <c r="L92" t="n">
        <v>0</v>
      </c>
      <c r="M92" t="n">
        <v>0</v>
      </c>
      <c r="N92" t="n">
        <v>0</v>
      </c>
      <c r="O92" t="n">
        <v>0</v>
      </c>
      <c r="P92" t="n">
        <v>0</v>
      </c>
      <c r="Q92" t="n">
        <v>0</v>
      </c>
      <c r="R92" s="2" t="inlineStr"/>
    </row>
    <row r="93" ht="15" customHeight="1">
      <c r="A93" t="inlineStr">
        <is>
          <t>A 3520-2022</t>
        </is>
      </c>
      <c r="B93" s="1" t="n">
        <v>44585</v>
      </c>
      <c r="C93" s="1" t="n">
        <v>45472</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8431-2022</t>
        </is>
      </c>
      <c r="B94" s="1" t="n">
        <v>44611</v>
      </c>
      <c r="C94" s="1" t="n">
        <v>45472</v>
      </c>
      <c r="D94" t="inlineStr">
        <is>
          <t>VÄSTRA GÖTALANDS LÄN</t>
        </is>
      </c>
      <c r="E94" t="inlineStr">
        <is>
          <t>ALE</t>
        </is>
      </c>
      <c r="G94" t="n">
        <v>2.7</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45472</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45472</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45472</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45472</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45472</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45472</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45472</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45472</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45472</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45472</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45472</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45472</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45472</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45472</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45472</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45472</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45472</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45472</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45472</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45472</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45472</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45472</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45472</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45472</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45472</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45472</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45472</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45472</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45472</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45472</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45472</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45472</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45472</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45472</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45472</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45472</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45472</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45472</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45472</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45472</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45472</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45472</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45472</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45472</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45472</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45472</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45472</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45472</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45472</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45472</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45472</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45472</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45472</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45472</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45472</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45472</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45472</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45472</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45472</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45472</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45472</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45472</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45472</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45472</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45472</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45472</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45472</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45472</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45472</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45472</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45472</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45472</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45472</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45472</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45472</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45472</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45472</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45472</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45472</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45472</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45472</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45472</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45472</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45472</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45472</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45472</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45472</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45472</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45472</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45472</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45472</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45472</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c r="A187" t="inlineStr">
        <is>
          <t>A 18724-2024</t>
        </is>
      </c>
      <c r="B187" s="1" t="n">
        <v>45426</v>
      </c>
      <c r="C187" s="1" t="n">
        <v>45472</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2024-06-29T13:54:43Z</dcterms:created>
  <dcterms:modified xmlns:dcterms="http://purl.org/dc/terms/" xmlns:xsi="http://www.w3.org/2001/XMLSchema-instance" xsi:type="dcterms:W3CDTF">2024-06-29T13:54:44Z</dcterms:modified>
</cp:coreProperties>
</file>