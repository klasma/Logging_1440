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45756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45756</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45756</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45756</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45756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45756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45756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53693-2019</t>
        </is>
      </c>
      <c r="B9" s="1" t="n">
        <v>43749</v>
      </c>
      <c r="C9" s="1" t="n">
        <v>45756</v>
      </c>
      <c r="D9" t="inlineStr">
        <is>
          <t>VÄSTRA GÖTALANDS LÄN</t>
        </is>
      </c>
      <c r="E9" t="inlineStr">
        <is>
          <t>ALE</t>
        </is>
      </c>
      <c r="G9" t="n">
        <v>11.2</v>
      </c>
      <c r="H9" t="n">
        <v>9</v>
      </c>
      <c r="I9" t="n">
        <v>2</v>
      </c>
      <c r="J9" t="n">
        <v>4</v>
      </c>
      <c r="K9" t="n">
        <v>0</v>
      </c>
      <c r="L9" t="n">
        <v>0</v>
      </c>
      <c r="M9" t="n">
        <v>0</v>
      </c>
      <c r="N9" t="n">
        <v>0</v>
      </c>
      <c r="O9" t="n">
        <v>4</v>
      </c>
      <c r="P9" t="n">
        <v>0</v>
      </c>
      <c r="Q9" t="n">
        <v>12</v>
      </c>
      <c r="R9" s="2" t="inlineStr">
        <is>
          <t>Grönhjon
Mindre hackspett
Spillkråka
Talltita
Björksplintborre
Havstulpanlav
Grönsiska
Kungsfågel
Orre
Sparvuggla
Tjäder
Vanlig groda</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39593-2024</t>
        </is>
      </c>
      <c r="B10" s="1" t="n">
        <v>45552</v>
      </c>
      <c r="C10" s="1" t="n">
        <v>45756</v>
      </c>
      <c r="D10" t="inlineStr">
        <is>
          <t>VÄSTRA GÖTALANDS LÄN</t>
        </is>
      </c>
      <c r="E10" t="inlineStr">
        <is>
          <t>ALE</t>
        </is>
      </c>
      <c r="G10" t="n">
        <v>0.7</v>
      </c>
      <c r="H10" t="n">
        <v>3</v>
      </c>
      <c r="I10" t="n">
        <v>8</v>
      </c>
      <c r="J10" t="n">
        <v>2</v>
      </c>
      <c r="K10" t="n">
        <v>0</v>
      </c>
      <c r="L10" t="n">
        <v>0</v>
      </c>
      <c r="M10" t="n">
        <v>0</v>
      </c>
      <c r="N10" t="n">
        <v>0</v>
      </c>
      <c r="O10" t="n">
        <v>2</v>
      </c>
      <c r="P10" t="n">
        <v>0</v>
      </c>
      <c r="Q10" t="n">
        <v>12</v>
      </c>
      <c r="R10" s="2" t="inlineStr">
        <is>
          <t>Grönhjon
Spillkråka
Blåmossa
Bronshjon
Kattfotslav
Kornknutmossa
Smal svampklubba
Stor revmossa
Vedticka
Vågbandad barkbock
Kungsfågel
Vanlig snok</t>
        </is>
      </c>
      <c r="S10">
        <f>HYPERLINK("https://klasma.github.io/Logging_1440/artfynd/A 39593-2024 artfynd.xlsx", "A 39593-2024")</f>
        <v/>
      </c>
      <c r="T10">
        <f>HYPERLINK("https://klasma.github.io/Logging_1440/kartor/A 39593-2024 karta.png", "A 39593-2024")</f>
        <v/>
      </c>
      <c r="V10">
        <f>HYPERLINK("https://klasma.github.io/Logging_1440/klagomål/A 39593-2024 FSC-klagomål.docx", "A 39593-2024")</f>
        <v/>
      </c>
      <c r="W10">
        <f>HYPERLINK("https://klasma.github.io/Logging_1440/klagomålsmail/A 39593-2024 FSC-klagomål mail.docx", "A 39593-2024")</f>
        <v/>
      </c>
      <c r="X10">
        <f>HYPERLINK("https://klasma.github.io/Logging_1440/tillsyn/A 39593-2024 tillsynsbegäran.docx", "A 39593-2024")</f>
        <v/>
      </c>
      <c r="Y10">
        <f>HYPERLINK("https://klasma.github.io/Logging_1440/tillsynsmail/A 39593-2024 tillsynsbegäran mail.docx", "A 39593-2024")</f>
        <v/>
      </c>
      <c r="Z10">
        <f>HYPERLINK("https://klasma.github.io/Logging_1440/fåglar/A 39593-2024 prioriterade fågelarter.docx", "A 39593-2024")</f>
        <v/>
      </c>
    </row>
    <row r="11" ht="15" customHeight="1">
      <c r="A11" t="inlineStr">
        <is>
          <t>A 41294-2024</t>
        </is>
      </c>
      <c r="B11" s="1" t="n">
        <v>45559</v>
      </c>
      <c r="C11" s="1" t="n">
        <v>45756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45756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45756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45756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45756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45756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45756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45756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45756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45756</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45756</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45756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45756</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45756</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45756</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45756</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45756</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45756</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45756</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45756</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45756</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45756</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45756</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45756</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45756</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45756</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45756</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45756</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45756</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45756</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45756</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3338-2024</t>
        </is>
      </c>
      <c r="B42" s="1" t="n">
        <v>45317</v>
      </c>
      <c r="C42" s="1" t="n">
        <v>45756</v>
      </c>
      <c r="D42" t="inlineStr">
        <is>
          <t>VÄSTRA GÖTALANDS LÄN</t>
        </is>
      </c>
      <c r="E42" t="inlineStr">
        <is>
          <t>ALE</t>
        </is>
      </c>
      <c r="G42" t="n">
        <v>3.6</v>
      </c>
      <c r="H42" t="n">
        <v>1</v>
      </c>
      <c r="I42" t="n">
        <v>0</v>
      </c>
      <c r="J42" t="n">
        <v>0</v>
      </c>
      <c r="K42" t="n">
        <v>0</v>
      </c>
      <c r="L42" t="n">
        <v>0</v>
      </c>
      <c r="M42" t="n">
        <v>0</v>
      </c>
      <c r="N42" t="n">
        <v>0</v>
      </c>
      <c r="O42" t="n">
        <v>0</v>
      </c>
      <c r="P42" t="n">
        <v>0</v>
      </c>
      <c r="Q42" t="n">
        <v>1</v>
      </c>
      <c r="R42" s="2" t="inlineStr">
        <is>
          <t>Vanlig padda</t>
        </is>
      </c>
      <c r="S42">
        <f>HYPERLINK("https://klasma.github.io/Logging_1440/artfynd/A 3338-2024 artfynd.xlsx", "A 3338-2024")</f>
        <v/>
      </c>
      <c r="T42">
        <f>HYPERLINK("https://klasma.github.io/Logging_1440/kartor/A 3338-2024 karta.png", "A 3338-2024")</f>
        <v/>
      </c>
      <c r="V42">
        <f>HYPERLINK("https://klasma.github.io/Logging_1440/klagomål/A 3338-2024 FSC-klagomål.docx", "A 3338-2024")</f>
        <v/>
      </c>
      <c r="W42">
        <f>HYPERLINK("https://klasma.github.io/Logging_1440/klagomålsmail/A 3338-2024 FSC-klagomål mail.docx", "A 3338-2024")</f>
        <v/>
      </c>
      <c r="X42">
        <f>HYPERLINK("https://klasma.github.io/Logging_1440/tillsyn/A 3338-2024 tillsynsbegäran.docx", "A 3338-2024")</f>
        <v/>
      </c>
      <c r="Y42">
        <f>HYPERLINK("https://klasma.github.io/Logging_1440/tillsynsmail/A 3338-2024 tillsynsbegäran mail.docx", "A 3338-2024")</f>
        <v/>
      </c>
    </row>
    <row r="43" ht="15" customHeight="1">
      <c r="A43" t="inlineStr">
        <is>
          <t>A 12982-2024</t>
        </is>
      </c>
      <c r="B43" s="1" t="n">
        <v>45385</v>
      </c>
      <c r="C43" s="1" t="n">
        <v>45756</v>
      </c>
      <c r="D43" t="inlineStr">
        <is>
          <t>VÄSTRA GÖTALANDS LÄN</t>
        </is>
      </c>
      <c r="E43" t="inlineStr">
        <is>
          <t>ALE</t>
        </is>
      </c>
      <c r="G43" t="n">
        <v>3.3</v>
      </c>
      <c r="H43" t="n">
        <v>1</v>
      </c>
      <c r="I43" t="n">
        <v>0</v>
      </c>
      <c r="J43" t="n">
        <v>0</v>
      </c>
      <c r="K43" t="n">
        <v>0</v>
      </c>
      <c r="L43" t="n">
        <v>0</v>
      </c>
      <c r="M43" t="n">
        <v>0</v>
      </c>
      <c r="N43" t="n">
        <v>0</v>
      </c>
      <c r="O43" t="n">
        <v>0</v>
      </c>
      <c r="P43" t="n">
        <v>0</v>
      </c>
      <c r="Q43" t="n">
        <v>1</v>
      </c>
      <c r="R43" s="2" t="inlineStr">
        <is>
          <t>Revlummer</t>
        </is>
      </c>
      <c r="S43">
        <f>HYPERLINK("https://klasma.github.io/Logging_1440/artfynd/A 12982-2024 artfynd.xlsx", "A 12982-2024")</f>
        <v/>
      </c>
      <c r="T43">
        <f>HYPERLINK("https://klasma.github.io/Logging_1440/kartor/A 12982-2024 karta.png", "A 12982-2024")</f>
        <v/>
      </c>
      <c r="V43">
        <f>HYPERLINK("https://klasma.github.io/Logging_1440/klagomål/A 12982-2024 FSC-klagomål.docx", "A 12982-2024")</f>
        <v/>
      </c>
      <c r="W43">
        <f>HYPERLINK("https://klasma.github.io/Logging_1440/klagomålsmail/A 12982-2024 FSC-klagomål mail.docx", "A 12982-2024")</f>
        <v/>
      </c>
      <c r="X43">
        <f>HYPERLINK("https://klasma.github.io/Logging_1440/tillsyn/A 12982-2024 tillsynsbegäran.docx", "A 12982-2024")</f>
        <v/>
      </c>
      <c r="Y43">
        <f>HYPERLINK("https://klasma.github.io/Logging_1440/tillsynsmail/A 12982-2024 tillsynsbegäran mail.docx", "A 12982-2024")</f>
        <v/>
      </c>
    </row>
    <row r="44" ht="15" customHeight="1">
      <c r="A44" t="inlineStr">
        <is>
          <t>A 26493-2024</t>
        </is>
      </c>
      <c r="B44" s="1" t="n">
        <v>45469</v>
      </c>
      <c r="C44" s="1" t="n">
        <v>45756</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5040-2025</t>
        </is>
      </c>
      <c r="B45" s="1" t="n">
        <v>45691</v>
      </c>
      <c r="C45" s="1" t="n">
        <v>45756</v>
      </c>
      <c r="D45" t="inlineStr">
        <is>
          <t>VÄSTRA GÖTALANDS LÄN</t>
        </is>
      </c>
      <c r="E45" t="inlineStr">
        <is>
          <t>ALE</t>
        </is>
      </c>
      <c r="G45" t="n">
        <v>3</v>
      </c>
      <c r="H45" t="n">
        <v>1</v>
      </c>
      <c r="I45" t="n">
        <v>0</v>
      </c>
      <c r="J45" t="n">
        <v>1</v>
      </c>
      <c r="K45" t="n">
        <v>0</v>
      </c>
      <c r="L45" t="n">
        <v>0</v>
      </c>
      <c r="M45" t="n">
        <v>0</v>
      </c>
      <c r="N45" t="n">
        <v>0</v>
      </c>
      <c r="O45" t="n">
        <v>1</v>
      </c>
      <c r="P45" t="n">
        <v>0</v>
      </c>
      <c r="Q45" t="n">
        <v>1</v>
      </c>
      <c r="R45" s="2" t="inlineStr">
        <is>
          <t>Spillkråka</t>
        </is>
      </c>
      <c r="S45">
        <f>HYPERLINK("https://klasma.github.io/Logging_1440/artfynd/A 5040-2025 artfynd.xlsx", "A 5040-2025")</f>
        <v/>
      </c>
      <c r="T45">
        <f>HYPERLINK("https://klasma.github.io/Logging_1440/kartor/A 5040-2025 karta.png", "A 5040-2025")</f>
        <v/>
      </c>
      <c r="V45">
        <f>HYPERLINK("https://klasma.github.io/Logging_1440/klagomål/A 5040-2025 FSC-klagomål.docx", "A 5040-2025")</f>
        <v/>
      </c>
      <c r="W45">
        <f>HYPERLINK("https://klasma.github.io/Logging_1440/klagomålsmail/A 5040-2025 FSC-klagomål mail.docx", "A 5040-2025")</f>
        <v/>
      </c>
      <c r="X45">
        <f>HYPERLINK("https://klasma.github.io/Logging_1440/tillsyn/A 5040-2025 tillsynsbegäran.docx", "A 5040-2025")</f>
        <v/>
      </c>
      <c r="Y45">
        <f>HYPERLINK("https://klasma.github.io/Logging_1440/tillsynsmail/A 5040-2025 tillsynsbegäran mail.docx", "A 5040-2025")</f>
        <v/>
      </c>
      <c r="Z45">
        <f>HYPERLINK("https://klasma.github.io/Logging_1440/fåglar/A 5040-2025 prioriterade fågelarter.docx", "A 5040-2025")</f>
        <v/>
      </c>
    </row>
    <row r="46" ht="15" customHeight="1">
      <c r="A46" t="inlineStr">
        <is>
          <t>A 9832-2025</t>
        </is>
      </c>
      <c r="B46" s="1" t="n">
        <v>45716</v>
      </c>
      <c r="C46" s="1" t="n">
        <v>45756</v>
      </c>
      <c r="D46" t="inlineStr">
        <is>
          <t>VÄSTRA GÖTALANDS LÄN</t>
        </is>
      </c>
      <c r="E46" t="inlineStr">
        <is>
          <t>ALE</t>
        </is>
      </c>
      <c r="G46" t="n">
        <v>2.8</v>
      </c>
      <c r="H46" t="n">
        <v>1</v>
      </c>
      <c r="I46" t="n">
        <v>0</v>
      </c>
      <c r="J46" t="n">
        <v>1</v>
      </c>
      <c r="K46" t="n">
        <v>0</v>
      </c>
      <c r="L46" t="n">
        <v>0</v>
      </c>
      <c r="M46" t="n">
        <v>0</v>
      </c>
      <c r="N46" t="n">
        <v>0</v>
      </c>
      <c r="O46" t="n">
        <v>1</v>
      </c>
      <c r="P46" t="n">
        <v>0</v>
      </c>
      <c r="Q46" t="n">
        <v>1</v>
      </c>
      <c r="R46" s="2" t="inlineStr">
        <is>
          <t>Spillkråka</t>
        </is>
      </c>
      <c r="S46">
        <f>HYPERLINK("https://klasma.github.io/Logging_141440/artfynd/A 9832-2025 artfynd.xlsx", "A 9832-2025")</f>
        <v/>
      </c>
      <c r="T46">
        <f>HYPERLINK("https://klasma.github.io/Logging_141440/kartor/A 9832-2025 karta.png", "A 9832-2025")</f>
        <v/>
      </c>
      <c r="V46">
        <f>HYPERLINK("https://klasma.github.io/Logging_141440/klagomål/A 9832-2025 FSC-klagomål.docx", "A 9832-2025")</f>
        <v/>
      </c>
      <c r="W46">
        <f>HYPERLINK("https://klasma.github.io/Logging_141440/klagomålsmail/A 9832-2025 FSC-klagomål mail.docx", "A 9832-2025")</f>
        <v/>
      </c>
      <c r="X46">
        <f>HYPERLINK("https://klasma.github.io/Logging_141440/tillsyn/A 9832-2025 tillsynsbegäran.docx", "A 9832-2025")</f>
        <v/>
      </c>
      <c r="Y46">
        <f>HYPERLINK("https://klasma.github.io/Logging_141440/tillsynsmail/A 9832-2025 tillsynsbegäran mail.docx", "A 9832-2025")</f>
        <v/>
      </c>
      <c r="Z46">
        <f>HYPERLINK("https://klasma.github.io/Logging_141440/fåglar/A 9832-2025 prioriterade fågelarter.docx", "A 9832-2025")</f>
        <v/>
      </c>
    </row>
    <row r="47" ht="15" customHeight="1">
      <c r="A47" t="inlineStr">
        <is>
          <t>A 12084-2025</t>
        </is>
      </c>
      <c r="B47" s="1" t="n">
        <v>45728</v>
      </c>
      <c r="C47" s="1" t="n">
        <v>45756</v>
      </c>
      <c r="D47" t="inlineStr">
        <is>
          <t>VÄSTRA GÖTALANDS LÄN</t>
        </is>
      </c>
      <c r="E47" t="inlineStr">
        <is>
          <t>ALE</t>
        </is>
      </c>
      <c r="G47" t="n">
        <v>2.4</v>
      </c>
      <c r="H47" t="n">
        <v>1</v>
      </c>
      <c r="I47" t="n">
        <v>0</v>
      </c>
      <c r="J47" t="n">
        <v>1</v>
      </c>
      <c r="K47" t="n">
        <v>0</v>
      </c>
      <c r="L47" t="n">
        <v>0</v>
      </c>
      <c r="M47" t="n">
        <v>0</v>
      </c>
      <c r="N47" t="n">
        <v>0</v>
      </c>
      <c r="O47" t="n">
        <v>1</v>
      </c>
      <c r="P47" t="n">
        <v>0</v>
      </c>
      <c r="Q47" t="n">
        <v>1</v>
      </c>
      <c r="R47" s="2" t="inlineStr">
        <is>
          <t>Spillkråka</t>
        </is>
      </c>
      <c r="S47">
        <f>HYPERLINK("https://klasma.github.io/Logging_141440/artfynd/A 12084-2025 artfynd.xlsx", "A 12084-2025")</f>
        <v/>
      </c>
      <c r="T47">
        <f>HYPERLINK("https://klasma.github.io/Logging_141440/kartor/A 12084-2025 karta.png", "A 12084-2025")</f>
        <v/>
      </c>
      <c r="V47">
        <f>HYPERLINK("https://klasma.github.io/Logging_141440/klagomål/A 12084-2025 FSC-klagomål.docx", "A 12084-2025")</f>
        <v/>
      </c>
      <c r="W47">
        <f>HYPERLINK("https://klasma.github.io/Logging_141440/klagomålsmail/A 12084-2025 FSC-klagomål mail.docx", "A 12084-2025")</f>
        <v/>
      </c>
      <c r="X47">
        <f>HYPERLINK("https://klasma.github.io/Logging_141440/tillsyn/A 12084-2025 tillsynsbegäran.docx", "A 12084-2025")</f>
        <v/>
      </c>
      <c r="Y47">
        <f>HYPERLINK("https://klasma.github.io/Logging_141440/tillsynsmail/A 12084-2025 tillsynsbegäran mail.docx", "A 12084-2025")</f>
        <v/>
      </c>
      <c r="Z47">
        <f>HYPERLINK("https://klasma.github.io/Logging_141440/fåglar/A 12084-2025 prioriterade fågelarter.docx", "A 12084-2025")</f>
        <v/>
      </c>
    </row>
    <row r="48" ht="15" customHeight="1">
      <c r="A48" t="inlineStr">
        <is>
          <t>A 13380-2025</t>
        </is>
      </c>
      <c r="B48" s="1" t="n">
        <v>45735</v>
      </c>
      <c r="C48" s="1" t="n">
        <v>45756</v>
      </c>
      <c r="D48" t="inlineStr">
        <is>
          <t>VÄSTRA GÖTALANDS LÄN</t>
        </is>
      </c>
      <c r="E48" t="inlineStr">
        <is>
          <t>ALE</t>
        </is>
      </c>
      <c r="G48" t="n">
        <v>1.8</v>
      </c>
      <c r="H48" t="n">
        <v>1</v>
      </c>
      <c r="I48" t="n">
        <v>0</v>
      </c>
      <c r="J48" t="n">
        <v>1</v>
      </c>
      <c r="K48" t="n">
        <v>0</v>
      </c>
      <c r="L48" t="n">
        <v>0</v>
      </c>
      <c r="M48" t="n">
        <v>0</v>
      </c>
      <c r="N48" t="n">
        <v>0</v>
      </c>
      <c r="O48" t="n">
        <v>1</v>
      </c>
      <c r="P48" t="n">
        <v>0</v>
      </c>
      <c r="Q48" t="n">
        <v>1</v>
      </c>
      <c r="R48" s="2" t="inlineStr">
        <is>
          <t>Spillkråka</t>
        </is>
      </c>
      <c r="S48">
        <f>HYPERLINK("https://klasma.github.io/Logging_141440/artfynd/A 13380-2025 artfynd.xlsx", "A 13380-2025")</f>
        <v/>
      </c>
      <c r="T48">
        <f>HYPERLINK("https://klasma.github.io/Logging_141440/kartor/A 13380-2025 karta.png", "A 13380-2025")</f>
        <v/>
      </c>
      <c r="V48">
        <f>HYPERLINK("https://klasma.github.io/Logging_141440/klagomål/A 13380-2025 FSC-klagomål.docx", "A 13380-2025")</f>
        <v/>
      </c>
      <c r="W48">
        <f>HYPERLINK("https://klasma.github.io/Logging_141440/klagomålsmail/A 13380-2025 FSC-klagomål mail.docx", "A 13380-2025")</f>
        <v/>
      </c>
      <c r="X48">
        <f>HYPERLINK("https://klasma.github.io/Logging_141440/tillsyn/A 13380-2025 tillsynsbegäran.docx", "A 13380-2025")</f>
        <v/>
      </c>
      <c r="Y48">
        <f>HYPERLINK("https://klasma.github.io/Logging_141440/tillsynsmail/A 13380-2025 tillsynsbegäran mail.docx", "A 13380-2025")</f>
        <v/>
      </c>
      <c r="Z48">
        <f>HYPERLINK("https://klasma.github.io/Logging_141440/fåglar/A 13380-2025 prioriterade fågelarter.docx", "A 13380-2025")</f>
        <v/>
      </c>
    </row>
    <row r="49" ht="15" customHeight="1">
      <c r="A49" t="inlineStr">
        <is>
          <t>A 13902-2025</t>
        </is>
      </c>
      <c r="B49" s="1" t="n">
        <v>45737</v>
      </c>
      <c r="C49" s="1" t="n">
        <v>45756</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45756</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45756</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45756</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45756</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45756</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45756</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45756</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45756</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45756</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45756</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45756</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45756</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45756</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45756</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45756</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45756</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45756</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45756</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45756</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45756</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45756</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45756</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45756</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45756</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45756</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45756</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45756</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45756</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45756</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45756</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45756</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45756</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45756</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45756</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45756</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45756</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45756</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45756</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45756</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45756</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45756</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45756</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45756</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45756</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45756</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45756</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45756</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45756</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45756</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45756</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45756</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45756</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45756</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45756</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45756</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45756</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45756</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45756</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45756</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45756</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45756</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45756</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45756</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45756</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45756</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45756</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45756</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45756</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45756</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45756</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45756</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45756</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45756</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45756</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45756</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45756</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45756</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45756</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45756</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45756</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45756</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45756</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45756</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45756</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45756</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45756</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45756</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45756</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45756</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45756</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45756</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45756</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45756</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45756</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45756</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45756</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45756</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45756</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45756</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45756</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45756</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45756</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45756</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45756</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45756</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45756</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45756</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45756</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45756</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45756</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45756</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45756</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45756</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45756</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45756</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45756</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45756</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45756</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45756</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45756</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45756</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45756</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45756</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45756</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45756</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45756</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45756</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45756</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45756</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45756</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45756</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45756</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45756</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45756</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45756</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45756</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45756</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45756</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45756</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45756</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45756</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45756</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45756</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45756</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45756</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45756</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45756</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45756</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45756</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45756</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45756</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45756</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45756</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45756</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45756</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45756</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45756</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45756</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45756</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45756</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45756</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45756</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45756</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45756</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45756</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45756</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45756</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45756</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45756</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45756</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45756</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45756</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45756</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45756</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45756</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45756</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45756</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45756</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45756</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45756</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45756</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45756</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45756</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45756</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45756</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45756</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45756</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45756</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45756</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45756</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2025-04-09T17:16:19Z</dcterms:created>
  <dcterms:modified xmlns:dcterms="http://purl.org/dc/terms/" xmlns:xsi="http://www.w3.org/2001/XMLSchema-instance" xsi:type="dcterms:W3CDTF">2025-04-09T17:16:19Z</dcterms:modified>
</cp:coreProperties>
</file>