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45885</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45885</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45885</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45885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45885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45885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45885</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45885</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45885</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45885</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45885</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7903-2024</t>
        </is>
      </c>
      <c r="B15" s="1" t="n">
        <v>45350</v>
      </c>
      <c r="C15" s="1" t="n">
        <v>45885</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19934-2025</t>
        </is>
      </c>
      <c r="B16" s="1" t="n">
        <v>45771</v>
      </c>
      <c r="C16" s="1" t="n">
        <v>45885</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26491-2024</t>
        </is>
      </c>
      <c r="B17" s="1" t="n">
        <v>45469</v>
      </c>
      <c r="C17" s="1" t="n">
        <v>45885</v>
      </c>
      <c r="D17" t="inlineStr">
        <is>
          <t>VÄSTRA GÖTALANDS LÄN</t>
        </is>
      </c>
      <c r="E17" t="inlineStr">
        <is>
          <t>ALE</t>
        </is>
      </c>
      <c r="G17" t="n">
        <v>5.3</v>
      </c>
      <c r="H17" t="n">
        <v>1</v>
      </c>
      <c r="I17" t="n">
        <v>3</v>
      </c>
      <c r="J17" t="n">
        <v>1</v>
      </c>
      <c r="K17" t="n">
        <v>0</v>
      </c>
      <c r="L17" t="n">
        <v>0</v>
      </c>
      <c r="M17" t="n">
        <v>0</v>
      </c>
      <c r="N17" t="n">
        <v>0</v>
      </c>
      <c r="O17" t="n">
        <v>1</v>
      </c>
      <c r="P17" t="n">
        <v>0</v>
      </c>
      <c r="Q17" t="n">
        <v>4</v>
      </c>
      <c r="R17" s="2" t="inlineStr">
        <is>
          <t>Duvhök
Gulpudrad spiklav
Rostfläck
Sotlav</t>
        </is>
      </c>
      <c r="S17">
        <f>HYPERLINK("https://klasma.github.io/Logging_1440/artfynd/A 26491-2024 artfynd.xlsx", "A 26491-2024")</f>
        <v/>
      </c>
      <c r="T17">
        <f>HYPERLINK("https://klasma.github.io/Logging_1440/kartor/A 26491-2024 karta.png", "A 26491-2024")</f>
        <v/>
      </c>
      <c r="V17">
        <f>HYPERLINK("https://klasma.github.io/Logging_1440/klagomål/A 26491-2024 FSC-klagomål.docx", "A 26491-2024")</f>
        <v/>
      </c>
      <c r="W17">
        <f>HYPERLINK("https://klasma.github.io/Logging_1440/klagomålsmail/A 26491-2024 FSC-klagomål mail.docx", "A 26491-2024")</f>
        <v/>
      </c>
      <c r="X17">
        <f>HYPERLINK("https://klasma.github.io/Logging_1440/tillsyn/A 26491-2024 tillsynsbegäran.docx", "A 26491-2024")</f>
        <v/>
      </c>
      <c r="Y17">
        <f>HYPERLINK("https://klasma.github.io/Logging_1440/tillsynsmail/A 26491-2024 tillsynsbegäran mail.docx", "A 26491-2024")</f>
        <v/>
      </c>
      <c r="Z17">
        <f>HYPERLINK("https://klasma.github.io/Logging_1440/fåglar/A 26491-2024 prioriterade fågelarter.docx", "A 26491-2024")</f>
        <v/>
      </c>
    </row>
    <row r="18" ht="15" customHeight="1">
      <c r="A18" t="inlineStr">
        <is>
          <t>A 8955-2025</t>
        </is>
      </c>
      <c r="B18" s="1" t="n">
        <v>45713.46528935185</v>
      </c>
      <c r="C18" s="1" t="n">
        <v>45885</v>
      </c>
      <c r="D18" t="inlineStr">
        <is>
          <t>VÄSTRA GÖTALANDS LÄN</t>
        </is>
      </c>
      <c r="E18" t="inlineStr">
        <is>
          <t>ALE</t>
        </is>
      </c>
      <c r="G18" t="n">
        <v>1</v>
      </c>
      <c r="H18" t="n">
        <v>2</v>
      </c>
      <c r="I18" t="n">
        <v>0</v>
      </c>
      <c r="J18" t="n">
        <v>1</v>
      </c>
      <c r="K18" t="n">
        <v>0</v>
      </c>
      <c r="L18" t="n">
        <v>0</v>
      </c>
      <c r="M18" t="n">
        <v>0</v>
      </c>
      <c r="N18" t="n">
        <v>0</v>
      </c>
      <c r="O18" t="n">
        <v>1</v>
      </c>
      <c r="P18" t="n">
        <v>0</v>
      </c>
      <c r="Q18" t="n">
        <v>2</v>
      </c>
      <c r="R18" s="2" t="inlineStr">
        <is>
          <t>Spillkråka
Revlummer</t>
        </is>
      </c>
      <c r="S18">
        <f>HYPERLINK("https://klasma.github.io/Logging_1440/artfynd/A 8955-2025 artfynd.xlsx", "A 8955-2025")</f>
        <v/>
      </c>
      <c r="T18">
        <f>HYPERLINK("https://klasma.github.io/Logging_1440/kartor/A 8955-2025 karta.png", "A 8955-2025")</f>
        <v/>
      </c>
      <c r="V18">
        <f>HYPERLINK("https://klasma.github.io/Logging_1440/klagomål/A 8955-2025 FSC-klagomål.docx", "A 8955-2025")</f>
        <v/>
      </c>
      <c r="W18">
        <f>HYPERLINK("https://klasma.github.io/Logging_1440/klagomålsmail/A 8955-2025 FSC-klagomål mail.docx", "A 8955-2025")</f>
        <v/>
      </c>
      <c r="X18">
        <f>HYPERLINK("https://klasma.github.io/Logging_1440/tillsyn/A 8955-2025 tillsynsbegäran.docx", "A 8955-2025")</f>
        <v/>
      </c>
      <c r="Y18">
        <f>HYPERLINK("https://klasma.github.io/Logging_1440/tillsynsmail/A 8955-2025 tillsynsbegäran mail.docx", "A 8955-2025")</f>
        <v/>
      </c>
      <c r="Z18">
        <f>HYPERLINK("https://klasma.github.io/Logging_1440/fåglar/A 8955-2025 prioriterade fågelarter.docx", "A 8955-2025")</f>
        <v/>
      </c>
    </row>
    <row r="19" ht="15" customHeight="1">
      <c r="A19" t="inlineStr">
        <is>
          <t>A 380-2025</t>
        </is>
      </c>
      <c r="B19" s="1" t="n">
        <v>45662.43456018518</v>
      </c>
      <c r="C19" s="1" t="n">
        <v>45885</v>
      </c>
      <c r="D19" t="inlineStr">
        <is>
          <t>VÄSTRA GÖTALANDS LÄN</t>
        </is>
      </c>
      <c r="E19" t="inlineStr">
        <is>
          <t>ALE</t>
        </is>
      </c>
      <c r="G19" t="n">
        <v>8.6</v>
      </c>
      <c r="H19" t="n">
        <v>1</v>
      </c>
      <c r="I19" t="n">
        <v>1</v>
      </c>
      <c r="J19" t="n">
        <v>1</v>
      </c>
      <c r="K19" t="n">
        <v>0</v>
      </c>
      <c r="L19" t="n">
        <v>0</v>
      </c>
      <c r="M19" t="n">
        <v>0</v>
      </c>
      <c r="N19" t="n">
        <v>0</v>
      </c>
      <c r="O19" t="n">
        <v>1</v>
      </c>
      <c r="P19" t="n">
        <v>0</v>
      </c>
      <c r="Q19" t="n">
        <v>2</v>
      </c>
      <c r="R19" s="2" t="inlineStr">
        <is>
          <t>Spillkråka
Blåmossa</t>
        </is>
      </c>
      <c r="S19">
        <f>HYPERLINK("https://klasma.github.io/Logging_1440/artfynd/A 380-2025 artfynd.xlsx", "A 380-2025")</f>
        <v/>
      </c>
      <c r="T19">
        <f>HYPERLINK("https://klasma.github.io/Logging_1440/kartor/A 380-2025 karta.png", "A 380-2025")</f>
        <v/>
      </c>
      <c r="V19">
        <f>HYPERLINK("https://klasma.github.io/Logging_1440/klagomål/A 380-2025 FSC-klagomål.docx", "A 380-2025")</f>
        <v/>
      </c>
      <c r="W19">
        <f>HYPERLINK("https://klasma.github.io/Logging_1440/klagomålsmail/A 380-2025 FSC-klagomål mail.docx", "A 380-2025")</f>
        <v/>
      </c>
      <c r="X19">
        <f>HYPERLINK("https://klasma.github.io/Logging_1440/tillsyn/A 380-2025 tillsynsbegäran.docx", "A 380-2025")</f>
        <v/>
      </c>
      <c r="Y19">
        <f>HYPERLINK("https://klasma.github.io/Logging_1440/tillsynsmail/A 380-2025 tillsynsbegäran mail.docx", "A 380-2025")</f>
        <v/>
      </c>
      <c r="Z19">
        <f>HYPERLINK("https://klasma.github.io/Logging_1440/fåglar/A 380-2025 prioriterade fågelarter.docx", "A 380-2025")</f>
        <v/>
      </c>
    </row>
    <row r="20" ht="15" customHeight="1">
      <c r="A20" t="inlineStr">
        <is>
          <t>A 58954-2022</t>
        </is>
      </c>
      <c r="B20" s="1" t="n">
        <v>44903</v>
      </c>
      <c r="C20" s="1" t="n">
        <v>45885</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45885</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45885</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13380-2025</t>
        </is>
      </c>
      <c r="B23" s="1" t="n">
        <v>45735.6765162037</v>
      </c>
      <c r="C23" s="1" t="n">
        <v>45885</v>
      </c>
      <c r="D23" t="inlineStr">
        <is>
          <t>VÄSTRA GÖTALANDS LÄN</t>
        </is>
      </c>
      <c r="E23" t="inlineStr">
        <is>
          <t>ALE</t>
        </is>
      </c>
      <c r="G23" t="n">
        <v>1.8</v>
      </c>
      <c r="H23" t="n">
        <v>2</v>
      </c>
      <c r="I23" t="n">
        <v>0</v>
      </c>
      <c r="J23" t="n">
        <v>2</v>
      </c>
      <c r="K23" t="n">
        <v>0</v>
      </c>
      <c r="L23" t="n">
        <v>0</v>
      </c>
      <c r="M23" t="n">
        <v>0</v>
      </c>
      <c r="N23" t="n">
        <v>0</v>
      </c>
      <c r="O23" t="n">
        <v>2</v>
      </c>
      <c r="P23" t="n">
        <v>0</v>
      </c>
      <c r="Q23" t="n">
        <v>2</v>
      </c>
      <c r="R23" s="2" t="inlineStr">
        <is>
          <t>Entita
Spillkråka</t>
        </is>
      </c>
      <c r="S23">
        <f>HYPERLINK("https://klasma.github.io/Logging_1440/artfynd/A 13380-2025 artfynd.xlsx", "A 13380-2025")</f>
        <v/>
      </c>
      <c r="T23">
        <f>HYPERLINK("https://klasma.github.io/Logging_1440/kartor/A 13380-2025 karta.png", "A 13380-2025")</f>
        <v/>
      </c>
      <c r="V23">
        <f>HYPERLINK("https://klasma.github.io/Logging_1440/klagomål/A 13380-2025 FSC-klagomål.docx", "A 13380-2025")</f>
        <v/>
      </c>
      <c r="W23">
        <f>HYPERLINK("https://klasma.github.io/Logging_1440/klagomålsmail/A 13380-2025 FSC-klagomål mail.docx", "A 13380-2025")</f>
        <v/>
      </c>
      <c r="X23">
        <f>HYPERLINK("https://klasma.github.io/Logging_1440/tillsyn/A 13380-2025 tillsynsbegäran.docx", "A 13380-2025")</f>
        <v/>
      </c>
      <c r="Y23">
        <f>HYPERLINK("https://klasma.github.io/Logging_1440/tillsynsmail/A 13380-2025 tillsynsbegäran mail.docx", "A 13380-2025")</f>
        <v/>
      </c>
      <c r="Z23">
        <f>HYPERLINK("https://klasma.github.io/Logging_1440/fåglar/A 13380-2025 prioriterade fågelarter.docx", "A 13380-2025")</f>
        <v/>
      </c>
    </row>
    <row r="24" ht="15" customHeight="1">
      <c r="A24" t="inlineStr">
        <is>
          <t>A 20586-2023</t>
        </is>
      </c>
      <c r="B24" s="1" t="n">
        <v>45057</v>
      </c>
      <c r="C24" s="1" t="n">
        <v>45885</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20586-2023 artfynd.xlsx", "A 20586-2023")</f>
        <v/>
      </c>
      <c r="T24">
        <f>HYPERLINK("https://klasma.github.io/Logging_1440/kartor/A 20586-2023 karta.png", "A 20586-2023")</f>
        <v/>
      </c>
      <c r="V24">
        <f>HYPERLINK("https://klasma.github.io/Logging_1440/klagomål/A 20586-2023 FSC-klagomål.docx", "A 20586-2023")</f>
        <v/>
      </c>
      <c r="W24">
        <f>HYPERLINK("https://klasma.github.io/Logging_1440/klagomålsmail/A 20586-2023 FSC-klagomål mail.docx", "A 20586-2023")</f>
        <v/>
      </c>
      <c r="X24">
        <f>HYPERLINK("https://klasma.github.io/Logging_1440/tillsyn/A 20586-2023 tillsynsbegäran.docx", "A 20586-2023")</f>
        <v/>
      </c>
      <c r="Y24">
        <f>HYPERLINK("https://klasma.github.io/Logging_1440/tillsynsmail/A 20586-2023 tillsynsbegäran mail.docx", "A 20586-2023")</f>
        <v/>
      </c>
      <c r="Z24">
        <f>HYPERLINK("https://klasma.github.io/Logging_1440/fåglar/A 20586-2023 prioriterade fågelarter.docx", "A 20586-2023")</f>
        <v/>
      </c>
    </row>
    <row r="25" ht="15" customHeight="1">
      <c r="A25" t="inlineStr">
        <is>
          <t>A 16534-2025</t>
        </is>
      </c>
      <c r="B25" s="1" t="n">
        <v>45751.65315972222</v>
      </c>
      <c r="C25" s="1" t="n">
        <v>45885</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63569-2023</t>
        </is>
      </c>
      <c r="B26" s="1" t="n">
        <v>45275</v>
      </c>
      <c r="C26" s="1" t="n">
        <v>45885</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26493-2024</t>
        </is>
      </c>
      <c r="B27" s="1" t="n">
        <v>45469</v>
      </c>
      <c r="C27" s="1" t="n">
        <v>45885</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45885</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45885</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45885</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45885</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45885</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45885</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45885</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45885</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45885</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45885</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45885</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45885</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45885</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45885</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45885</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45885</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45885</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45885</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20285-2022</t>
        </is>
      </c>
      <c r="B46" s="1" t="n">
        <v>44698.76347222222</v>
      </c>
      <c r="C46" s="1" t="n">
        <v>45885</v>
      </c>
      <c r="D46" t="inlineStr">
        <is>
          <t>VÄSTRA GÖTALANDS LÄN</t>
        </is>
      </c>
      <c r="E46" t="inlineStr">
        <is>
          <t>ALE</t>
        </is>
      </c>
      <c r="G46" t="n">
        <v>1.8</v>
      </c>
      <c r="H46" t="n">
        <v>0</v>
      </c>
      <c r="I46" t="n">
        <v>0</v>
      </c>
      <c r="J46" t="n">
        <v>0</v>
      </c>
      <c r="K46" t="n">
        <v>0</v>
      </c>
      <c r="L46" t="n">
        <v>0</v>
      </c>
      <c r="M46" t="n">
        <v>0</v>
      </c>
      <c r="N46" t="n">
        <v>0</v>
      </c>
      <c r="O46" t="n">
        <v>0</v>
      </c>
      <c r="P46" t="n">
        <v>0</v>
      </c>
      <c r="Q46" t="n">
        <v>0</v>
      </c>
      <c r="R46" s="2" t="inlineStr"/>
    </row>
    <row r="47" ht="15" customHeight="1">
      <c r="A47" t="inlineStr">
        <is>
          <t>A 65222-2021</t>
        </is>
      </c>
      <c r="B47" s="1" t="n">
        <v>44515</v>
      </c>
      <c r="C47" s="1" t="n">
        <v>45885</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22138-2021</t>
        </is>
      </c>
      <c r="B48" s="1" t="n">
        <v>44324.67472222223</v>
      </c>
      <c r="C48" s="1" t="n">
        <v>45885</v>
      </c>
      <c r="D48" t="inlineStr">
        <is>
          <t>VÄSTRA GÖTALANDS LÄN</t>
        </is>
      </c>
      <c r="E48" t="inlineStr">
        <is>
          <t>ALE</t>
        </is>
      </c>
      <c r="G48" t="n">
        <v>0.6</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45885</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46391-2021</t>
        </is>
      </c>
      <c r="B50" s="1" t="n">
        <v>44443</v>
      </c>
      <c r="C50" s="1" t="n">
        <v>45885</v>
      </c>
      <c r="D50" t="inlineStr">
        <is>
          <t>VÄSTRA GÖTALANDS LÄN</t>
        </is>
      </c>
      <c r="E50" t="inlineStr">
        <is>
          <t>ALE</t>
        </is>
      </c>
      <c r="G50" t="n">
        <v>1.3</v>
      </c>
      <c r="H50" t="n">
        <v>0</v>
      </c>
      <c r="I50" t="n">
        <v>0</v>
      </c>
      <c r="J50" t="n">
        <v>0</v>
      </c>
      <c r="K50" t="n">
        <v>0</v>
      </c>
      <c r="L50" t="n">
        <v>0</v>
      </c>
      <c r="M50" t="n">
        <v>0</v>
      </c>
      <c r="N50" t="n">
        <v>0</v>
      </c>
      <c r="O50" t="n">
        <v>0</v>
      </c>
      <c r="P50" t="n">
        <v>0</v>
      </c>
      <c r="Q50" t="n">
        <v>0</v>
      </c>
      <c r="R50" s="2" t="inlineStr"/>
    </row>
    <row r="51" ht="15" customHeight="1">
      <c r="A51" t="inlineStr">
        <is>
          <t>A 45986-2021</t>
        </is>
      </c>
      <c r="B51" s="1" t="n">
        <v>44441</v>
      </c>
      <c r="C51" s="1" t="n">
        <v>45885</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3293-2021</t>
        </is>
      </c>
      <c r="B52" s="1" t="n">
        <v>44217</v>
      </c>
      <c r="C52" s="1" t="n">
        <v>45885</v>
      </c>
      <c r="D52" t="inlineStr">
        <is>
          <t>VÄSTRA GÖTALANDS LÄN</t>
        </is>
      </c>
      <c r="E52" t="inlineStr">
        <is>
          <t>ALE</t>
        </is>
      </c>
      <c r="G52" t="n">
        <v>4.2</v>
      </c>
      <c r="H52" t="n">
        <v>0</v>
      </c>
      <c r="I52" t="n">
        <v>0</v>
      </c>
      <c r="J52" t="n">
        <v>0</v>
      </c>
      <c r="K52" t="n">
        <v>0</v>
      </c>
      <c r="L52" t="n">
        <v>0</v>
      </c>
      <c r="M52" t="n">
        <v>0</v>
      </c>
      <c r="N52" t="n">
        <v>0</v>
      </c>
      <c r="O52" t="n">
        <v>0</v>
      </c>
      <c r="P52" t="n">
        <v>0</v>
      </c>
      <c r="Q52" t="n">
        <v>0</v>
      </c>
      <c r="R52" s="2" t="inlineStr"/>
    </row>
    <row r="53" ht="15" customHeight="1">
      <c r="A53" t="inlineStr">
        <is>
          <t>A 66893-2021</t>
        </is>
      </c>
      <c r="B53" s="1" t="n">
        <v>44522.49439814815</v>
      </c>
      <c r="C53" s="1" t="n">
        <v>45885</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12445-2022</t>
        </is>
      </c>
      <c r="B54" s="1" t="n">
        <v>44638</v>
      </c>
      <c r="C54" s="1" t="n">
        <v>45885</v>
      </c>
      <c r="D54" t="inlineStr">
        <is>
          <t>VÄSTRA GÖTALANDS LÄN</t>
        </is>
      </c>
      <c r="E54" t="inlineStr">
        <is>
          <t>ALE</t>
        </is>
      </c>
      <c r="G54" t="n">
        <v>1</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45885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45885</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45885</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53144-2021</t>
        </is>
      </c>
      <c r="B58" s="1" t="n">
        <v>44468</v>
      </c>
      <c r="C58" s="1" t="n">
        <v>45885</v>
      </c>
      <c r="D58" t="inlineStr">
        <is>
          <t>VÄSTRA GÖTALANDS LÄN</t>
        </is>
      </c>
      <c r="E58" t="inlineStr">
        <is>
          <t>ALE</t>
        </is>
      </c>
      <c r="G58" t="n">
        <v>2.6</v>
      </c>
      <c r="H58" t="n">
        <v>0</v>
      </c>
      <c r="I58" t="n">
        <v>0</v>
      </c>
      <c r="J58" t="n">
        <v>0</v>
      </c>
      <c r="K58" t="n">
        <v>0</v>
      </c>
      <c r="L58" t="n">
        <v>0</v>
      </c>
      <c r="M58" t="n">
        <v>0</v>
      </c>
      <c r="N58" t="n">
        <v>0</v>
      </c>
      <c r="O58" t="n">
        <v>0</v>
      </c>
      <c r="P58" t="n">
        <v>0</v>
      </c>
      <c r="Q58" t="n">
        <v>0</v>
      </c>
      <c r="R58" s="2" t="inlineStr"/>
    </row>
    <row r="59" ht="15" customHeight="1">
      <c r="A59" t="inlineStr">
        <is>
          <t>A 57473-2022</t>
        </is>
      </c>
      <c r="B59" s="1" t="n">
        <v>44896</v>
      </c>
      <c r="C59" s="1" t="n">
        <v>45885</v>
      </c>
      <c r="D59" t="inlineStr">
        <is>
          <t>VÄSTRA GÖTALANDS LÄN</t>
        </is>
      </c>
      <c r="E59" t="inlineStr">
        <is>
          <t>ALE</t>
        </is>
      </c>
      <c r="G59" t="n">
        <v>0.7</v>
      </c>
      <c r="H59" t="n">
        <v>0</v>
      </c>
      <c r="I59" t="n">
        <v>0</v>
      </c>
      <c r="J59" t="n">
        <v>0</v>
      </c>
      <c r="K59" t="n">
        <v>0</v>
      </c>
      <c r="L59" t="n">
        <v>0</v>
      </c>
      <c r="M59" t="n">
        <v>0</v>
      </c>
      <c r="N59" t="n">
        <v>0</v>
      </c>
      <c r="O59" t="n">
        <v>0</v>
      </c>
      <c r="P59" t="n">
        <v>0</v>
      </c>
      <c r="Q59" t="n">
        <v>0</v>
      </c>
      <c r="R59" s="2" t="inlineStr"/>
    </row>
    <row r="60" ht="15" customHeight="1">
      <c r="A60" t="inlineStr">
        <is>
          <t>A 53476-2023</t>
        </is>
      </c>
      <c r="B60" s="1" t="n">
        <v>45230.33737268519</v>
      </c>
      <c r="C60" s="1" t="n">
        <v>45885</v>
      </c>
      <c r="D60" t="inlineStr">
        <is>
          <t>VÄSTRA GÖTALANDS LÄN</t>
        </is>
      </c>
      <c r="E60" t="inlineStr">
        <is>
          <t>ALE</t>
        </is>
      </c>
      <c r="G60" t="n">
        <v>1.9</v>
      </c>
      <c r="H60" t="n">
        <v>0</v>
      </c>
      <c r="I60" t="n">
        <v>0</v>
      </c>
      <c r="J60" t="n">
        <v>0</v>
      </c>
      <c r="K60" t="n">
        <v>0</v>
      </c>
      <c r="L60" t="n">
        <v>0</v>
      </c>
      <c r="M60" t="n">
        <v>0</v>
      </c>
      <c r="N60" t="n">
        <v>0</v>
      </c>
      <c r="O60" t="n">
        <v>0</v>
      </c>
      <c r="P60" t="n">
        <v>0</v>
      </c>
      <c r="Q60" t="n">
        <v>0</v>
      </c>
      <c r="R60" s="2" t="inlineStr"/>
    </row>
    <row r="61" ht="15" customHeight="1">
      <c r="A61" t="inlineStr">
        <is>
          <t>A 41607-2022</t>
        </is>
      </c>
      <c r="B61" s="1" t="n">
        <v>44827.46658564815</v>
      </c>
      <c r="C61" s="1" t="n">
        <v>45885</v>
      </c>
      <c r="D61" t="inlineStr">
        <is>
          <t>VÄSTRA GÖTALANDS LÄN</t>
        </is>
      </c>
      <c r="E61" t="inlineStr">
        <is>
          <t>ALE</t>
        </is>
      </c>
      <c r="G61" t="n">
        <v>3.6</v>
      </c>
      <c r="H61" t="n">
        <v>0</v>
      </c>
      <c r="I61" t="n">
        <v>0</v>
      </c>
      <c r="J61" t="n">
        <v>0</v>
      </c>
      <c r="K61" t="n">
        <v>0</v>
      </c>
      <c r="L61" t="n">
        <v>0</v>
      </c>
      <c r="M61" t="n">
        <v>0</v>
      </c>
      <c r="N61" t="n">
        <v>0</v>
      </c>
      <c r="O61" t="n">
        <v>0</v>
      </c>
      <c r="P61" t="n">
        <v>0</v>
      </c>
      <c r="Q61" t="n">
        <v>0</v>
      </c>
      <c r="R61" s="2" t="inlineStr"/>
    </row>
    <row r="62" ht="15" customHeight="1">
      <c r="A62" t="inlineStr">
        <is>
          <t>A 26157-2023</t>
        </is>
      </c>
      <c r="B62" s="1" t="n">
        <v>45091.50479166667</v>
      </c>
      <c r="C62" s="1" t="n">
        <v>45885</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7807-2023</t>
        </is>
      </c>
      <c r="B63" s="1" t="n">
        <v>44973</v>
      </c>
      <c r="C63" s="1" t="n">
        <v>45885</v>
      </c>
      <c r="D63" t="inlineStr">
        <is>
          <t>VÄSTRA GÖTALANDS LÄN</t>
        </is>
      </c>
      <c r="E63" t="inlineStr">
        <is>
          <t>ALE</t>
        </is>
      </c>
      <c r="G63" t="n">
        <v>10.5</v>
      </c>
      <c r="H63" t="n">
        <v>0</v>
      </c>
      <c r="I63" t="n">
        <v>0</v>
      </c>
      <c r="J63" t="n">
        <v>0</v>
      </c>
      <c r="K63" t="n">
        <v>0</v>
      </c>
      <c r="L63" t="n">
        <v>0</v>
      </c>
      <c r="M63" t="n">
        <v>0</v>
      </c>
      <c r="N63" t="n">
        <v>0</v>
      </c>
      <c r="O63" t="n">
        <v>0</v>
      </c>
      <c r="P63" t="n">
        <v>0</v>
      </c>
      <c r="Q63" t="n">
        <v>0</v>
      </c>
      <c r="R63" s="2" t="inlineStr"/>
    </row>
    <row r="64" ht="15" customHeight="1">
      <c r="A64" t="inlineStr">
        <is>
          <t>A 42660-2024</t>
        </is>
      </c>
      <c r="B64" s="1" t="n">
        <v>45566.33841435185</v>
      </c>
      <c r="C64" s="1" t="n">
        <v>45885</v>
      </c>
      <c r="D64" t="inlineStr">
        <is>
          <t>VÄSTRA GÖTALANDS LÄN</t>
        </is>
      </c>
      <c r="E64" t="inlineStr">
        <is>
          <t>ALE</t>
        </is>
      </c>
      <c r="G64" t="n">
        <v>2.5</v>
      </c>
      <c r="H64" t="n">
        <v>0</v>
      </c>
      <c r="I64" t="n">
        <v>0</v>
      </c>
      <c r="J64" t="n">
        <v>0</v>
      </c>
      <c r="K64" t="n">
        <v>0</v>
      </c>
      <c r="L64" t="n">
        <v>0</v>
      </c>
      <c r="M64" t="n">
        <v>0</v>
      </c>
      <c r="N64" t="n">
        <v>0</v>
      </c>
      <c r="O64" t="n">
        <v>0</v>
      </c>
      <c r="P64" t="n">
        <v>0</v>
      </c>
      <c r="Q64" t="n">
        <v>0</v>
      </c>
      <c r="R64" s="2" t="inlineStr"/>
    </row>
    <row r="65" ht="15" customHeight="1">
      <c r="A65" t="inlineStr">
        <is>
          <t>A 55488-2022</t>
        </is>
      </c>
      <c r="B65" s="1" t="n">
        <v>44887</v>
      </c>
      <c r="C65" s="1" t="n">
        <v>45885</v>
      </c>
      <c r="D65" t="inlineStr">
        <is>
          <t>VÄSTRA GÖTALANDS LÄN</t>
        </is>
      </c>
      <c r="E65" t="inlineStr">
        <is>
          <t>ALE</t>
        </is>
      </c>
      <c r="G65" t="n">
        <v>2.5</v>
      </c>
      <c r="H65" t="n">
        <v>0</v>
      </c>
      <c r="I65" t="n">
        <v>0</v>
      </c>
      <c r="J65" t="n">
        <v>0</v>
      </c>
      <c r="K65" t="n">
        <v>0</v>
      </c>
      <c r="L65" t="n">
        <v>0</v>
      </c>
      <c r="M65" t="n">
        <v>0</v>
      </c>
      <c r="N65" t="n">
        <v>0</v>
      </c>
      <c r="O65" t="n">
        <v>0</v>
      </c>
      <c r="P65" t="n">
        <v>0</v>
      </c>
      <c r="Q65" t="n">
        <v>0</v>
      </c>
      <c r="R65" s="2" t="inlineStr"/>
    </row>
    <row r="66" ht="15" customHeight="1">
      <c r="A66" t="inlineStr">
        <is>
          <t>A 15582-2025</t>
        </is>
      </c>
      <c r="B66" s="1" t="n">
        <v>45747.81394675926</v>
      </c>
      <c r="C66" s="1" t="n">
        <v>45885</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45885</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42446-2023</t>
        </is>
      </c>
      <c r="B68" s="1" t="n">
        <v>45180</v>
      </c>
      <c r="C68" s="1" t="n">
        <v>45885</v>
      </c>
      <c r="D68" t="inlineStr">
        <is>
          <t>VÄSTRA GÖTALANDS LÄN</t>
        </is>
      </c>
      <c r="E68" t="inlineStr">
        <is>
          <t>ALE</t>
        </is>
      </c>
      <c r="G68" t="n">
        <v>0.8</v>
      </c>
      <c r="H68" t="n">
        <v>0</v>
      </c>
      <c r="I68" t="n">
        <v>0</v>
      </c>
      <c r="J68" t="n">
        <v>0</v>
      </c>
      <c r="K68" t="n">
        <v>0</v>
      </c>
      <c r="L68" t="n">
        <v>0</v>
      </c>
      <c r="M68" t="n">
        <v>0</v>
      </c>
      <c r="N68" t="n">
        <v>0</v>
      </c>
      <c r="O68" t="n">
        <v>0</v>
      </c>
      <c r="P68" t="n">
        <v>0</v>
      </c>
      <c r="Q68" t="n">
        <v>0</v>
      </c>
      <c r="R68" s="2" t="inlineStr"/>
    </row>
    <row r="69" ht="15" customHeight="1">
      <c r="A69" t="inlineStr">
        <is>
          <t>A 67160-2021</t>
        </is>
      </c>
      <c r="B69" s="1" t="n">
        <v>44523</v>
      </c>
      <c r="C69" s="1" t="n">
        <v>45885</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16344-2023</t>
        </is>
      </c>
      <c r="B70" s="1" t="n">
        <v>45028</v>
      </c>
      <c r="C70" s="1" t="n">
        <v>45885</v>
      </c>
      <c r="D70" t="inlineStr">
        <is>
          <t>VÄSTRA GÖTALANDS LÄN</t>
        </is>
      </c>
      <c r="E70" t="inlineStr">
        <is>
          <t>ALE</t>
        </is>
      </c>
      <c r="G70" t="n">
        <v>6.6</v>
      </c>
      <c r="H70" t="n">
        <v>0</v>
      </c>
      <c r="I70" t="n">
        <v>0</v>
      </c>
      <c r="J70" t="n">
        <v>0</v>
      </c>
      <c r="K70" t="n">
        <v>0</v>
      </c>
      <c r="L70" t="n">
        <v>0</v>
      </c>
      <c r="M70" t="n">
        <v>0</v>
      </c>
      <c r="N70" t="n">
        <v>0</v>
      </c>
      <c r="O70" t="n">
        <v>0</v>
      </c>
      <c r="P70" t="n">
        <v>0</v>
      </c>
      <c r="Q70" t="n">
        <v>0</v>
      </c>
      <c r="R70" s="2" t="inlineStr"/>
    </row>
    <row r="71" ht="15" customHeight="1">
      <c r="A71" t="inlineStr">
        <is>
          <t>A 32762-2023</t>
        </is>
      </c>
      <c r="B71" s="1" t="n">
        <v>45123.46649305556</v>
      </c>
      <c r="C71" s="1" t="n">
        <v>45885</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41598-2022</t>
        </is>
      </c>
      <c r="B72" s="1" t="n">
        <v>44827.4609837963</v>
      </c>
      <c r="C72" s="1" t="n">
        <v>45885</v>
      </c>
      <c r="D72" t="inlineStr">
        <is>
          <t>VÄSTRA GÖTALANDS LÄN</t>
        </is>
      </c>
      <c r="E72" t="inlineStr">
        <is>
          <t>ALE</t>
        </is>
      </c>
      <c r="G72" t="n">
        <v>2</v>
      </c>
      <c r="H72" t="n">
        <v>0</v>
      </c>
      <c r="I72" t="n">
        <v>0</v>
      </c>
      <c r="J72" t="n">
        <v>0</v>
      </c>
      <c r="K72" t="n">
        <v>0</v>
      </c>
      <c r="L72" t="n">
        <v>0</v>
      </c>
      <c r="M72" t="n">
        <v>0</v>
      </c>
      <c r="N72" t="n">
        <v>0</v>
      </c>
      <c r="O72" t="n">
        <v>0</v>
      </c>
      <c r="P72" t="n">
        <v>0</v>
      </c>
      <c r="Q72" t="n">
        <v>0</v>
      </c>
      <c r="R72" s="2" t="inlineStr"/>
    </row>
    <row r="73" ht="15" customHeight="1">
      <c r="A73" t="inlineStr">
        <is>
          <t>A 14458-2024</t>
        </is>
      </c>
      <c r="B73" s="1" t="n">
        <v>45394</v>
      </c>
      <c r="C73" s="1" t="n">
        <v>45885</v>
      </c>
      <c r="D73" t="inlineStr">
        <is>
          <t>VÄSTRA GÖTALANDS LÄN</t>
        </is>
      </c>
      <c r="E73" t="inlineStr">
        <is>
          <t>ALE</t>
        </is>
      </c>
      <c r="G73" t="n">
        <v>0.5</v>
      </c>
      <c r="H73" t="n">
        <v>0</v>
      </c>
      <c r="I73" t="n">
        <v>0</v>
      </c>
      <c r="J73" t="n">
        <v>0</v>
      </c>
      <c r="K73" t="n">
        <v>0</v>
      </c>
      <c r="L73" t="n">
        <v>0</v>
      </c>
      <c r="M73" t="n">
        <v>0</v>
      </c>
      <c r="N73" t="n">
        <v>0</v>
      </c>
      <c r="O73" t="n">
        <v>0</v>
      </c>
      <c r="P73" t="n">
        <v>0</v>
      </c>
      <c r="Q73" t="n">
        <v>0</v>
      </c>
      <c r="R73" s="2" t="inlineStr"/>
    </row>
    <row r="74" ht="15" customHeight="1">
      <c r="A74" t="inlineStr">
        <is>
          <t>A 53121-2024</t>
        </is>
      </c>
      <c r="B74" s="1" t="n">
        <v>45611</v>
      </c>
      <c r="C74" s="1" t="n">
        <v>45885</v>
      </c>
      <c r="D74" t="inlineStr">
        <is>
          <t>VÄSTRA GÖTALANDS LÄN</t>
        </is>
      </c>
      <c r="E74" t="inlineStr">
        <is>
          <t>ALE</t>
        </is>
      </c>
      <c r="G74" t="n">
        <v>3.4</v>
      </c>
      <c r="H74" t="n">
        <v>0</v>
      </c>
      <c r="I74" t="n">
        <v>0</v>
      </c>
      <c r="J74" t="n">
        <v>0</v>
      </c>
      <c r="K74" t="n">
        <v>0</v>
      </c>
      <c r="L74" t="n">
        <v>0</v>
      </c>
      <c r="M74" t="n">
        <v>0</v>
      </c>
      <c r="N74" t="n">
        <v>0</v>
      </c>
      <c r="O74" t="n">
        <v>0</v>
      </c>
      <c r="P74" t="n">
        <v>0</v>
      </c>
      <c r="Q74" t="n">
        <v>0</v>
      </c>
      <c r="R74" s="2" t="inlineStr"/>
    </row>
    <row r="75" ht="15" customHeight="1">
      <c r="A75" t="inlineStr">
        <is>
          <t>A 22946-2025</t>
        </is>
      </c>
      <c r="B75" s="1" t="n">
        <v>45790.48229166667</v>
      </c>
      <c r="C75" s="1" t="n">
        <v>45885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47087-2023</t>
        </is>
      </c>
      <c r="B76" s="1" t="n">
        <v>45196</v>
      </c>
      <c r="C76" s="1" t="n">
        <v>45885</v>
      </c>
      <c r="D76" t="inlineStr">
        <is>
          <t>VÄSTRA GÖTALANDS LÄN</t>
        </is>
      </c>
      <c r="E76" t="inlineStr">
        <is>
          <t>ALE</t>
        </is>
      </c>
      <c r="G76" t="n">
        <v>1.6</v>
      </c>
      <c r="H76" t="n">
        <v>0</v>
      </c>
      <c r="I76" t="n">
        <v>0</v>
      </c>
      <c r="J76" t="n">
        <v>0</v>
      </c>
      <c r="K76" t="n">
        <v>0</v>
      </c>
      <c r="L76" t="n">
        <v>0</v>
      </c>
      <c r="M76" t="n">
        <v>0</v>
      </c>
      <c r="N76" t="n">
        <v>0</v>
      </c>
      <c r="O76" t="n">
        <v>0</v>
      </c>
      <c r="P76" t="n">
        <v>0</v>
      </c>
      <c r="Q76" t="n">
        <v>0</v>
      </c>
      <c r="R76" s="2" t="inlineStr"/>
    </row>
    <row r="77" ht="15" customHeight="1">
      <c r="A77" t="inlineStr">
        <is>
          <t>A 4642-2024</t>
        </is>
      </c>
      <c r="B77" s="1" t="n">
        <v>45328.43502314815</v>
      </c>
      <c r="C77" s="1" t="n">
        <v>45885</v>
      </c>
      <c r="D77" t="inlineStr">
        <is>
          <t>VÄSTRA GÖTALANDS LÄN</t>
        </is>
      </c>
      <c r="E77" t="inlineStr">
        <is>
          <t>ALE</t>
        </is>
      </c>
      <c r="G77" t="n">
        <v>7.1</v>
      </c>
      <c r="H77" t="n">
        <v>0</v>
      </c>
      <c r="I77" t="n">
        <v>0</v>
      </c>
      <c r="J77" t="n">
        <v>0</v>
      </c>
      <c r="K77" t="n">
        <v>0</v>
      </c>
      <c r="L77" t="n">
        <v>0</v>
      </c>
      <c r="M77" t="n">
        <v>0</v>
      </c>
      <c r="N77" t="n">
        <v>0</v>
      </c>
      <c r="O77" t="n">
        <v>0</v>
      </c>
      <c r="P77" t="n">
        <v>0</v>
      </c>
      <c r="Q77" t="n">
        <v>0</v>
      </c>
      <c r="R77" s="2" t="inlineStr"/>
    </row>
    <row r="78" ht="15" customHeight="1">
      <c r="A78" t="inlineStr">
        <is>
          <t>A 4971-2024</t>
        </is>
      </c>
      <c r="B78" s="1" t="n">
        <v>45329</v>
      </c>
      <c r="C78" s="1" t="n">
        <v>45885</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36763-2022</t>
        </is>
      </c>
      <c r="B79" s="1" t="n">
        <v>44805</v>
      </c>
      <c r="C79" s="1" t="n">
        <v>45885</v>
      </c>
      <c r="D79" t="inlineStr">
        <is>
          <t>VÄSTRA GÖTALANDS LÄN</t>
        </is>
      </c>
      <c r="E79" t="inlineStr">
        <is>
          <t>ALE</t>
        </is>
      </c>
      <c r="G79" t="n">
        <v>6.1</v>
      </c>
      <c r="H79" t="n">
        <v>0</v>
      </c>
      <c r="I79" t="n">
        <v>0</v>
      </c>
      <c r="J79" t="n">
        <v>0</v>
      </c>
      <c r="K79" t="n">
        <v>0</v>
      </c>
      <c r="L79" t="n">
        <v>0</v>
      </c>
      <c r="M79" t="n">
        <v>0</v>
      </c>
      <c r="N79" t="n">
        <v>0</v>
      </c>
      <c r="O79" t="n">
        <v>0</v>
      </c>
      <c r="P79" t="n">
        <v>0</v>
      </c>
      <c r="Q79" t="n">
        <v>0</v>
      </c>
      <c r="R79" s="2" t="inlineStr"/>
    </row>
    <row r="80" ht="15" customHeight="1">
      <c r="A80" t="inlineStr">
        <is>
          <t>A 37461-2024</t>
        </is>
      </c>
      <c r="B80" s="1" t="n">
        <v>45540.72516203704</v>
      </c>
      <c r="C80" s="1" t="n">
        <v>45885</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14731-2022</t>
        </is>
      </c>
      <c r="B81" s="1" t="n">
        <v>44656</v>
      </c>
      <c r="C81" s="1" t="n">
        <v>45885</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3520-2022</t>
        </is>
      </c>
      <c r="B82" s="1" t="n">
        <v>44585.72818287037</v>
      </c>
      <c r="C82" s="1" t="n">
        <v>45885</v>
      </c>
      <c r="D82" t="inlineStr">
        <is>
          <t>VÄSTRA GÖTALANDS LÄN</t>
        </is>
      </c>
      <c r="E82" t="inlineStr">
        <is>
          <t>ALE</t>
        </is>
      </c>
      <c r="G82" t="n">
        <v>2.3</v>
      </c>
      <c r="H82" t="n">
        <v>0</v>
      </c>
      <c r="I82" t="n">
        <v>0</v>
      </c>
      <c r="J82" t="n">
        <v>0</v>
      </c>
      <c r="K82" t="n">
        <v>0</v>
      </c>
      <c r="L82" t="n">
        <v>0</v>
      </c>
      <c r="M82" t="n">
        <v>0</v>
      </c>
      <c r="N82" t="n">
        <v>0</v>
      </c>
      <c r="O82" t="n">
        <v>0</v>
      </c>
      <c r="P82" t="n">
        <v>0</v>
      </c>
      <c r="Q82" t="n">
        <v>0</v>
      </c>
      <c r="R82" s="2" t="inlineStr"/>
    </row>
    <row r="83" ht="15" customHeight="1">
      <c r="A83" t="inlineStr">
        <is>
          <t>A 66551-2020</t>
        </is>
      </c>
      <c r="B83" s="1" t="n">
        <v>44179</v>
      </c>
      <c r="C83" s="1" t="n">
        <v>45885</v>
      </c>
      <c r="D83" t="inlineStr">
        <is>
          <t>VÄSTRA GÖTALANDS LÄN</t>
        </is>
      </c>
      <c r="E83" t="inlineStr">
        <is>
          <t>ALE</t>
        </is>
      </c>
      <c r="G83" t="n">
        <v>4.5</v>
      </c>
      <c r="H83" t="n">
        <v>0</v>
      </c>
      <c r="I83" t="n">
        <v>0</v>
      </c>
      <c r="J83" t="n">
        <v>0</v>
      </c>
      <c r="K83" t="n">
        <v>0</v>
      </c>
      <c r="L83" t="n">
        <v>0</v>
      </c>
      <c r="M83" t="n">
        <v>0</v>
      </c>
      <c r="N83" t="n">
        <v>0</v>
      </c>
      <c r="O83" t="n">
        <v>0</v>
      </c>
      <c r="P83" t="n">
        <v>0</v>
      </c>
      <c r="Q83" t="n">
        <v>0</v>
      </c>
      <c r="R83" s="2" t="inlineStr"/>
    </row>
    <row r="84" ht="15" customHeight="1">
      <c r="A84" t="inlineStr">
        <is>
          <t>A 33237-2024</t>
        </is>
      </c>
      <c r="B84" s="1" t="n">
        <v>45518.59173611111</v>
      </c>
      <c r="C84" s="1" t="n">
        <v>45885</v>
      </c>
      <c r="D84" t="inlineStr">
        <is>
          <t>VÄSTRA GÖTALANDS LÄN</t>
        </is>
      </c>
      <c r="E84" t="inlineStr">
        <is>
          <t>ALE</t>
        </is>
      </c>
      <c r="G84" t="n">
        <v>0.6</v>
      </c>
      <c r="H84" t="n">
        <v>0</v>
      </c>
      <c r="I84" t="n">
        <v>0</v>
      </c>
      <c r="J84" t="n">
        <v>0</v>
      </c>
      <c r="K84" t="n">
        <v>0</v>
      </c>
      <c r="L84" t="n">
        <v>0</v>
      </c>
      <c r="M84" t="n">
        <v>0</v>
      </c>
      <c r="N84" t="n">
        <v>0</v>
      </c>
      <c r="O84" t="n">
        <v>0</v>
      </c>
      <c r="P84" t="n">
        <v>0</v>
      </c>
      <c r="Q84" t="n">
        <v>0</v>
      </c>
      <c r="R84" s="2" t="inlineStr"/>
    </row>
    <row r="85" ht="15" customHeight="1">
      <c r="A85" t="inlineStr">
        <is>
          <t>A 44429-2023</t>
        </is>
      </c>
      <c r="B85" s="1" t="n">
        <v>45189.35101851852</v>
      </c>
      <c r="C85" s="1" t="n">
        <v>45885</v>
      </c>
      <c r="D85" t="inlineStr">
        <is>
          <t>VÄSTRA GÖTALANDS LÄN</t>
        </is>
      </c>
      <c r="E85" t="inlineStr">
        <is>
          <t>ALE</t>
        </is>
      </c>
      <c r="G85" t="n">
        <v>0.1</v>
      </c>
      <c r="H85" t="n">
        <v>0</v>
      </c>
      <c r="I85" t="n">
        <v>0</v>
      </c>
      <c r="J85" t="n">
        <v>0</v>
      </c>
      <c r="K85" t="n">
        <v>0</v>
      </c>
      <c r="L85" t="n">
        <v>0</v>
      </c>
      <c r="M85" t="n">
        <v>0</v>
      </c>
      <c r="N85" t="n">
        <v>0</v>
      </c>
      <c r="O85" t="n">
        <v>0</v>
      </c>
      <c r="P85" t="n">
        <v>0</v>
      </c>
      <c r="Q85" t="n">
        <v>0</v>
      </c>
      <c r="R85" s="2" t="inlineStr"/>
    </row>
    <row r="86" ht="15" customHeight="1">
      <c r="A86" t="inlineStr">
        <is>
          <t>A 7892-2024</t>
        </is>
      </c>
      <c r="B86" s="1" t="n">
        <v>45350.40921296296</v>
      </c>
      <c r="C86" s="1" t="n">
        <v>45885</v>
      </c>
      <c r="D86" t="inlineStr">
        <is>
          <t>VÄSTRA GÖTALANDS LÄN</t>
        </is>
      </c>
      <c r="E86" t="inlineStr">
        <is>
          <t>ALE</t>
        </is>
      </c>
      <c r="G86" t="n">
        <v>3.6</v>
      </c>
      <c r="H86" t="n">
        <v>0</v>
      </c>
      <c r="I86" t="n">
        <v>0</v>
      </c>
      <c r="J86" t="n">
        <v>0</v>
      </c>
      <c r="K86" t="n">
        <v>0</v>
      </c>
      <c r="L86" t="n">
        <v>0</v>
      </c>
      <c r="M86" t="n">
        <v>0</v>
      </c>
      <c r="N86" t="n">
        <v>0</v>
      </c>
      <c r="O86" t="n">
        <v>0</v>
      </c>
      <c r="P86" t="n">
        <v>0</v>
      </c>
      <c r="Q86" t="n">
        <v>0</v>
      </c>
      <c r="R86" s="2" t="inlineStr"/>
    </row>
    <row r="87" ht="15" customHeight="1">
      <c r="A87" t="inlineStr">
        <is>
          <t>A 25849-2025</t>
        </is>
      </c>
      <c r="B87" s="1" t="n">
        <v>45804</v>
      </c>
      <c r="C87" s="1" t="n">
        <v>45885</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25848-2025</t>
        </is>
      </c>
      <c r="B88" s="1" t="n">
        <v>45804</v>
      </c>
      <c r="C88" s="1" t="n">
        <v>45885</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51164-2024</t>
        </is>
      </c>
      <c r="B89" s="1" t="n">
        <v>45603.5830787037</v>
      </c>
      <c r="C89" s="1" t="n">
        <v>45885</v>
      </c>
      <c r="D89" t="inlineStr">
        <is>
          <t>VÄSTRA GÖTALANDS LÄN</t>
        </is>
      </c>
      <c r="E89" t="inlineStr">
        <is>
          <t>ALE</t>
        </is>
      </c>
      <c r="G89" t="n">
        <v>1.1</v>
      </c>
      <c r="H89" t="n">
        <v>0</v>
      </c>
      <c r="I89" t="n">
        <v>0</v>
      </c>
      <c r="J89" t="n">
        <v>0</v>
      </c>
      <c r="K89" t="n">
        <v>0</v>
      </c>
      <c r="L89" t="n">
        <v>0</v>
      </c>
      <c r="M89" t="n">
        <v>0</v>
      </c>
      <c r="N89" t="n">
        <v>0</v>
      </c>
      <c r="O89" t="n">
        <v>0</v>
      </c>
      <c r="P89" t="n">
        <v>0</v>
      </c>
      <c r="Q89" t="n">
        <v>0</v>
      </c>
      <c r="R89" s="2" t="inlineStr"/>
    </row>
    <row r="90" ht="15" customHeight="1">
      <c r="A90" t="inlineStr">
        <is>
          <t>A 25840-2025</t>
        </is>
      </c>
      <c r="B90" s="1" t="n">
        <v>45804</v>
      </c>
      <c r="C90" s="1" t="n">
        <v>45885</v>
      </c>
      <c r="D90" t="inlineStr">
        <is>
          <t>VÄSTRA GÖTALANDS LÄN</t>
        </is>
      </c>
      <c r="E90" t="inlineStr">
        <is>
          <t>ALE</t>
        </is>
      </c>
      <c r="G90" t="n">
        <v>3.8</v>
      </c>
      <c r="H90" t="n">
        <v>0</v>
      </c>
      <c r="I90" t="n">
        <v>0</v>
      </c>
      <c r="J90" t="n">
        <v>0</v>
      </c>
      <c r="K90" t="n">
        <v>0</v>
      </c>
      <c r="L90" t="n">
        <v>0</v>
      </c>
      <c r="M90" t="n">
        <v>0</v>
      </c>
      <c r="N90" t="n">
        <v>0</v>
      </c>
      <c r="O90" t="n">
        <v>0</v>
      </c>
      <c r="P90" t="n">
        <v>0</v>
      </c>
      <c r="Q90" t="n">
        <v>0</v>
      </c>
      <c r="R90" s="2" t="inlineStr"/>
    </row>
    <row r="91" ht="15" customHeight="1">
      <c r="A91" t="inlineStr">
        <is>
          <t>A 4444-2024</t>
        </is>
      </c>
      <c r="B91" s="1" t="n">
        <v>45327</v>
      </c>
      <c r="C91" s="1" t="n">
        <v>45885</v>
      </c>
      <c r="D91" t="inlineStr">
        <is>
          <t>VÄSTRA GÖTALANDS LÄN</t>
        </is>
      </c>
      <c r="E91" t="inlineStr">
        <is>
          <t>ALE</t>
        </is>
      </c>
      <c r="G91" t="n">
        <v>0.6</v>
      </c>
      <c r="H91" t="n">
        <v>0</v>
      </c>
      <c r="I91" t="n">
        <v>0</v>
      </c>
      <c r="J91" t="n">
        <v>0</v>
      </c>
      <c r="K91" t="n">
        <v>0</v>
      </c>
      <c r="L91" t="n">
        <v>0</v>
      </c>
      <c r="M91" t="n">
        <v>0</v>
      </c>
      <c r="N91" t="n">
        <v>0</v>
      </c>
      <c r="O91" t="n">
        <v>0</v>
      </c>
      <c r="P91" t="n">
        <v>0</v>
      </c>
      <c r="Q91" t="n">
        <v>0</v>
      </c>
      <c r="R91" s="2" t="inlineStr"/>
    </row>
    <row r="92" ht="15" customHeight="1">
      <c r="A92" t="inlineStr">
        <is>
          <t>A 72801-2021</t>
        </is>
      </c>
      <c r="B92" s="1" t="n">
        <v>44546</v>
      </c>
      <c r="C92" s="1" t="n">
        <v>45885</v>
      </c>
      <c r="D92" t="inlineStr">
        <is>
          <t>VÄSTRA GÖTALANDS LÄN</t>
        </is>
      </c>
      <c r="E92" t="inlineStr">
        <is>
          <t>ALE</t>
        </is>
      </c>
      <c r="F92" t="inlineStr">
        <is>
          <t>Naturvårdsverket</t>
        </is>
      </c>
      <c r="G92" t="n">
        <v>1.4</v>
      </c>
      <c r="H92" t="n">
        <v>0</v>
      </c>
      <c r="I92" t="n">
        <v>0</v>
      </c>
      <c r="J92" t="n">
        <v>0</v>
      </c>
      <c r="K92" t="n">
        <v>0</v>
      </c>
      <c r="L92" t="n">
        <v>0</v>
      </c>
      <c r="M92" t="n">
        <v>0</v>
      </c>
      <c r="N92" t="n">
        <v>0</v>
      </c>
      <c r="O92" t="n">
        <v>0</v>
      </c>
      <c r="P92" t="n">
        <v>0</v>
      </c>
      <c r="Q92" t="n">
        <v>0</v>
      </c>
      <c r="R92" s="2" t="inlineStr"/>
    </row>
    <row r="93" ht="15" customHeight="1">
      <c r="A93" t="inlineStr">
        <is>
          <t>A 56493-2021</t>
        </is>
      </c>
      <c r="B93" s="1" t="n">
        <v>44480.57173611111</v>
      </c>
      <c r="C93" s="1" t="n">
        <v>45885</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45988-2021</t>
        </is>
      </c>
      <c r="B94" s="1" t="n">
        <v>44441</v>
      </c>
      <c r="C94" s="1" t="n">
        <v>45885</v>
      </c>
      <c r="D94" t="inlineStr">
        <is>
          <t>VÄSTRA GÖTALANDS LÄN</t>
        </is>
      </c>
      <c r="E94" t="inlineStr">
        <is>
          <t>ALE</t>
        </is>
      </c>
      <c r="G94" t="n">
        <v>1.2</v>
      </c>
      <c r="H94" t="n">
        <v>0</v>
      </c>
      <c r="I94" t="n">
        <v>0</v>
      </c>
      <c r="J94" t="n">
        <v>0</v>
      </c>
      <c r="K94" t="n">
        <v>0</v>
      </c>
      <c r="L94" t="n">
        <v>0</v>
      </c>
      <c r="M94" t="n">
        <v>0</v>
      </c>
      <c r="N94" t="n">
        <v>0</v>
      </c>
      <c r="O94" t="n">
        <v>0</v>
      </c>
      <c r="P94" t="n">
        <v>0</v>
      </c>
      <c r="Q94" t="n">
        <v>0</v>
      </c>
      <c r="R94" s="2" t="inlineStr"/>
    </row>
    <row r="95" ht="15" customHeight="1">
      <c r="A95" t="inlineStr">
        <is>
          <t>A 5875-2023</t>
        </is>
      </c>
      <c r="B95" s="1" t="n">
        <v>44963</v>
      </c>
      <c r="C95" s="1" t="n">
        <v>45885</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3407-2023</t>
        </is>
      </c>
      <c r="B96" s="1" t="n">
        <v>44949.54909722223</v>
      </c>
      <c r="C96" s="1" t="n">
        <v>45885</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8956-2025</t>
        </is>
      </c>
      <c r="B97" s="1" t="n">
        <v>45713.46825231481</v>
      </c>
      <c r="C97" s="1" t="n">
        <v>45885</v>
      </c>
      <c r="D97" t="inlineStr">
        <is>
          <t>VÄSTRA GÖTALANDS LÄN</t>
        </is>
      </c>
      <c r="E97" t="inlineStr">
        <is>
          <t>ALE</t>
        </is>
      </c>
      <c r="G97" t="n">
        <v>1</v>
      </c>
      <c r="H97" t="n">
        <v>0</v>
      </c>
      <c r="I97" t="n">
        <v>0</v>
      </c>
      <c r="J97" t="n">
        <v>0</v>
      </c>
      <c r="K97" t="n">
        <v>0</v>
      </c>
      <c r="L97" t="n">
        <v>0</v>
      </c>
      <c r="M97" t="n">
        <v>0</v>
      </c>
      <c r="N97" t="n">
        <v>0</v>
      </c>
      <c r="O97" t="n">
        <v>0</v>
      </c>
      <c r="P97" t="n">
        <v>0</v>
      </c>
      <c r="Q97" t="n">
        <v>0</v>
      </c>
      <c r="R97" s="2" t="inlineStr"/>
    </row>
    <row r="98" ht="15" customHeight="1">
      <c r="A98" t="inlineStr">
        <is>
          <t>A 51564-2023</t>
        </is>
      </c>
      <c r="B98" s="1" t="n">
        <v>45222</v>
      </c>
      <c r="C98" s="1" t="n">
        <v>45885</v>
      </c>
      <c r="D98" t="inlineStr">
        <is>
          <t>VÄSTRA GÖTALANDS LÄN</t>
        </is>
      </c>
      <c r="E98" t="inlineStr">
        <is>
          <t>ALE</t>
        </is>
      </c>
      <c r="G98" t="n">
        <v>1.5</v>
      </c>
      <c r="H98" t="n">
        <v>0</v>
      </c>
      <c r="I98" t="n">
        <v>0</v>
      </c>
      <c r="J98" t="n">
        <v>0</v>
      </c>
      <c r="K98" t="n">
        <v>0</v>
      </c>
      <c r="L98" t="n">
        <v>0</v>
      </c>
      <c r="M98" t="n">
        <v>0</v>
      </c>
      <c r="N98" t="n">
        <v>0</v>
      </c>
      <c r="O98" t="n">
        <v>0</v>
      </c>
      <c r="P98" t="n">
        <v>0</v>
      </c>
      <c r="Q98" t="n">
        <v>0</v>
      </c>
      <c r="R98" s="2" t="inlineStr"/>
    </row>
    <row r="99" ht="15" customHeight="1">
      <c r="A99" t="inlineStr">
        <is>
          <t>A 8659-2025</t>
        </is>
      </c>
      <c r="B99" s="1" t="n">
        <v>45712</v>
      </c>
      <c r="C99" s="1" t="n">
        <v>45885</v>
      </c>
      <c r="D99" t="inlineStr">
        <is>
          <t>VÄSTRA GÖTALANDS LÄN</t>
        </is>
      </c>
      <c r="E99" t="inlineStr">
        <is>
          <t>ALE</t>
        </is>
      </c>
      <c r="G99" t="n">
        <v>5.7</v>
      </c>
      <c r="H99" t="n">
        <v>0</v>
      </c>
      <c r="I99" t="n">
        <v>0</v>
      </c>
      <c r="J99" t="n">
        <v>0</v>
      </c>
      <c r="K99" t="n">
        <v>0</v>
      </c>
      <c r="L99" t="n">
        <v>0</v>
      </c>
      <c r="M99" t="n">
        <v>0</v>
      </c>
      <c r="N99" t="n">
        <v>0</v>
      </c>
      <c r="O99" t="n">
        <v>0</v>
      </c>
      <c r="P99" t="n">
        <v>0</v>
      </c>
      <c r="Q99" t="n">
        <v>0</v>
      </c>
      <c r="R99" s="2" t="inlineStr"/>
    </row>
    <row r="100" ht="15" customHeight="1">
      <c r="A100" t="inlineStr">
        <is>
          <t>A 5344-2024</t>
        </is>
      </c>
      <c r="B100" s="1" t="n">
        <v>45331</v>
      </c>
      <c r="C100" s="1" t="n">
        <v>45885</v>
      </c>
      <c r="D100" t="inlineStr">
        <is>
          <t>VÄSTRA GÖTALANDS LÄN</t>
        </is>
      </c>
      <c r="E100" t="inlineStr">
        <is>
          <t>ALE</t>
        </is>
      </c>
      <c r="G100" t="n">
        <v>2.5</v>
      </c>
      <c r="H100" t="n">
        <v>0</v>
      </c>
      <c r="I100" t="n">
        <v>0</v>
      </c>
      <c r="J100" t="n">
        <v>0</v>
      </c>
      <c r="K100" t="n">
        <v>0</v>
      </c>
      <c r="L100" t="n">
        <v>0</v>
      </c>
      <c r="M100" t="n">
        <v>0</v>
      </c>
      <c r="N100" t="n">
        <v>0</v>
      </c>
      <c r="O100" t="n">
        <v>0</v>
      </c>
      <c r="P100" t="n">
        <v>0</v>
      </c>
      <c r="Q100" t="n">
        <v>0</v>
      </c>
      <c r="R100" s="2" t="inlineStr"/>
    </row>
    <row r="101" ht="15" customHeight="1">
      <c r="A101" t="inlineStr">
        <is>
          <t>A 18637-2023</t>
        </is>
      </c>
      <c r="B101" s="1" t="n">
        <v>45043</v>
      </c>
      <c r="C101" s="1" t="n">
        <v>45885</v>
      </c>
      <c r="D101" t="inlineStr">
        <is>
          <t>VÄSTRA GÖTALANDS LÄN</t>
        </is>
      </c>
      <c r="E101" t="inlineStr">
        <is>
          <t>ALE</t>
        </is>
      </c>
      <c r="G101" t="n">
        <v>3.6</v>
      </c>
      <c r="H101" t="n">
        <v>0</v>
      </c>
      <c r="I101" t="n">
        <v>0</v>
      </c>
      <c r="J101" t="n">
        <v>0</v>
      </c>
      <c r="K101" t="n">
        <v>0</v>
      </c>
      <c r="L101" t="n">
        <v>0</v>
      </c>
      <c r="M101" t="n">
        <v>0</v>
      </c>
      <c r="N101" t="n">
        <v>0</v>
      </c>
      <c r="O101" t="n">
        <v>0</v>
      </c>
      <c r="P101" t="n">
        <v>0</v>
      </c>
      <c r="Q101" t="n">
        <v>0</v>
      </c>
      <c r="R101" s="2" t="inlineStr"/>
    </row>
    <row r="102" ht="15" customHeight="1">
      <c r="A102" t="inlineStr">
        <is>
          <t>A 59933-2023</t>
        </is>
      </c>
      <c r="B102" s="1" t="n">
        <v>45257</v>
      </c>
      <c r="C102" s="1" t="n">
        <v>45885</v>
      </c>
      <c r="D102" t="inlineStr">
        <is>
          <t>VÄSTRA GÖTALANDS LÄN</t>
        </is>
      </c>
      <c r="E102" t="inlineStr">
        <is>
          <t>ALE</t>
        </is>
      </c>
      <c r="G102" t="n">
        <v>2.7</v>
      </c>
      <c r="H102" t="n">
        <v>0</v>
      </c>
      <c r="I102" t="n">
        <v>0</v>
      </c>
      <c r="J102" t="n">
        <v>0</v>
      </c>
      <c r="K102" t="n">
        <v>0</v>
      </c>
      <c r="L102" t="n">
        <v>0</v>
      </c>
      <c r="M102" t="n">
        <v>0</v>
      </c>
      <c r="N102" t="n">
        <v>0</v>
      </c>
      <c r="O102" t="n">
        <v>0</v>
      </c>
      <c r="P102" t="n">
        <v>0</v>
      </c>
      <c r="Q102" t="n">
        <v>0</v>
      </c>
      <c r="R102" s="2" t="inlineStr"/>
    </row>
    <row r="103" ht="15" customHeight="1">
      <c r="A103" t="inlineStr">
        <is>
          <t>A 36403-2024</t>
        </is>
      </c>
      <c r="B103" s="1" t="n">
        <v>45535.69445601852</v>
      </c>
      <c r="C103" s="1" t="n">
        <v>45885</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60232-2024</t>
        </is>
      </c>
      <c r="B104" s="1" t="n">
        <v>45642</v>
      </c>
      <c r="C104" s="1" t="n">
        <v>45885</v>
      </c>
      <c r="D104" t="inlineStr">
        <is>
          <t>VÄSTRA GÖTALANDS LÄN</t>
        </is>
      </c>
      <c r="E104" t="inlineStr">
        <is>
          <t>ALE</t>
        </is>
      </c>
      <c r="G104" t="n">
        <v>5</v>
      </c>
      <c r="H104" t="n">
        <v>0</v>
      </c>
      <c r="I104" t="n">
        <v>0</v>
      </c>
      <c r="J104" t="n">
        <v>0</v>
      </c>
      <c r="K104" t="n">
        <v>0</v>
      </c>
      <c r="L104" t="n">
        <v>0</v>
      </c>
      <c r="M104" t="n">
        <v>0</v>
      </c>
      <c r="N104" t="n">
        <v>0</v>
      </c>
      <c r="O104" t="n">
        <v>0</v>
      </c>
      <c r="P104" t="n">
        <v>0</v>
      </c>
      <c r="Q104" t="n">
        <v>0</v>
      </c>
      <c r="R104" s="2" t="inlineStr"/>
    </row>
    <row r="105" ht="15" customHeight="1">
      <c r="A105" t="inlineStr">
        <is>
          <t>A 55405-2021</t>
        </is>
      </c>
      <c r="B105" s="1" t="n">
        <v>44475.53733796296</v>
      </c>
      <c r="C105" s="1" t="n">
        <v>45885</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1822-2024</t>
        </is>
      </c>
      <c r="B106" s="1" t="n">
        <v>45307.6205787037</v>
      </c>
      <c r="C106" s="1" t="n">
        <v>45885</v>
      </c>
      <c r="D106" t="inlineStr">
        <is>
          <t>VÄSTRA GÖTALANDS LÄN</t>
        </is>
      </c>
      <c r="E106" t="inlineStr">
        <is>
          <t>ALE</t>
        </is>
      </c>
      <c r="G106" t="n">
        <v>2</v>
      </c>
      <c r="H106" t="n">
        <v>0</v>
      </c>
      <c r="I106" t="n">
        <v>0</v>
      </c>
      <c r="J106" t="n">
        <v>0</v>
      </c>
      <c r="K106" t="n">
        <v>0</v>
      </c>
      <c r="L106" t="n">
        <v>0</v>
      </c>
      <c r="M106" t="n">
        <v>0</v>
      </c>
      <c r="N106" t="n">
        <v>0</v>
      </c>
      <c r="O106" t="n">
        <v>0</v>
      </c>
      <c r="P106" t="n">
        <v>0</v>
      </c>
      <c r="Q106" t="n">
        <v>0</v>
      </c>
      <c r="R106" s="2" t="inlineStr"/>
    </row>
    <row r="107" ht="15" customHeight="1">
      <c r="A107" t="inlineStr">
        <is>
          <t>A 9193-2025</t>
        </is>
      </c>
      <c r="B107" s="1" t="n">
        <v>45714</v>
      </c>
      <c r="C107" s="1" t="n">
        <v>45885</v>
      </c>
      <c r="D107" t="inlineStr">
        <is>
          <t>VÄSTRA GÖTALANDS LÄN</t>
        </is>
      </c>
      <c r="E107" t="inlineStr">
        <is>
          <t>ALE</t>
        </is>
      </c>
      <c r="G107" t="n">
        <v>7.1</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45885</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15241-2025</t>
        </is>
      </c>
      <c r="B109" s="1" t="n">
        <v>45744.61255787037</v>
      </c>
      <c r="C109" s="1" t="n">
        <v>45885</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45735.67928240741</v>
      </c>
      <c r="C110" s="1" t="n">
        <v>45885</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13426-2025</t>
        </is>
      </c>
      <c r="B111" s="1" t="n">
        <v>45736.32780092592</v>
      </c>
      <c r="C111" s="1" t="n">
        <v>45885</v>
      </c>
      <c r="D111" t="inlineStr">
        <is>
          <t>VÄSTRA GÖTALANDS LÄN</t>
        </is>
      </c>
      <c r="E111" t="inlineStr">
        <is>
          <t>ALE</t>
        </is>
      </c>
      <c r="G111" t="n">
        <v>1.5</v>
      </c>
      <c r="H111" t="n">
        <v>0</v>
      </c>
      <c r="I111" t="n">
        <v>0</v>
      </c>
      <c r="J111" t="n">
        <v>0</v>
      </c>
      <c r="K111" t="n">
        <v>0</v>
      </c>
      <c r="L111" t="n">
        <v>0</v>
      </c>
      <c r="M111" t="n">
        <v>0</v>
      </c>
      <c r="N111" t="n">
        <v>0</v>
      </c>
      <c r="O111" t="n">
        <v>0</v>
      </c>
      <c r="P111" t="n">
        <v>0</v>
      </c>
      <c r="Q111" t="n">
        <v>0</v>
      </c>
      <c r="R111" s="2" t="inlineStr"/>
    </row>
    <row r="112" ht="15" customHeight="1">
      <c r="A112" t="inlineStr">
        <is>
          <t>A 13903-2025</t>
        </is>
      </c>
      <c r="B112" s="1" t="n">
        <v>45737.63481481482</v>
      </c>
      <c r="C112" s="1" t="n">
        <v>45885</v>
      </c>
      <c r="D112" t="inlineStr">
        <is>
          <t>VÄSTRA GÖTALANDS LÄN</t>
        </is>
      </c>
      <c r="E112" t="inlineStr">
        <is>
          <t>ALE</t>
        </is>
      </c>
      <c r="G112" t="n">
        <v>0.5</v>
      </c>
      <c r="H112" t="n">
        <v>0</v>
      </c>
      <c r="I112" t="n">
        <v>0</v>
      </c>
      <c r="J112" t="n">
        <v>0</v>
      </c>
      <c r="K112" t="n">
        <v>0</v>
      </c>
      <c r="L112" t="n">
        <v>0</v>
      </c>
      <c r="M112" t="n">
        <v>0</v>
      </c>
      <c r="N112" t="n">
        <v>0</v>
      </c>
      <c r="O112" t="n">
        <v>0</v>
      </c>
      <c r="P112" t="n">
        <v>0</v>
      </c>
      <c r="Q112" t="n">
        <v>0</v>
      </c>
      <c r="R112" s="2" t="inlineStr"/>
    </row>
    <row r="113" ht="15" customHeight="1">
      <c r="A113" t="inlineStr">
        <is>
          <t>A 6947-2024</t>
        </is>
      </c>
      <c r="B113" s="1" t="n">
        <v>45343</v>
      </c>
      <c r="C113" s="1" t="n">
        <v>45885</v>
      </c>
      <c r="D113" t="inlineStr">
        <is>
          <t>VÄSTRA GÖTALANDS LÄN</t>
        </is>
      </c>
      <c r="E113" t="inlineStr">
        <is>
          <t>ALE</t>
        </is>
      </c>
      <c r="G113" t="n">
        <v>3.7</v>
      </c>
      <c r="H113" t="n">
        <v>0</v>
      </c>
      <c r="I113" t="n">
        <v>0</v>
      </c>
      <c r="J113" t="n">
        <v>0</v>
      </c>
      <c r="K113" t="n">
        <v>0</v>
      </c>
      <c r="L113" t="n">
        <v>0</v>
      </c>
      <c r="M113" t="n">
        <v>0</v>
      </c>
      <c r="N113" t="n">
        <v>0</v>
      </c>
      <c r="O113" t="n">
        <v>0</v>
      </c>
      <c r="P113" t="n">
        <v>0</v>
      </c>
      <c r="Q113" t="n">
        <v>0</v>
      </c>
      <c r="R113" s="2" t="inlineStr"/>
    </row>
    <row r="114" ht="15" customHeight="1">
      <c r="A114" t="inlineStr">
        <is>
          <t>A 37005-2025</t>
        </is>
      </c>
      <c r="B114" s="1" t="n">
        <v>45874.69311342593</v>
      </c>
      <c r="C114" s="1" t="n">
        <v>45885</v>
      </c>
      <c r="D114" t="inlineStr">
        <is>
          <t>VÄSTRA GÖTALANDS LÄN</t>
        </is>
      </c>
      <c r="E114" t="inlineStr">
        <is>
          <t>ALE</t>
        </is>
      </c>
      <c r="G114" t="n">
        <v>1.9</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45885</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45885</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45885</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45885</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44727.59578703704</v>
      </c>
      <c r="C119" s="1" t="n">
        <v>45885</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35905-2025</t>
        </is>
      </c>
      <c r="B120" s="1" t="n">
        <v>45862</v>
      </c>
      <c r="C120" s="1" t="n">
        <v>45885</v>
      </c>
      <c r="D120" t="inlineStr">
        <is>
          <t>VÄSTRA GÖTALANDS LÄN</t>
        </is>
      </c>
      <c r="E120" t="inlineStr">
        <is>
          <t>ALE</t>
        </is>
      </c>
      <c r="G120" t="n">
        <v>4.2</v>
      </c>
      <c r="H120" t="n">
        <v>0</v>
      </c>
      <c r="I120" t="n">
        <v>0</v>
      </c>
      <c r="J120" t="n">
        <v>0</v>
      </c>
      <c r="K120" t="n">
        <v>0</v>
      </c>
      <c r="L120" t="n">
        <v>0</v>
      </c>
      <c r="M120" t="n">
        <v>0</v>
      </c>
      <c r="N120" t="n">
        <v>0</v>
      </c>
      <c r="O120" t="n">
        <v>0</v>
      </c>
      <c r="P120" t="n">
        <v>0</v>
      </c>
      <c r="Q120" t="n">
        <v>0</v>
      </c>
      <c r="R120" s="2" t="inlineStr"/>
    </row>
    <row r="121" ht="15" customHeight="1">
      <c r="A121" t="inlineStr">
        <is>
          <t>A 32394-2025</t>
        </is>
      </c>
      <c r="B121" s="1" t="n">
        <v>45837.91665509259</v>
      </c>
      <c r="C121" s="1" t="n">
        <v>45885</v>
      </c>
      <c r="D121" t="inlineStr">
        <is>
          <t>VÄSTRA GÖTALANDS LÄN</t>
        </is>
      </c>
      <c r="E121" t="inlineStr">
        <is>
          <t>ALE</t>
        </is>
      </c>
      <c r="G121" t="n">
        <v>3.4</v>
      </c>
      <c r="H121" t="n">
        <v>0</v>
      </c>
      <c r="I121" t="n">
        <v>0</v>
      </c>
      <c r="J121" t="n">
        <v>0</v>
      </c>
      <c r="K121" t="n">
        <v>0</v>
      </c>
      <c r="L121" t="n">
        <v>0</v>
      </c>
      <c r="M121" t="n">
        <v>0</v>
      </c>
      <c r="N121" t="n">
        <v>0</v>
      </c>
      <c r="O121" t="n">
        <v>0</v>
      </c>
      <c r="P121" t="n">
        <v>0</v>
      </c>
      <c r="Q121" t="n">
        <v>0</v>
      </c>
      <c r="R121" s="2" t="inlineStr"/>
    </row>
    <row r="122" ht="15" customHeight="1">
      <c r="A122" t="inlineStr">
        <is>
          <t>A 34153-2024</t>
        </is>
      </c>
      <c r="B122" s="1" t="n">
        <v>45524.38400462963</v>
      </c>
      <c r="C122" s="1" t="n">
        <v>45885</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41309-2024</t>
        </is>
      </c>
      <c r="B123" s="1" t="n">
        <v>45559</v>
      </c>
      <c r="C123" s="1" t="n">
        <v>45885</v>
      </c>
      <c r="D123" t="inlineStr">
        <is>
          <t>VÄSTRA GÖTALANDS LÄN</t>
        </is>
      </c>
      <c r="E123" t="inlineStr">
        <is>
          <t>ALE</t>
        </is>
      </c>
      <c r="G123" t="n">
        <v>8.4</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45885</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26083-2023</t>
        </is>
      </c>
      <c r="B125" s="1" t="n">
        <v>45091</v>
      </c>
      <c r="C125" s="1" t="n">
        <v>45885</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3413-2023</t>
        </is>
      </c>
      <c r="B126" s="1" t="n">
        <v>44949</v>
      </c>
      <c r="C126" s="1" t="n">
        <v>45885</v>
      </c>
      <c r="D126" t="inlineStr">
        <is>
          <t>VÄSTRA GÖTALANDS LÄN</t>
        </is>
      </c>
      <c r="E126" t="inlineStr">
        <is>
          <t>ALE</t>
        </is>
      </c>
      <c r="G126" t="n">
        <v>2.3</v>
      </c>
      <c r="H126" t="n">
        <v>0</v>
      </c>
      <c r="I126" t="n">
        <v>0</v>
      </c>
      <c r="J126" t="n">
        <v>0</v>
      </c>
      <c r="K126" t="n">
        <v>0</v>
      </c>
      <c r="L126" t="n">
        <v>0</v>
      </c>
      <c r="M126" t="n">
        <v>0</v>
      </c>
      <c r="N126" t="n">
        <v>0</v>
      </c>
      <c r="O126" t="n">
        <v>0</v>
      </c>
      <c r="P126" t="n">
        <v>0</v>
      </c>
      <c r="Q126" t="n">
        <v>0</v>
      </c>
      <c r="R126" s="2" t="inlineStr"/>
    </row>
    <row r="127" ht="15" customHeight="1">
      <c r="A127" t="inlineStr">
        <is>
          <t>A 63575-2023</t>
        </is>
      </c>
      <c r="B127" s="1" t="n">
        <v>45275.39715277778</v>
      </c>
      <c r="C127" s="1" t="n">
        <v>45885</v>
      </c>
      <c r="D127" t="inlineStr">
        <is>
          <t>VÄSTRA GÖTALANDS LÄN</t>
        </is>
      </c>
      <c r="E127" t="inlineStr">
        <is>
          <t>ALE</t>
        </is>
      </c>
      <c r="G127" t="n">
        <v>1.2</v>
      </c>
      <c r="H127" t="n">
        <v>0</v>
      </c>
      <c r="I127" t="n">
        <v>0</v>
      </c>
      <c r="J127" t="n">
        <v>0</v>
      </c>
      <c r="K127" t="n">
        <v>0</v>
      </c>
      <c r="L127" t="n">
        <v>0</v>
      </c>
      <c r="M127" t="n">
        <v>0</v>
      </c>
      <c r="N127" t="n">
        <v>0</v>
      </c>
      <c r="O127" t="n">
        <v>0</v>
      </c>
      <c r="P127" t="n">
        <v>0</v>
      </c>
      <c r="Q127" t="n">
        <v>0</v>
      </c>
      <c r="R127" s="2" t="inlineStr"/>
    </row>
    <row r="128" ht="15" customHeight="1">
      <c r="A128" t="inlineStr">
        <is>
          <t>A 27314-2021</t>
        </is>
      </c>
      <c r="B128" s="1" t="n">
        <v>44351.36537037037</v>
      </c>
      <c r="C128" s="1" t="n">
        <v>45885</v>
      </c>
      <c r="D128" t="inlineStr">
        <is>
          <t>VÄSTRA GÖTALANDS LÄN</t>
        </is>
      </c>
      <c r="E128" t="inlineStr">
        <is>
          <t>ALE</t>
        </is>
      </c>
      <c r="G128" t="n">
        <v>11.3</v>
      </c>
      <c r="H128" t="n">
        <v>0</v>
      </c>
      <c r="I128" t="n">
        <v>0</v>
      </c>
      <c r="J128" t="n">
        <v>0</v>
      </c>
      <c r="K128" t="n">
        <v>0</v>
      </c>
      <c r="L128" t="n">
        <v>0</v>
      </c>
      <c r="M128" t="n">
        <v>0</v>
      </c>
      <c r="N128" t="n">
        <v>0</v>
      </c>
      <c r="O128" t="n">
        <v>0</v>
      </c>
      <c r="P128" t="n">
        <v>0</v>
      </c>
      <c r="Q128" t="n">
        <v>0</v>
      </c>
      <c r="R128" s="2" t="inlineStr"/>
    </row>
    <row r="129" ht="15" customHeight="1">
      <c r="A129" t="inlineStr">
        <is>
          <t>A 1960-2024</t>
        </is>
      </c>
      <c r="B129" s="1" t="n">
        <v>45308.50962962963</v>
      </c>
      <c r="C129" s="1" t="n">
        <v>45885</v>
      </c>
      <c r="D129" t="inlineStr">
        <is>
          <t>VÄSTRA GÖTALANDS LÄN</t>
        </is>
      </c>
      <c r="E129" t="inlineStr">
        <is>
          <t>ALE</t>
        </is>
      </c>
      <c r="G129" t="n">
        <v>1.9</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44949.56182870371</v>
      </c>
      <c r="C130" s="1" t="n">
        <v>45885</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65226-2021</t>
        </is>
      </c>
      <c r="B131" s="1" t="n">
        <v>44515</v>
      </c>
      <c r="C131" s="1" t="n">
        <v>45885</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60233-2024</t>
        </is>
      </c>
      <c r="B132" s="1" t="n">
        <v>45642.74851851852</v>
      </c>
      <c r="C132" s="1" t="n">
        <v>45885</v>
      </c>
      <c r="D132" t="inlineStr">
        <is>
          <t>VÄSTRA GÖTALANDS LÄN</t>
        </is>
      </c>
      <c r="E132" t="inlineStr">
        <is>
          <t>ALE</t>
        </is>
      </c>
      <c r="G132" t="n">
        <v>0.8</v>
      </c>
      <c r="H132" t="n">
        <v>0</v>
      </c>
      <c r="I132" t="n">
        <v>0</v>
      </c>
      <c r="J132" t="n">
        <v>0</v>
      </c>
      <c r="K132" t="n">
        <v>0</v>
      </c>
      <c r="L132" t="n">
        <v>0</v>
      </c>
      <c r="M132" t="n">
        <v>0</v>
      </c>
      <c r="N132" t="n">
        <v>0</v>
      </c>
      <c r="O132" t="n">
        <v>0</v>
      </c>
      <c r="P132" t="n">
        <v>0</v>
      </c>
      <c r="Q132" t="n">
        <v>0</v>
      </c>
      <c r="R132" s="2" t="inlineStr"/>
    </row>
    <row r="133" ht="15" customHeight="1">
      <c r="A133" t="inlineStr">
        <is>
          <t>A 12055-2022</t>
        </is>
      </c>
      <c r="B133" s="1" t="n">
        <v>44636</v>
      </c>
      <c r="C133" s="1" t="n">
        <v>45885</v>
      </c>
      <c r="D133" t="inlineStr">
        <is>
          <t>VÄSTRA GÖTALANDS LÄN</t>
        </is>
      </c>
      <c r="E133" t="inlineStr">
        <is>
          <t>ALE</t>
        </is>
      </c>
      <c r="G133" t="n">
        <v>0.2</v>
      </c>
      <c r="H133" t="n">
        <v>0</v>
      </c>
      <c r="I133" t="n">
        <v>0</v>
      </c>
      <c r="J133" t="n">
        <v>0</v>
      </c>
      <c r="K133" t="n">
        <v>0</v>
      </c>
      <c r="L133" t="n">
        <v>0</v>
      </c>
      <c r="M133" t="n">
        <v>0</v>
      </c>
      <c r="N133" t="n">
        <v>0</v>
      </c>
      <c r="O133" t="n">
        <v>0</v>
      </c>
      <c r="P133" t="n">
        <v>0</v>
      </c>
      <c r="Q133" t="n">
        <v>0</v>
      </c>
      <c r="R133" s="2" t="inlineStr"/>
    </row>
    <row r="134" ht="15" customHeight="1">
      <c r="A134" t="inlineStr">
        <is>
          <t>A 3457-2022</t>
        </is>
      </c>
      <c r="B134" s="1" t="n">
        <v>44585</v>
      </c>
      <c r="C134" s="1" t="n">
        <v>45885</v>
      </c>
      <c r="D134" t="inlineStr">
        <is>
          <t>VÄSTRA GÖTALANDS LÄN</t>
        </is>
      </c>
      <c r="E134" t="inlineStr">
        <is>
          <t>ALE</t>
        </is>
      </c>
      <c r="G134" t="n">
        <v>5.1</v>
      </c>
      <c r="H134" t="n">
        <v>0</v>
      </c>
      <c r="I134" t="n">
        <v>0</v>
      </c>
      <c r="J134" t="n">
        <v>0</v>
      </c>
      <c r="K134" t="n">
        <v>0</v>
      </c>
      <c r="L134" t="n">
        <v>0</v>
      </c>
      <c r="M134" t="n">
        <v>0</v>
      </c>
      <c r="N134" t="n">
        <v>0</v>
      </c>
      <c r="O134" t="n">
        <v>0</v>
      </c>
      <c r="P134" t="n">
        <v>0</v>
      </c>
      <c r="Q134" t="n">
        <v>0</v>
      </c>
      <c r="R134" s="2" t="inlineStr"/>
    </row>
    <row r="135" ht="15" customHeight="1">
      <c r="A135" t="inlineStr">
        <is>
          <t>A 69325-2020</t>
        </is>
      </c>
      <c r="B135" s="1" t="n">
        <v>44193</v>
      </c>
      <c r="C135" s="1" t="n">
        <v>45885</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35959-2022</t>
        </is>
      </c>
      <c r="B136" s="1" t="n">
        <v>44802.57002314815</v>
      </c>
      <c r="C136" s="1" t="n">
        <v>45885</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45885</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5916-2023</t>
        </is>
      </c>
      <c r="B138" s="1" t="n">
        <v>44963</v>
      </c>
      <c r="C138" s="1" t="n">
        <v>45885</v>
      </c>
      <c r="D138" t="inlineStr">
        <is>
          <t>VÄSTRA GÖTALANDS LÄN</t>
        </is>
      </c>
      <c r="E138" t="inlineStr">
        <is>
          <t>ALE</t>
        </is>
      </c>
      <c r="G138" t="n">
        <v>4.2</v>
      </c>
      <c r="H138" t="n">
        <v>0</v>
      </c>
      <c r="I138" t="n">
        <v>0</v>
      </c>
      <c r="J138" t="n">
        <v>0</v>
      </c>
      <c r="K138" t="n">
        <v>0</v>
      </c>
      <c r="L138" t="n">
        <v>0</v>
      </c>
      <c r="M138" t="n">
        <v>0</v>
      </c>
      <c r="N138" t="n">
        <v>0</v>
      </c>
      <c r="O138" t="n">
        <v>0</v>
      </c>
      <c r="P138" t="n">
        <v>0</v>
      </c>
      <c r="Q138" t="n">
        <v>0</v>
      </c>
      <c r="R138" s="2" t="inlineStr"/>
    </row>
    <row r="139" ht="15" customHeight="1">
      <c r="A139" t="inlineStr">
        <is>
          <t>A 17044-2025</t>
        </is>
      </c>
      <c r="B139" s="1" t="n">
        <v>45755.58891203703</v>
      </c>
      <c r="C139" s="1" t="n">
        <v>45885</v>
      </c>
      <c r="D139" t="inlineStr">
        <is>
          <t>VÄSTRA GÖTALANDS LÄN</t>
        </is>
      </c>
      <c r="E139" t="inlineStr">
        <is>
          <t>ALE</t>
        </is>
      </c>
      <c r="G139" t="n">
        <v>1.5</v>
      </c>
      <c r="H139" t="n">
        <v>0</v>
      </c>
      <c r="I139" t="n">
        <v>0</v>
      </c>
      <c r="J139" t="n">
        <v>0</v>
      </c>
      <c r="K139" t="n">
        <v>0</v>
      </c>
      <c r="L139" t="n">
        <v>0</v>
      </c>
      <c r="M139" t="n">
        <v>0</v>
      </c>
      <c r="N139" t="n">
        <v>0</v>
      </c>
      <c r="O139" t="n">
        <v>0</v>
      </c>
      <c r="P139" t="n">
        <v>0</v>
      </c>
      <c r="Q139" t="n">
        <v>0</v>
      </c>
      <c r="R139" s="2" t="inlineStr"/>
    </row>
    <row r="140" ht="15" customHeight="1">
      <c r="A140" t="inlineStr">
        <is>
          <t>A 4363-2024</t>
        </is>
      </c>
      <c r="B140" s="1" t="n">
        <v>45325</v>
      </c>
      <c r="C140" s="1" t="n">
        <v>45885</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34104-2024</t>
        </is>
      </c>
      <c r="B141" s="1" t="n">
        <v>45523.79202546296</v>
      </c>
      <c r="C141" s="1" t="n">
        <v>45885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45885</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18999-2021</t>
        </is>
      </c>
      <c r="B143" s="1" t="n">
        <v>44308</v>
      </c>
      <c r="C143" s="1" t="n">
        <v>45885</v>
      </c>
      <c r="D143" t="inlineStr">
        <is>
          <t>VÄSTRA GÖTALANDS LÄN</t>
        </is>
      </c>
      <c r="E143" t="inlineStr">
        <is>
          <t>ALE</t>
        </is>
      </c>
      <c r="G143" t="n">
        <v>3.7</v>
      </c>
      <c r="H143" t="n">
        <v>0</v>
      </c>
      <c r="I143" t="n">
        <v>0</v>
      </c>
      <c r="J143" t="n">
        <v>0</v>
      </c>
      <c r="K143" t="n">
        <v>0</v>
      </c>
      <c r="L143" t="n">
        <v>0</v>
      </c>
      <c r="M143" t="n">
        <v>0</v>
      </c>
      <c r="N143" t="n">
        <v>0</v>
      </c>
      <c r="O143" t="n">
        <v>0</v>
      </c>
      <c r="P143" t="n">
        <v>0</v>
      </c>
      <c r="Q143" t="n">
        <v>0</v>
      </c>
      <c r="R143" s="2" t="inlineStr"/>
    </row>
    <row r="144" ht="15" customHeight="1">
      <c r="A144" t="inlineStr">
        <is>
          <t>A 16601-2025</t>
        </is>
      </c>
      <c r="B144" s="1" t="n">
        <v>45753.53189814815</v>
      </c>
      <c r="C144" s="1" t="n">
        <v>45885</v>
      </c>
      <c r="D144" t="inlineStr">
        <is>
          <t>VÄSTRA GÖTALANDS LÄN</t>
        </is>
      </c>
      <c r="E144" t="inlineStr">
        <is>
          <t>ALE</t>
        </is>
      </c>
      <c r="G144" t="n">
        <v>1.7</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45885</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1687-2024</t>
        </is>
      </c>
      <c r="B146" s="1" t="n">
        <v>45306</v>
      </c>
      <c r="C146" s="1" t="n">
        <v>45885</v>
      </c>
      <c r="D146" t="inlineStr">
        <is>
          <t>VÄSTRA GÖTALANDS LÄN</t>
        </is>
      </c>
      <c r="E146" t="inlineStr">
        <is>
          <t>ALE</t>
        </is>
      </c>
      <c r="G146" t="n">
        <v>3.4</v>
      </c>
      <c r="H146" t="n">
        <v>0</v>
      </c>
      <c r="I146" t="n">
        <v>0</v>
      </c>
      <c r="J146" t="n">
        <v>0</v>
      </c>
      <c r="K146" t="n">
        <v>0</v>
      </c>
      <c r="L146" t="n">
        <v>0</v>
      </c>
      <c r="M146" t="n">
        <v>0</v>
      </c>
      <c r="N146" t="n">
        <v>0</v>
      </c>
      <c r="O146" t="n">
        <v>0</v>
      </c>
      <c r="P146" t="n">
        <v>0</v>
      </c>
      <c r="Q146" t="n">
        <v>0</v>
      </c>
      <c r="R146" s="2" t="inlineStr"/>
    </row>
    <row r="147" ht="15" customHeight="1">
      <c r="A147" t="inlineStr">
        <is>
          <t>A 50451-2024</t>
        </is>
      </c>
      <c r="B147" s="1" t="n">
        <v>45601.44248842593</v>
      </c>
      <c r="C147" s="1" t="n">
        <v>45885</v>
      </c>
      <c r="D147" t="inlineStr">
        <is>
          <t>VÄSTRA GÖTALANDS LÄN</t>
        </is>
      </c>
      <c r="E147" t="inlineStr">
        <is>
          <t>ALE</t>
        </is>
      </c>
      <c r="G147" t="n">
        <v>2.9</v>
      </c>
      <c r="H147" t="n">
        <v>0</v>
      </c>
      <c r="I147" t="n">
        <v>0</v>
      </c>
      <c r="J147" t="n">
        <v>0</v>
      </c>
      <c r="K147" t="n">
        <v>0</v>
      </c>
      <c r="L147" t="n">
        <v>0</v>
      </c>
      <c r="M147" t="n">
        <v>0</v>
      </c>
      <c r="N147" t="n">
        <v>0</v>
      </c>
      <c r="O147" t="n">
        <v>0</v>
      </c>
      <c r="P147" t="n">
        <v>0</v>
      </c>
      <c r="Q147" t="n">
        <v>0</v>
      </c>
      <c r="R147" s="2" t="inlineStr"/>
    </row>
    <row r="148" ht="15" customHeight="1">
      <c r="A148" t="inlineStr">
        <is>
          <t>A 49680-2024</t>
        </is>
      </c>
      <c r="B148" s="1" t="n">
        <v>45596.66880787037</v>
      </c>
      <c r="C148" s="1" t="n">
        <v>45885</v>
      </c>
      <c r="D148" t="inlineStr">
        <is>
          <t>VÄSTRA GÖTALANDS LÄN</t>
        </is>
      </c>
      <c r="E148" t="inlineStr">
        <is>
          <t>ALE</t>
        </is>
      </c>
      <c r="G148" t="n">
        <v>3.7</v>
      </c>
      <c r="H148" t="n">
        <v>0</v>
      </c>
      <c r="I148" t="n">
        <v>0</v>
      </c>
      <c r="J148" t="n">
        <v>0</v>
      </c>
      <c r="K148" t="n">
        <v>0</v>
      </c>
      <c r="L148" t="n">
        <v>0</v>
      </c>
      <c r="M148" t="n">
        <v>0</v>
      </c>
      <c r="N148" t="n">
        <v>0</v>
      </c>
      <c r="O148" t="n">
        <v>0</v>
      </c>
      <c r="P148" t="n">
        <v>0</v>
      </c>
      <c r="Q148" t="n">
        <v>0</v>
      </c>
      <c r="R148" s="2" t="inlineStr"/>
    </row>
    <row r="149" ht="15" customHeight="1">
      <c r="A149" t="inlineStr">
        <is>
          <t>A 1500-2024</t>
        </is>
      </c>
      <c r="B149" s="1" t="n">
        <v>45306</v>
      </c>
      <c r="C149" s="1" t="n">
        <v>45885</v>
      </c>
      <c r="D149" t="inlineStr">
        <is>
          <t>VÄSTRA GÖTALANDS LÄN</t>
        </is>
      </c>
      <c r="E149" t="inlineStr">
        <is>
          <t>ALE</t>
        </is>
      </c>
      <c r="G149" t="n">
        <v>1.3</v>
      </c>
      <c r="H149" t="n">
        <v>0</v>
      </c>
      <c r="I149" t="n">
        <v>0</v>
      </c>
      <c r="J149" t="n">
        <v>0</v>
      </c>
      <c r="K149" t="n">
        <v>0</v>
      </c>
      <c r="L149" t="n">
        <v>0</v>
      </c>
      <c r="M149" t="n">
        <v>0</v>
      </c>
      <c r="N149" t="n">
        <v>0</v>
      </c>
      <c r="O149" t="n">
        <v>0</v>
      </c>
      <c r="P149" t="n">
        <v>0</v>
      </c>
      <c r="Q149" t="n">
        <v>0</v>
      </c>
      <c r="R149" s="2" t="inlineStr"/>
    </row>
    <row r="150" ht="15" customHeight="1">
      <c r="A150" t="inlineStr">
        <is>
          <t>A 6916-2023</t>
        </is>
      </c>
      <c r="B150" s="1" t="n">
        <v>44967.53349537037</v>
      </c>
      <c r="C150" s="1" t="n">
        <v>45885</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c r="A151" t="inlineStr">
        <is>
          <t>A 64199-2021</t>
        </is>
      </c>
      <c r="B151" s="1" t="n">
        <v>44510</v>
      </c>
      <c r="C151" s="1" t="n">
        <v>45885</v>
      </c>
      <c r="D151" t="inlineStr">
        <is>
          <t>VÄSTRA GÖTALANDS LÄN</t>
        </is>
      </c>
      <c r="E151" t="inlineStr">
        <is>
          <t>ALE</t>
        </is>
      </c>
      <c r="G151" t="n">
        <v>5.7</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2025-08-16T08:31:29Z</dcterms:created>
  <dcterms:modified xmlns:dcterms="http://purl.org/dc/terms/" xmlns:xsi="http://www.w3.org/2001/XMLSchema-instance" xsi:type="dcterms:W3CDTF">2025-08-16T08:31:29Z</dcterms:modified>
</cp:coreProperties>
</file>