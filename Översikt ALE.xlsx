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45882</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45882</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45882</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45882</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45882</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45882</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45882</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45882</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45882</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45882</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45882</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45882</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45882</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45882</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58954-2022</t>
        </is>
      </c>
      <c r="B18" s="1" t="n">
        <v>44903</v>
      </c>
      <c r="C18" s="1" t="n">
        <v>45882</v>
      </c>
      <c r="D18" t="inlineStr">
        <is>
          <t>VÄSTRA GÖTALANDS LÄN</t>
        </is>
      </c>
      <c r="E18" t="inlineStr">
        <is>
          <t>ALE</t>
        </is>
      </c>
      <c r="G18" t="n">
        <v>2.3</v>
      </c>
      <c r="H18" t="n">
        <v>1</v>
      </c>
      <c r="I18" t="n">
        <v>1</v>
      </c>
      <c r="J18" t="n">
        <v>1</v>
      </c>
      <c r="K18" t="n">
        <v>0</v>
      </c>
      <c r="L18" t="n">
        <v>0</v>
      </c>
      <c r="M18" t="n">
        <v>0</v>
      </c>
      <c r="N18" t="n">
        <v>0</v>
      </c>
      <c r="O18" t="n">
        <v>1</v>
      </c>
      <c r="P18" t="n">
        <v>0</v>
      </c>
      <c r="Q18" t="n">
        <v>2</v>
      </c>
      <c r="R18" s="2" t="inlineStr">
        <is>
          <t>Spillkråka
Västlig hakmossa</t>
        </is>
      </c>
      <c r="S18">
        <f>HYPERLINK("https://klasma.github.io/Logging_1440/artfynd/A 58954-2022 artfynd.xlsx", "A 58954-2022")</f>
        <v/>
      </c>
      <c r="T18">
        <f>HYPERLINK("https://klasma.github.io/Logging_1440/kartor/A 58954-2022 karta.png", "A 58954-2022")</f>
        <v/>
      </c>
      <c r="V18">
        <f>HYPERLINK("https://klasma.github.io/Logging_1440/klagomål/A 58954-2022 FSC-klagomål.docx", "A 58954-2022")</f>
        <v/>
      </c>
      <c r="W18">
        <f>HYPERLINK("https://klasma.github.io/Logging_1440/klagomålsmail/A 58954-2022 FSC-klagomål mail.docx", "A 58954-2022")</f>
        <v/>
      </c>
      <c r="X18">
        <f>HYPERLINK("https://klasma.github.io/Logging_1440/tillsyn/A 58954-2022 tillsynsbegäran.docx", "A 58954-2022")</f>
        <v/>
      </c>
      <c r="Y18">
        <f>HYPERLINK("https://klasma.github.io/Logging_1440/tillsynsmail/A 58954-2022 tillsynsbegäran mail.docx", "A 58954-2022")</f>
        <v/>
      </c>
      <c r="Z18">
        <f>HYPERLINK("https://klasma.github.io/Logging_1440/fåglar/A 58954-2022 prioriterade fågelarter.docx", "A 58954-2022")</f>
        <v/>
      </c>
    </row>
    <row r="19" ht="15" customHeight="1">
      <c r="A19" t="inlineStr">
        <is>
          <t>A 20586-2023</t>
        </is>
      </c>
      <c r="B19" s="1" t="n">
        <v>45057</v>
      </c>
      <c r="C19" s="1" t="n">
        <v>45882</v>
      </c>
      <c r="D19" t="inlineStr">
        <is>
          <t>VÄSTRA GÖTALANDS LÄN</t>
        </is>
      </c>
      <c r="E19" t="inlineStr">
        <is>
          <t>ALE</t>
        </is>
      </c>
      <c r="G19" t="n">
        <v>1.5</v>
      </c>
      <c r="H19" t="n">
        <v>1</v>
      </c>
      <c r="I19" t="n">
        <v>1</v>
      </c>
      <c r="J19" t="n">
        <v>1</v>
      </c>
      <c r="K19" t="n">
        <v>0</v>
      </c>
      <c r="L19" t="n">
        <v>0</v>
      </c>
      <c r="M19" t="n">
        <v>0</v>
      </c>
      <c r="N19" t="n">
        <v>0</v>
      </c>
      <c r="O19" t="n">
        <v>1</v>
      </c>
      <c r="P19" t="n">
        <v>0</v>
      </c>
      <c r="Q19" t="n">
        <v>2</v>
      </c>
      <c r="R19" s="2" t="inlineStr">
        <is>
          <t>Entita
Västlig hakmossa</t>
        </is>
      </c>
      <c r="S19">
        <f>HYPERLINK("https://klasma.github.io/Logging_1440/artfynd/A 20586-2023 artfynd.xlsx", "A 20586-2023")</f>
        <v/>
      </c>
      <c r="T19">
        <f>HYPERLINK("https://klasma.github.io/Logging_1440/kartor/A 20586-2023 karta.png", "A 20586-2023")</f>
        <v/>
      </c>
      <c r="V19">
        <f>HYPERLINK("https://klasma.github.io/Logging_1440/klagomål/A 20586-2023 FSC-klagomål.docx", "A 20586-2023")</f>
        <v/>
      </c>
      <c r="W19">
        <f>HYPERLINK("https://klasma.github.io/Logging_1440/klagomålsmail/A 20586-2023 FSC-klagomål mail.docx", "A 20586-2023")</f>
        <v/>
      </c>
      <c r="X19">
        <f>HYPERLINK("https://klasma.github.io/Logging_1440/tillsyn/A 20586-2023 tillsynsbegäran.docx", "A 20586-2023")</f>
        <v/>
      </c>
      <c r="Y19">
        <f>HYPERLINK("https://klasma.github.io/Logging_1440/tillsynsmail/A 20586-2023 tillsynsbegäran mail.docx", "A 20586-2023")</f>
        <v/>
      </c>
      <c r="Z19">
        <f>HYPERLINK("https://klasma.github.io/Logging_1440/fåglar/A 20586-2023 prioriterade fågelarter.docx", "A 20586-2023")</f>
        <v/>
      </c>
    </row>
    <row r="20" ht="15" customHeight="1">
      <c r="A20" t="inlineStr">
        <is>
          <t>A 380-2025</t>
        </is>
      </c>
      <c r="B20" s="1" t="n">
        <v>45662.43456018518</v>
      </c>
      <c r="C20" s="1" t="n">
        <v>45882</v>
      </c>
      <c r="D20" t="inlineStr">
        <is>
          <t>VÄSTRA GÖTALANDS LÄN</t>
        </is>
      </c>
      <c r="E20" t="inlineStr">
        <is>
          <t>ALE</t>
        </is>
      </c>
      <c r="G20" t="n">
        <v>8.6</v>
      </c>
      <c r="H20" t="n">
        <v>1</v>
      </c>
      <c r="I20" t="n">
        <v>1</v>
      </c>
      <c r="J20" t="n">
        <v>1</v>
      </c>
      <c r="K20" t="n">
        <v>0</v>
      </c>
      <c r="L20" t="n">
        <v>0</v>
      </c>
      <c r="M20" t="n">
        <v>0</v>
      </c>
      <c r="N20" t="n">
        <v>0</v>
      </c>
      <c r="O20" t="n">
        <v>1</v>
      </c>
      <c r="P20" t="n">
        <v>0</v>
      </c>
      <c r="Q20" t="n">
        <v>2</v>
      </c>
      <c r="R20" s="2" t="inlineStr">
        <is>
          <t>Spillkråka
Blåmossa</t>
        </is>
      </c>
      <c r="S20">
        <f>HYPERLINK("https://klasma.github.io/Logging_1440/artfynd/A 380-2025 artfynd.xlsx", "A 380-2025")</f>
        <v/>
      </c>
      <c r="T20">
        <f>HYPERLINK("https://klasma.github.io/Logging_1440/kartor/A 380-2025 karta.png", "A 380-2025")</f>
        <v/>
      </c>
      <c r="V20">
        <f>HYPERLINK("https://klasma.github.io/Logging_1440/klagomål/A 380-2025 FSC-klagomål.docx", "A 380-2025")</f>
        <v/>
      </c>
      <c r="W20">
        <f>HYPERLINK("https://klasma.github.io/Logging_1440/klagomålsmail/A 380-2025 FSC-klagomål mail.docx", "A 380-2025")</f>
        <v/>
      </c>
      <c r="X20">
        <f>HYPERLINK("https://klasma.github.io/Logging_1440/tillsyn/A 380-2025 tillsynsbegäran.docx", "A 380-2025")</f>
        <v/>
      </c>
      <c r="Y20">
        <f>HYPERLINK("https://klasma.github.io/Logging_1440/tillsynsmail/A 380-2025 tillsynsbegäran mail.docx", "A 380-2025")</f>
        <v/>
      </c>
      <c r="Z20">
        <f>HYPERLINK("https://klasma.github.io/Logging_1440/fåglar/A 380-2025 prioriterade fågelarter.docx", "A 380-2025")</f>
        <v/>
      </c>
    </row>
    <row r="21" ht="15" customHeight="1">
      <c r="A21" t="inlineStr">
        <is>
          <t>A 8955-2025</t>
        </is>
      </c>
      <c r="B21" s="1" t="n">
        <v>45713.46528935185</v>
      </c>
      <c r="C21" s="1" t="n">
        <v>45882</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16534-2025</t>
        </is>
      </c>
      <c r="B22" s="1" t="n">
        <v>45751.65315972222</v>
      </c>
      <c r="C22" s="1" t="n">
        <v>45882</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16534-2025 artfynd.xlsx", "A 16534-2025")</f>
        <v/>
      </c>
      <c r="T22">
        <f>HYPERLINK("https://klasma.github.io/Logging_1440/kartor/A 16534-2025 karta.png", "A 16534-2025")</f>
        <v/>
      </c>
      <c r="V22">
        <f>HYPERLINK("https://klasma.github.io/Logging_1440/klagomål/A 16534-2025 FSC-klagomål.docx", "A 16534-2025")</f>
        <v/>
      </c>
      <c r="W22">
        <f>HYPERLINK("https://klasma.github.io/Logging_1440/klagomålsmail/A 16534-2025 FSC-klagomål mail.docx", "A 16534-2025")</f>
        <v/>
      </c>
      <c r="X22">
        <f>HYPERLINK("https://klasma.github.io/Logging_1440/tillsyn/A 16534-2025 tillsynsbegäran.docx", "A 16534-2025")</f>
        <v/>
      </c>
      <c r="Y22">
        <f>HYPERLINK("https://klasma.github.io/Logging_1440/tillsynsmail/A 16534-2025 tillsynsbegäran mail.docx", "A 16534-2025")</f>
        <v/>
      </c>
      <c r="Z22">
        <f>HYPERLINK("https://klasma.github.io/Logging_1440/fåglar/A 16534-2025 prioriterade fågelarter.docx", "A 16534-2025")</f>
        <v/>
      </c>
    </row>
    <row r="23" ht="15" customHeight="1">
      <c r="A23" t="inlineStr">
        <is>
          <t>A 63569-2023</t>
        </is>
      </c>
      <c r="B23" s="1" t="n">
        <v>45275</v>
      </c>
      <c r="C23" s="1" t="n">
        <v>45882</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1503-2024</t>
        </is>
      </c>
      <c r="B24" s="1" t="n">
        <v>45306.35041666667</v>
      </c>
      <c r="C24" s="1" t="n">
        <v>45882</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45673.54403935185</v>
      </c>
      <c r="C25" s="1" t="n">
        <v>45882</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13380-2025</t>
        </is>
      </c>
      <c r="B26" s="1" t="n">
        <v>45735.6765162037</v>
      </c>
      <c r="C26" s="1" t="n">
        <v>45882</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12084-2025</t>
        </is>
      </c>
      <c r="B27" s="1" t="n">
        <v>45728.95387731482</v>
      </c>
      <c r="C27" s="1" t="n">
        <v>45882</v>
      </c>
      <c r="D27" t="inlineStr">
        <is>
          <t>VÄSTRA GÖTALANDS LÄN</t>
        </is>
      </c>
      <c r="E27" t="inlineStr">
        <is>
          <t>ALE</t>
        </is>
      </c>
      <c r="G27" t="n">
        <v>2.4</v>
      </c>
      <c r="H27" t="n">
        <v>1</v>
      </c>
      <c r="I27" t="n">
        <v>0</v>
      </c>
      <c r="J27" t="n">
        <v>1</v>
      </c>
      <c r="K27" t="n">
        <v>0</v>
      </c>
      <c r="L27" t="n">
        <v>0</v>
      </c>
      <c r="M27" t="n">
        <v>0</v>
      </c>
      <c r="N27" t="n">
        <v>0</v>
      </c>
      <c r="O27" t="n">
        <v>1</v>
      </c>
      <c r="P27" t="n">
        <v>0</v>
      </c>
      <c r="Q27" t="n">
        <v>1</v>
      </c>
      <c r="R27" s="2" t="inlineStr">
        <is>
          <t>Spillkråka</t>
        </is>
      </c>
      <c r="S27">
        <f>HYPERLINK("https://klasma.github.io/Logging_1440/artfynd/A 12084-2025 artfynd.xlsx", "A 12084-2025")</f>
        <v/>
      </c>
      <c r="T27">
        <f>HYPERLINK("https://klasma.github.io/Logging_1440/kartor/A 12084-2025 karta.png", "A 12084-2025")</f>
        <v/>
      </c>
      <c r="V27">
        <f>HYPERLINK("https://klasma.github.io/Logging_1440/klagomål/A 12084-2025 FSC-klagomål.docx", "A 12084-2025")</f>
        <v/>
      </c>
      <c r="W27">
        <f>HYPERLINK("https://klasma.github.io/Logging_1440/klagomålsmail/A 12084-2025 FSC-klagomål mail.docx", "A 12084-2025")</f>
        <v/>
      </c>
      <c r="X27">
        <f>HYPERLINK("https://klasma.github.io/Logging_1440/tillsyn/A 12084-2025 tillsynsbegäran.docx", "A 12084-2025")</f>
        <v/>
      </c>
      <c r="Y27">
        <f>HYPERLINK("https://klasma.github.io/Logging_1440/tillsynsmail/A 12084-2025 tillsynsbegäran mail.docx", "A 12084-2025")</f>
        <v/>
      </c>
      <c r="Z27">
        <f>HYPERLINK("https://klasma.github.io/Logging_1440/fåglar/A 12084-2025 prioriterade fågelarter.docx", "A 12084-2025")</f>
        <v/>
      </c>
    </row>
    <row r="28" ht="15" customHeight="1">
      <c r="A28" t="inlineStr">
        <is>
          <t>A 26493-2024</t>
        </is>
      </c>
      <c r="B28" s="1" t="n">
        <v>45469</v>
      </c>
      <c r="C28" s="1" t="n">
        <v>45882</v>
      </c>
      <c r="D28" t="inlineStr">
        <is>
          <t>VÄSTRA GÖTALANDS LÄN</t>
        </is>
      </c>
      <c r="E28" t="inlineStr">
        <is>
          <t>ALE</t>
        </is>
      </c>
      <c r="G28" t="n">
        <v>1.6</v>
      </c>
      <c r="H28" t="n">
        <v>1</v>
      </c>
      <c r="I28" t="n">
        <v>0</v>
      </c>
      <c r="J28" t="n">
        <v>0</v>
      </c>
      <c r="K28" t="n">
        <v>0</v>
      </c>
      <c r="L28" t="n">
        <v>0</v>
      </c>
      <c r="M28" t="n">
        <v>0</v>
      </c>
      <c r="N28" t="n">
        <v>0</v>
      </c>
      <c r="O28" t="n">
        <v>0</v>
      </c>
      <c r="P28" t="n">
        <v>0</v>
      </c>
      <c r="Q28" t="n">
        <v>1</v>
      </c>
      <c r="R28" s="2" t="inlineStr">
        <is>
          <t>Grönvit nattviol</t>
        </is>
      </c>
      <c r="S28">
        <f>HYPERLINK("https://klasma.github.io/Logging_1440/artfynd/A 26493-2024 artfynd.xlsx", "A 26493-2024")</f>
        <v/>
      </c>
      <c r="T28">
        <f>HYPERLINK("https://klasma.github.io/Logging_1440/kartor/A 26493-2024 karta.png", "A 26493-2024")</f>
        <v/>
      </c>
      <c r="V28">
        <f>HYPERLINK("https://klasma.github.io/Logging_1440/klagomål/A 26493-2024 FSC-klagomål.docx", "A 26493-2024")</f>
        <v/>
      </c>
      <c r="W28">
        <f>HYPERLINK("https://klasma.github.io/Logging_1440/klagomålsmail/A 26493-2024 FSC-klagomål mail.docx", "A 26493-2024")</f>
        <v/>
      </c>
      <c r="X28">
        <f>HYPERLINK("https://klasma.github.io/Logging_1440/tillsyn/A 26493-2024 tillsynsbegäran.docx", "A 26493-2024")</f>
        <v/>
      </c>
      <c r="Y28">
        <f>HYPERLINK("https://klasma.github.io/Logging_1440/tillsynsmail/A 26493-2024 tillsynsbegäran mail.docx", "A 26493-2024")</f>
        <v/>
      </c>
    </row>
    <row r="29" ht="15" customHeight="1">
      <c r="A29" t="inlineStr">
        <is>
          <t>A 26677-2025</t>
        </is>
      </c>
      <c r="B29" s="1" t="n">
        <v>45810.42446759259</v>
      </c>
      <c r="C29" s="1" t="n">
        <v>45882</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45882</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45882</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45882</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45882</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45882</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45882</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45882</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45882</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45882</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45882</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45882</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45882</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45882</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45882</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45882</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45882</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14751-2022</t>
        </is>
      </c>
      <c r="B46" s="1" t="n">
        <v>44656.3837037037</v>
      </c>
      <c r="C46" s="1" t="n">
        <v>45882</v>
      </c>
      <c r="D46" t="inlineStr">
        <is>
          <t>VÄSTRA GÖTALANDS LÄN</t>
        </is>
      </c>
      <c r="E46" t="inlineStr">
        <is>
          <t>ALE</t>
        </is>
      </c>
      <c r="G46" t="n">
        <v>1.6</v>
      </c>
      <c r="H46" t="n">
        <v>0</v>
      </c>
      <c r="I46" t="n">
        <v>0</v>
      </c>
      <c r="J46" t="n">
        <v>0</v>
      </c>
      <c r="K46" t="n">
        <v>0</v>
      </c>
      <c r="L46" t="n">
        <v>0</v>
      </c>
      <c r="M46" t="n">
        <v>0</v>
      </c>
      <c r="N46" t="n">
        <v>0</v>
      </c>
      <c r="O46" t="n">
        <v>0</v>
      </c>
      <c r="P46" t="n">
        <v>0</v>
      </c>
      <c r="Q46" t="n">
        <v>0</v>
      </c>
      <c r="R46" s="2" t="inlineStr"/>
    </row>
    <row r="47" ht="15" customHeight="1">
      <c r="A47" t="inlineStr">
        <is>
          <t>A 15508-2022</t>
        </is>
      </c>
      <c r="B47" s="1" t="n">
        <v>44662.39761574074</v>
      </c>
      <c r="C47" s="1" t="n">
        <v>45882</v>
      </c>
      <c r="D47" t="inlineStr">
        <is>
          <t>VÄSTRA GÖTALANDS LÄN</t>
        </is>
      </c>
      <c r="E47" t="inlineStr">
        <is>
          <t>ALE</t>
        </is>
      </c>
      <c r="G47" t="n">
        <v>0.4</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45882</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31566-2021</t>
        </is>
      </c>
      <c r="B49" s="1" t="n">
        <v>44369</v>
      </c>
      <c r="C49" s="1" t="n">
        <v>45882</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45882</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45882</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20285-2022</t>
        </is>
      </c>
      <c r="B52" s="1" t="n">
        <v>44698.76347222222</v>
      </c>
      <c r="C52" s="1" t="n">
        <v>45882</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45882</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45882</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45882</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3293-2021</t>
        </is>
      </c>
      <c r="B56" s="1" t="n">
        <v>44217</v>
      </c>
      <c r="C56" s="1" t="n">
        <v>45882</v>
      </c>
      <c r="D56" t="inlineStr">
        <is>
          <t>VÄSTRA GÖTALANDS LÄN</t>
        </is>
      </c>
      <c r="E56" t="inlineStr">
        <is>
          <t>ALE</t>
        </is>
      </c>
      <c r="G56" t="n">
        <v>4.2</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45882</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12445-2022</t>
        </is>
      </c>
      <c r="B58" s="1" t="n">
        <v>44638</v>
      </c>
      <c r="C58" s="1" t="n">
        <v>45882</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3520-2022</t>
        </is>
      </c>
      <c r="B59" s="1" t="n">
        <v>44585.72818287037</v>
      </c>
      <c r="C59" s="1" t="n">
        <v>45882</v>
      </c>
      <c r="D59" t="inlineStr">
        <is>
          <t>VÄSTRA GÖTALANDS LÄN</t>
        </is>
      </c>
      <c r="E59" t="inlineStr">
        <is>
          <t>ALE</t>
        </is>
      </c>
      <c r="G59" t="n">
        <v>2.3</v>
      </c>
      <c r="H59" t="n">
        <v>0</v>
      </c>
      <c r="I59" t="n">
        <v>0</v>
      </c>
      <c r="J59" t="n">
        <v>0</v>
      </c>
      <c r="K59" t="n">
        <v>0</v>
      </c>
      <c r="L59" t="n">
        <v>0</v>
      </c>
      <c r="M59" t="n">
        <v>0</v>
      </c>
      <c r="N59" t="n">
        <v>0</v>
      </c>
      <c r="O59" t="n">
        <v>0</v>
      </c>
      <c r="P59" t="n">
        <v>0</v>
      </c>
      <c r="Q59" t="n">
        <v>0</v>
      </c>
      <c r="R59" s="2" t="inlineStr"/>
    </row>
    <row r="60" ht="15" customHeight="1">
      <c r="A60" t="inlineStr">
        <is>
          <t>A 65226-2021</t>
        </is>
      </c>
      <c r="B60" s="1" t="n">
        <v>44515</v>
      </c>
      <c r="C60" s="1" t="n">
        <v>45882</v>
      </c>
      <c r="D60" t="inlineStr">
        <is>
          <t>VÄSTRA GÖTALANDS LÄN</t>
        </is>
      </c>
      <c r="E60" t="inlineStr">
        <is>
          <t>ALE</t>
        </is>
      </c>
      <c r="G60" t="n">
        <v>0.7</v>
      </c>
      <c r="H60" t="n">
        <v>0</v>
      </c>
      <c r="I60" t="n">
        <v>0</v>
      </c>
      <c r="J60" t="n">
        <v>0</v>
      </c>
      <c r="K60" t="n">
        <v>0</v>
      </c>
      <c r="L60" t="n">
        <v>0</v>
      </c>
      <c r="M60" t="n">
        <v>0</v>
      </c>
      <c r="N60" t="n">
        <v>0</v>
      </c>
      <c r="O60" t="n">
        <v>0</v>
      </c>
      <c r="P60" t="n">
        <v>0</v>
      </c>
      <c r="Q60" t="n">
        <v>0</v>
      </c>
      <c r="R60" s="2" t="inlineStr"/>
    </row>
    <row r="61" ht="15" customHeight="1">
      <c r="A61" t="inlineStr">
        <is>
          <t>A 9193-2025</t>
        </is>
      </c>
      <c r="B61" s="1" t="n">
        <v>45714</v>
      </c>
      <c r="C61" s="1" t="n">
        <v>45882</v>
      </c>
      <c r="D61" t="inlineStr">
        <is>
          <t>VÄSTRA GÖTALANDS LÄN</t>
        </is>
      </c>
      <c r="E61" t="inlineStr">
        <is>
          <t>ALE</t>
        </is>
      </c>
      <c r="G61" t="n">
        <v>7.1</v>
      </c>
      <c r="H61" t="n">
        <v>0</v>
      </c>
      <c r="I61" t="n">
        <v>0</v>
      </c>
      <c r="J61" t="n">
        <v>0</v>
      </c>
      <c r="K61" t="n">
        <v>0</v>
      </c>
      <c r="L61" t="n">
        <v>0</v>
      </c>
      <c r="M61" t="n">
        <v>0</v>
      </c>
      <c r="N61" t="n">
        <v>0</v>
      </c>
      <c r="O61" t="n">
        <v>0</v>
      </c>
      <c r="P61" t="n">
        <v>0</v>
      </c>
      <c r="Q61" t="n">
        <v>0</v>
      </c>
      <c r="R61" s="2" t="inlineStr"/>
    </row>
    <row r="62" ht="15" customHeight="1">
      <c r="A62" t="inlineStr">
        <is>
          <t>A 42660-2024</t>
        </is>
      </c>
      <c r="B62" s="1" t="n">
        <v>45566.33841435185</v>
      </c>
      <c r="C62" s="1" t="n">
        <v>45882</v>
      </c>
      <c r="D62" t="inlineStr">
        <is>
          <t>VÄSTRA GÖTALANDS LÄN</t>
        </is>
      </c>
      <c r="E62" t="inlineStr">
        <is>
          <t>ALE</t>
        </is>
      </c>
      <c r="G62" t="n">
        <v>2.5</v>
      </c>
      <c r="H62" t="n">
        <v>0</v>
      </c>
      <c r="I62" t="n">
        <v>0</v>
      </c>
      <c r="J62" t="n">
        <v>0</v>
      </c>
      <c r="K62" t="n">
        <v>0</v>
      </c>
      <c r="L62" t="n">
        <v>0</v>
      </c>
      <c r="M62" t="n">
        <v>0</v>
      </c>
      <c r="N62" t="n">
        <v>0</v>
      </c>
      <c r="O62" t="n">
        <v>0</v>
      </c>
      <c r="P62" t="n">
        <v>0</v>
      </c>
      <c r="Q62" t="n">
        <v>0</v>
      </c>
      <c r="R62" s="2" t="inlineStr"/>
    </row>
    <row r="63" ht="15" customHeight="1">
      <c r="A63" t="inlineStr">
        <is>
          <t>A 15241-2025</t>
        </is>
      </c>
      <c r="B63" s="1" t="n">
        <v>45744.61255787037</v>
      </c>
      <c r="C63" s="1" t="n">
        <v>45882</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45882</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49680-2024</t>
        </is>
      </c>
      <c r="B65" s="1" t="n">
        <v>45596.66880787037</v>
      </c>
      <c r="C65" s="1" t="n">
        <v>45882</v>
      </c>
      <c r="D65" t="inlineStr">
        <is>
          <t>VÄSTRA GÖTALANDS LÄN</t>
        </is>
      </c>
      <c r="E65" t="inlineStr">
        <is>
          <t>ALE</t>
        </is>
      </c>
      <c r="G65" t="n">
        <v>3.7</v>
      </c>
      <c r="H65" t="n">
        <v>0</v>
      </c>
      <c r="I65" t="n">
        <v>0</v>
      </c>
      <c r="J65" t="n">
        <v>0</v>
      </c>
      <c r="K65" t="n">
        <v>0</v>
      </c>
      <c r="L65" t="n">
        <v>0</v>
      </c>
      <c r="M65" t="n">
        <v>0</v>
      </c>
      <c r="N65" t="n">
        <v>0</v>
      </c>
      <c r="O65" t="n">
        <v>0</v>
      </c>
      <c r="P65" t="n">
        <v>0</v>
      </c>
      <c r="Q65" t="n">
        <v>0</v>
      </c>
      <c r="R65" s="2" t="inlineStr"/>
    </row>
    <row r="66" ht="15" customHeight="1">
      <c r="A66" t="inlineStr">
        <is>
          <t>A 34153-2024</t>
        </is>
      </c>
      <c r="B66" s="1" t="n">
        <v>45524.38400462963</v>
      </c>
      <c r="C66" s="1" t="n">
        <v>45882</v>
      </c>
      <c r="D66" t="inlineStr">
        <is>
          <t>VÄSTRA GÖTALANDS LÄN</t>
        </is>
      </c>
      <c r="E66" t="inlineStr">
        <is>
          <t>ALE</t>
        </is>
      </c>
      <c r="G66" t="n">
        <v>0.8</v>
      </c>
      <c r="H66" t="n">
        <v>0</v>
      </c>
      <c r="I66" t="n">
        <v>0</v>
      </c>
      <c r="J66" t="n">
        <v>0</v>
      </c>
      <c r="K66" t="n">
        <v>0</v>
      </c>
      <c r="L66" t="n">
        <v>0</v>
      </c>
      <c r="M66" t="n">
        <v>0</v>
      </c>
      <c r="N66" t="n">
        <v>0</v>
      </c>
      <c r="O66" t="n">
        <v>0</v>
      </c>
      <c r="P66" t="n">
        <v>0</v>
      </c>
      <c r="Q66" t="n">
        <v>0</v>
      </c>
      <c r="R66" s="2" t="inlineStr"/>
    </row>
    <row r="67" ht="15" customHeight="1">
      <c r="A67" t="inlineStr">
        <is>
          <t>A 14731-2022</t>
        </is>
      </c>
      <c r="B67" s="1" t="n">
        <v>44656</v>
      </c>
      <c r="C67" s="1" t="n">
        <v>45882</v>
      </c>
      <c r="D67" t="inlineStr">
        <is>
          <t>VÄSTRA GÖTALANDS LÄN</t>
        </is>
      </c>
      <c r="E67" t="inlineStr">
        <is>
          <t>ALE</t>
        </is>
      </c>
      <c r="G67" t="n">
        <v>1.8</v>
      </c>
      <c r="H67" t="n">
        <v>0</v>
      </c>
      <c r="I67" t="n">
        <v>0</v>
      </c>
      <c r="J67" t="n">
        <v>0</v>
      </c>
      <c r="K67" t="n">
        <v>0</v>
      </c>
      <c r="L67" t="n">
        <v>0</v>
      </c>
      <c r="M67" t="n">
        <v>0</v>
      </c>
      <c r="N67" t="n">
        <v>0</v>
      </c>
      <c r="O67" t="n">
        <v>0</v>
      </c>
      <c r="P67" t="n">
        <v>0</v>
      </c>
      <c r="Q67" t="n">
        <v>0</v>
      </c>
      <c r="R67" s="2" t="inlineStr"/>
    </row>
    <row r="68" ht="15" customHeight="1">
      <c r="A68" t="inlineStr">
        <is>
          <t>A 44429-2023</t>
        </is>
      </c>
      <c r="B68" s="1" t="n">
        <v>45189.35101851852</v>
      </c>
      <c r="C68" s="1" t="n">
        <v>45882</v>
      </c>
      <c r="D68" t="inlineStr">
        <is>
          <t>VÄSTRA GÖTALANDS LÄN</t>
        </is>
      </c>
      <c r="E68" t="inlineStr">
        <is>
          <t>ALE</t>
        </is>
      </c>
      <c r="G68" t="n">
        <v>0.1</v>
      </c>
      <c r="H68" t="n">
        <v>0</v>
      </c>
      <c r="I68" t="n">
        <v>0</v>
      </c>
      <c r="J68" t="n">
        <v>0</v>
      </c>
      <c r="K68" t="n">
        <v>0</v>
      </c>
      <c r="L68" t="n">
        <v>0</v>
      </c>
      <c r="M68" t="n">
        <v>0</v>
      </c>
      <c r="N68" t="n">
        <v>0</v>
      </c>
      <c r="O68" t="n">
        <v>0</v>
      </c>
      <c r="P68" t="n">
        <v>0</v>
      </c>
      <c r="Q68" t="n">
        <v>0</v>
      </c>
      <c r="R68" s="2" t="inlineStr"/>
    </row>
    <row r="69" ht="15" customHeight="1">
      <c r="A69" t="inlineStr">
        <is>
          <t>A 17044-2025</t>
        </is>
      </c>
      <c r="B69" s="1" t="n">
        <v>45755.58891203703</v>
      </c>
      <c r="C69" s="1" t="n">
        <v>45882</v>
      </c>
      <c r="D69" t="inlineStr">
        <is>
          <t>VÄSTRA GÖTALANDS LÄN</t>
        </is>
      </c>
      <c r="E69" t="inlineStr">
        <is>
          <t>ALE</t>
        </is>
      </c>
      <c r="G69" t="n">
        <v>1.5</v>
      </c>
      <c r="H69" t="n">
        <v>0</v>
      </c>
      <c r="I69" t="n">
        <v>0</v>
      </c>
      <c r="J69" t="n">
        <v>0</v>
      </c>
      <c r="K69" t="n">
        <v>0</v>
      </c>
      <c r="L69" t="n">
        <v>0</v>
      </c>
      <c r="M69" t="n">
        <v>0</v>
      </c>
      <c r="N69" t="n">
        <v>0</v>
      </c>
      <c r="O69" t="n">
        <v>0</v>
      </c>
      <c r="P69" t="n">
        <v>0</v>
      </c>
      <c r="Q69" t="n">
        <v>0</v>
      </c>
      <c r="R69" s="2" t="inlineStr"/>
    </row>
    <row r="70" ht="15" customHeight="1">
      <c r="A70" t="inlineStr">
        <is>
          <t>A 55488-2022</t>
        </is>
      </c>
      <c r="B70" s="1" t="n">
        <v>44887</v>
      </c>
      <c r="C70" s="1" t="n">
        <v>45882</v>
      </c>
      <c r="D70" t="inlineStr">
        <is>
          <t>VÄSTRA GÖTALANDS LÄN</t>
        </is>
      </c>
      <c r="E70" t="inlineStr">
        <is>
          <t>ALE</t>
        </is>
      </c>
      <c r="G70" t="n">
        <v>2.5</v>
      </c>
      <c r="H70" t="n">
        <v>0</v>
      </c>
      <c r="I70" t="n">
        <v>0</v>
      </c>
      <c r="J70" t="n">
        <v>0</v>
      </c>
      <c r="K70" t="n">
        <v>0</v>
      </c>
      <c r="L70" t="n">
        <v>0</v>
      </c>
      <c r="M70" t="n">
        <v>0</v>
      </c>
      <c r="N70" t="n">
        <v>0</v>
      </c>
      <c r="O70" t="n">
        <v>0</v>
      </c>
      <c r="P70" t="n">
        <v>0</v>
      </c>
      <c r="Q70" t="n">
        <v>0</v>
      </c>
      <c r="R70" s="2" t="inlineStr"/>
    </row>
    <row r="71" ht="15" customHeight="1">
      <c r="A71" t="inlineStr">
        <is>
          <t>A 41598-2022</t>
        </is>
      </c>
      <c r="B71" s="1" t="n">
        <v>44827.4609837963</v>
      </c>
      <c r="C71" s="1" t="n">
        <v>45882</v>
      </c>
      <c r="D71" t="inlineStr">
        <is>
          <t>VÄSTRA GÖTALANDS LÄN</t>
        </is>
      </c>
      <c r="E71" t="inlineStr">
        <is>
          <t>ALE</t>
        </is>
      </c>
      <c r="G71" t="n">
        <v>2</v>
      </c>
      <c r="H71" t="n">
        <v>0</v>
      </c>
      <c r="I71" t="n">
        <v>0</v>
      </c>
      <c r="J71" t="n">
        <v>0</v>
      </c>
      <c r="K71" t="n">
        <v>0</v>
      </c>
      <c r="L71" t="n">
        <v>0</v>
      </c>
      <c r="M71" t="n">
        <v>0</v>
      </c>
      <c r="N71" t="n">
        <v>0</v>
      </c>
      <c r="O71" t="n">
        <v>0</v>
      </c>
      <c r="P71" t="n">
        <v>0</v>
      </c>
      <c r="Q71" t="n">
        <v>0</v>
      </c>
      <c r="R71" s="2" t="inlineStr"/>
    </row>
    <row r="72" ht="15" customHeight="1">
      <c r="A72" t="inlineStr">
        <is>
          <t>A 16601-2025</t>
        </is>
      </c>
      <c r="B72" s="1" t="n">
        <v>45753.53189814815</v>
      </c>
      <c r="C72" s="1" t="n">
        <v>45882</v>
      </c>
      <c r="D72" t="inlineStr">
        <is>
          <t>VÄSTRA GÖTALANDS LÄN</t>
        </is>
      </c>
      <c r="E72" t="inlineStr">
        <is>
          <t>ALE</t>
        </is>
      </c>
      <c r="G72" t="n">
        <v>1.7</v>
      </c>
      <c r="H72" t="n">
        <v>0</v>
      </c>
      <c r="I72" t="n">
        <v>0</v>
      </c>
      <c r="J72" t="n">
        <v>0</v>
      </c>
      <c r="K72" t="n">
        <v>0</v>
      </c>
      <c r="L72" t="n">
        <v>0</v>
      </c>
      <c r="M72" t="n">
        <v>0</v>
      </c>
      <c r="N72" t="n">
        <v>0</v>
      </c>
      <c r="O72" t="n">
        <v>0</v>
      </c>
      <c r="P72" t="n">
        <v>0</v>
      </c>
      <c r="Q72" t="n">
        <v>0</v>
      </c>
      <c r="R72" s="2" t="inlineStr"/>
    </row>
    <row r="73" ht="15" customHeight="1">
      <c r="A73" t="inlineStr">
        <is>
          <t>A 4642-2024</t>
        </is>
      </c>
      <c r="B73" s="1" t="n">
        <v>45328.43502314815</v>
      </c>
      <c r="C73" s="1" t="n">
        <v>45882</v>
      </c>
      <c r="D73" t="inlineStr">
        <is>
          <t>VÄSTRA GÖTALANDS LÄN</t>
        </is>
      </c>
      <c r="E73" t="inlineStr">
        <is>
          <t>ALE</t>
        </is>
      </c>
      <c r="G73" t="n">
        <v>7.1</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45882</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6916-2023</t>
        </is>
      </c>
      <c r="B75" s="1" t="n">
        <v>44967.53349537037</v>
      </c>
      <c r="C75" s="1" t="n">
        <v>45882</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60233-2024</t>
        </is>
      </c>
      <c r="B76" s="1" t="n">
        <v>45642.74851851852</v>
      </c>
      <c r="C76" s="1" t="n">
        <v>45882</v>
      </c>
      <c r="D76" t="inlineStr">
        <is>
          <t>VÄSTRA GÖTALANDS LÄN</t>
        </is>
      </c>
      <c r="E76" t="inlineStr">
        <is>
          <t>ALE</t>
        </is>
      </c>
      <c r="G76" t="n">
        <v>0.8</v>
      </c>
      <c r="H76" t="n">
        <v>0</v>
      </c>
      <c r="I76" t="n">
        <v>0</v>
      </c>
      <c r="J76" t="n">
        <v>0</v>
      </c>
      <c r="K76" t="n">
        <v>0</v>
      </c>
      <c r="L76" t="n">
        <v>0</v>
      </c>
      <c r="M76" t="n">
        <v>0</v>
      </c>
      <c r="N76" t="n">
        <v>0</v>
      </c>
      <c r="O76" t="n">
        <v>0</v>
      </c>
      <c r="P76" t="n">
        <v>0</v>
      </c>
      <c r="Q76" t="n">
        <v>0</v>
      </c>
      <c r="R76" s="2" t="inlineStr"/>
    </row>
    <row r="77" ht="15" customHeight="1">
      <c r="A77" t="inlineStr">
        <is>
          <t>A 36403-2024</t>
        </is>
      </c>
      <c r="B77" s="1" t="n">
        <v>45535.69445601852</v>
      </c>
      <c r="C77" s="1" t="n">
        <v>45882</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200-2022</t>
        </is>
      </c>
      <c r="B78" s="1" t="n">
        <v>44564</v>
      </c>
      <c r="C78" s="1" t="n">
        <v>45882</v>
      </c>
      <c r="D78" t="inlineStr">
        <is>
          <t>VÄSTRA GÖTALANDS LÄN</t>
        </is>
      </c>
      <c r="E78" t="inlineStr">
        <is>
          <t>ALE</t>
        </is>
      </c>
      <c r="G78" t="n">
        <v>6.8</v>
      </c>
      <c r="H78" t="n">
        <v>0</v>
      </c>
      <c r="I78" t="n">
        <v>0</v>
      </c>
      <c r="J78" t="n">
        <v>0</v>
      </c>
      <c r="K78" t="n">
        <v>0</v>
      </c>
      <c r="L78" t="n">
        <v>0</v>
      </c>
      <c r="M78" t="n">
        <v>0</v>
      </c>
      <c r="N78" t="n">
        <v>0</v>
      </c>
      <c r="O78" t="n">
        <v>0</v>
      </c>
      <c r="P78" t="n">
        <v>0</v>
      </c>
      <c r="Q78" t="n">
        <v>0</v>
      </c>
      <c r="R78" s="2" t="inlineStr"/>
    </row>
    <row r="79" ht="15" customHeight="1">
      <c r="A79" t="inlineStr">
        <is>
          <t>A 15582-2025</t>
        </is>
      </c>
      <c r="B79" s="1" t="n">
        <v>45747.81394675926</v>
      </c>
      <c r="C79" s="1" t="n">
        <v>45882</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7892-2024</t>
        </is>
      </c>
      <c r="B80" s="1" t="n">
        <v>45350.40921296296</v>
      </c>
      <c r="C80" s="1" t="n">
        <v>45882</v>
      </c>
      <c r="D80" t="inlineStr">
        <is>
          <t>VÄSTRA GÖTALANDS LÄN</t>
        </is>
      </c>
      <c r="E80" t="inlineStr">
        <is>
          <t>ALE</t>
        </is>
      </c>
      <c r="G80" t="n">
        <v>3.6</v>
      </c>
      <c r="H80" t="n">
        <v>0</v>
      </c>
      <c r="I80" t="n">
        <v>0</v>
      </c>
      <c r="J80" t="n">
        <v>0</v>
      </c>
      <c r="K80" t="n">
        <v>0</v>
      </c>
      <c r="L80" t="n">
        <v>0</v>
      </c>
      <c r="M80" t="n">
        <v>0</v>
      </c>
      <c r="N80" t="n">
        <v>0</v>
      </c>
      <c r="O80" t="n">
        <v>0</v>
      </c>
      <c r="P80" t="n">
        <v>0</v>
      </c>
      <c r="Q80" t="n">
        <v>0</v>
      </c>
      <c r="R80" s="2" t="inlineStr"/>
    </row>
    <row r="81" ht="15" customHeight="1">
      <c r="A81" t="inlineStr">
        <is>
          <t>A 1822-2024</t>
        </is>
      </c>
      <c r="B81" s="1" t="n">
        <v>45307.6205787037</v>
      </c>
      <c r="C81" s="1" t="n">
        <v>45882</v>
      </c>
      <c r="D81" t="inlineStr">
        <is>
          <t>VÄSTRA GÖTALANDS LÄN</t>
        </is>
      </c>
      <c r="E81" t="inlineStr">
        <is>
          <t>ALE</t>
        </is>
      </c>
      <c r="G81" t="n">
        <v>2</v>
      </c>
      <c r="H81" t="n">
        <v>0</v>
      </c>
      <c r="I81" t="n">
        <v>0</v>
      </c>
      <c r="J81" t="n">
        <v>0</v>
      </c>
      <c r="K81" t="n">
        <v>0</v>
      </c>
      <c r="L81" t="n">
        <v>0</v>
      </c>
      <c r="M81" t="n">
        <v>0</v>
      </c>
      <c r="N81" t="n">
        <v>0</v>
      </c>
      <c r="O81" t="n">
        <v>0</v>
      </c>
      <c r="P81" t="n">
        <v>0</v>
      </c>
      <c r="Q81" t="n">
        <v>0</v>
      </c>
      <c r="R81" s="2" t="inlineStr"/>
    </row>
    <row r="82" ht="15" customHeight="1">
      <c r="A82" t="inlineStr">
        <is>
          <t>A 5916-2023</t>
        </is>
      </c>
      <c r="B82" s="1" t="n">
        <v>44963</v>
      </c>
      <c r="C82" s="1" t="n">
        <v>45882</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34104-2024</t>
        </is>
      </c>
      <c r="B83" s="1" t="n">
        <v>45523.79202546296</v>
      </c>
      <c r="C83" s="1" t="n">
        <v>45882</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6947-2024</t>
        </is>
      </c>
      <c r="B84" s="1" t="n">
        <v>45343</v>
      </c>
      <c r="C84" s="1" t="n">
        <v>45882</v>
      </c>
      <c r="D84" t="inlineStr">
        <is>
          <t>VÄSTRA GÖTALANDS LÄN</t>
        </is>
      </c>
      <c r="E84" t="inlineStr">
        <is>
          <t>ALE</t>
        </is>
      </c>
      <c r="G84" t="n">
        <v>3.7</v>
      </c>
      <c r="H84" t="n">
        <v>0</v>
      </c>
      <c r="I84" t="n">
        <v>0</v>
      </c>
      <c r="J84" t="n">
        <v>0</v>
      </c>
      <c r="K84" t="n">
        <v>0</v>
      </c>
      <c r="L84" t="n">
        <v>0</v>
      </c>
      <c r="M84" t="n">
        <v>0</v>
      </c>
      <c r="N84" t="n">
        <v>0</v>
      </c>
      <c r="O84" t="n">
        <v>0</v>
      </c>
      <c r="P84" t="n">
        <v>0</v>
      </c>
      <c r="Q84" t="n">
        <v>0</v>
      </c>
      <c r="R84" s="2" t="inlineStr"/>
    </row>
    <row r="85" ht="15" customHeight="1">
      <c r="A85" t="inlineStr">
        <is>
          <t>A 4444-2024</t>
        </is>
      </c>
      <c r="B85" s="1" t="n">
        <v>45327</v>
      </c>
      <c r="C85" s="1" t="n">
        <v>45882</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3457-2022</t>
        </is>
      </c>
      <c r="B86" s="1" t="n">
        <v>44585</v>
      </c>
      <c r="C86" s="1" t="n">
        <v>45882</v>
      </c>
      <c r="D86" t="inlineStr">
        <is>
          <t>VÄSTRA GÖTALANDS LÄN</t>
        </is>
      </c>
      <c r="E86" t="inlineStr">
        <is>
          <t>ALE</t>
        </is>
      </c>
      <c r="G86" t="n">
        <v>5.1</v>
      </c>
      <c r="H86" t="n">
        <v>0</v>
      </c>
      <c r="I86" t="n">
        <v>0</v>
      </c>
      <c r="J86" t="n">
        <v>0</v>
      </c>
      <c r="K86" t="n">
        <v>0</v>
      </c>
      <c r="L86" t="n">
        <v>0</v>
      </c>
      <c r="M86" t="n">
        <v>0</v>
      </c>
      <c r="N86" t="n">
        <v>0</v>
      </c>
      <c r="O86" t="n">
        <v>0</v>
      </c>
      <c r="P86" t="n">
        <v>0</v>
      </c>
      <c r="Q86" t="n">
        <v>0</v>
      </c>
      <c r="R86" s="2" t="inlineStr"/>
    </row>
    <row r="87" ht="15" customHeight="1">
      <c r="A87" t="inlineStr">
        <is>
          <t>A 3418-2023</t>
        </is>
      </c>
      <c r="B87" s="1" t="n">
        <v>44949.56182870371</v>
      </c>
      <c r="C87" s="1" t="n">
        <v>45882</v>
      </c>
      <c r="D87" t="inlineStr">
        <is>
          <t>VÄSTRA GÖTALANDS LÄN</t>
        </is>
      </c>
      <c r="E87" t="inlineStr">
        <is>
          <t>ALE</t>
        </is>
      </c>
      <c r="G87" t="n">
        <v>1.1</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45882</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57473-2022</t>
        </is>
      </c>
      <c r="B89" s="1" t="n">
        <v>44896</v>
      </c>
      <c r="C89" s="1" t="n">
        <v>45882</v>
      </c>
      <c r="D89" t="inlineStr">
        <is>
          <t>VÄSTRA GÖTALANDS LÄN</t>
        </is>
      </c>
      <c r="E89" t="inlineStr">
        <is>
          <t>ALE</t>
        </is>
      </c>
      <c r="G89" t="n">
        <v>0.7</v>
      </c>
      <c r="H89" t="n">
        <v>0</v>
      </c>
      <c r="I89" t="n">
        <v>0</v>
      </c>
      <c r="J89" t="n">
        <v>0</v>
      </c>
      <c r="K89" t="n">
        <v>0</v>
      </c>
      <c r="L89" t="n">
        <v>0</v>
      </c>
      <c r="M89" t="n">
        <v>0</v>
      </c>
      <c r="N89" t="n">
        <v>0</v>
      </c>
      <c r="O89" t="n">
        <v>0</v>
      </c>
      <c r="P89" t="n">
        <v>0</v>
      </c>
      <c r="Q89" t="n">
        <v>0</v>
      </c>
      <c r="R89" s="2" t="inlineStr"/>
    </row>
    <row r="90" ht="15" customHeight="1">
      <c r="A90" t="inlineStr">
        <is>
          <t>A 8956-2025</t>
        </is>
      </c>
      <c r="B90" s="1" t="n">
        <v>45713.46825231481</v>
      </c>
      <c r="C90" s="1" t="n">
        <v>45882</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26083-2023</t>
        </is>
      </c>
      <c r="B91" s="1" t="n">
        <v>45091</v>
      </c>
      <c r="C91" s="1" t="n">
        <v>45882</v>
      </c>
      <c r="D91" t="inlineStr">
        <is>
          <t>VÄSTRA GÖTALANDS LÄN</t>
        </is>
      </c>
      <c r="E91" t="inlineStr">
        <is>
          <t>ALE</t>
        </is>
      </c>
      <c r="G91" t="n">
        <v>1.6</v>
      </c>
      <c r="H91" t="n">
        <v>0</v>
      </c>
      <c r="I91" t="n">
        <v>0</v>
      </c>
      <c r="J91" t="n">
        <v>0</v>
      </c>
      <c r="K91" t="n">
        <v>0</v>
      </c>
      <c r="L91" t="n">
        <v>0</v>
      </c>
      <c r="M91" t="n">
        <v>0</v>
      </c>
      <c r="N91" t="n">
        <v>0</v>
      </c>
      <c r="O91" t="n">
        <v>0</v>
      </c>
      <c r="P91" t="n">
        <v>0</v>
      </c>
      <c r="Q91" t="n">
        <v>0</v>
      </c>
      <c r="R91" s="2" t="inlineStr"/>
    </row>
    <row r="92" ht="15" customHeight="1">
      <c r="A92" t="inlineStr">
        <is>
          <t>A 50451-2024</t>
        </is>
      </c>
      <c r="B92" s="1" t="n">
        <v>45601.44248842593</v>
      </c>
      <c r="C92" s="1" t="n">
        <v>45882</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66551-2020</t>
        </is>
      </c>
      <c r="B93" s="1" t="n">
        <v>44179</v>
      </c>
      <c r="C93" s="1" t="n">
        <v>45882</v>
      </c>
      <c r="D93" t="inlineStr">
        <is>
          <t>VÄSTRA GÖTALANDS LÄN</t>
        </is>
      </c>
      <c r="E93" t="inlineStr">
        <is>
          <t>ALE</t>
        </is>
      </c>
      <c r="G93" t="n">
        <v>4.5</v>
      </c>
      <c r="H93" t="n">
        <v>0</v>
      </c>
      <c r="I93" t="n">
        <v>0</v>
      </c>
      <c r="J93" t="n">
        <v>0</v>
      </c>
      <c r="K93" t="n">
        <v>0</v>
      </c>
      <c r="L93" t="n">
        <v>0</v>
      </c>
      <c r="M93" t="n">
        <v>0</v>
      </c>
      <c r="N93" t="n">
        <v>0</v>
      </c>
      <c r="O93" t="n">
        <v>0</v>
      </c>
      <c r="P93" t="n">
        <v>0</v>
      </c>
      <c r="Q93" t="n">
        <v>0</v>
      </c>
      <c r="R93" s="2" t="inlineStr"/>
    </row>
    <row r="94" ht="15" customHeight="1">
      <c r="A94" t="inlineStr">
        <is>
          <t>A 1960-2024</t>
        </is>
      </c>
      <c r="B94" s="1" t="n">
        <v>45308.50962962963</v>
      </c>
      <c r="C94" s="1" t="n">
        <v>45882</v>
      </c>
      <c r="D94" t="inlineStr">
        <is>
          <t>VÄSTRA GÖTALANDS LÄN</t>
        </is>
      </c>
      <c r="E94" t="inlineStr">
        <is>
          <t>ALE</t>
        </is>
      </c>
      <c r="G94" t="n">
        <v>1.9</v>
      </c>
      <c r="H94" t="n">
        <v>0</v>
      </c>
      <c r="I94" t="n">
        <v>0</v>
      </c>
      <c r="J94" t="n">
        <v>0</v>
      </c>
      <c r="K94" t="n">
        <v>0</v>
      </c>
      <c r="L94" t="n">
        <v>0</v>
      </c>
      <c r="M94" t="n">
        <v>0</v>
      </c>
      <c r="N94" t="n">
        <v>0</v>
      </c>
      <c r="O94" t="n">
        <v>0</v>
      </c>
      <c r="P94" t="n">
        <v>0</v>
      </c>
      <c r="Q94" t="n">
        <v>0</v>
      </c>
      <c r="R94" s="2" t="inlineStr"/>
    </row>
    <row r="95" ht="15" customHeight="1">
      <c r="A95" t="inlineStr">
        <is>
          <t>A 41607-2022</t>
        </is>
      </c>
      <c r="B95" s="1" t="n">
        <v>44827.46658564815</v>
      </c>
      <c r="C95" s="1" t="n">
        <v>45882</v>
      </c>
      <c r="D95" t="inlineStr">
        <is>
          <t>VÄSTRA GÖTALANDS LÄN</t>
        </is>
      </c>
      <c r="E95" t="inlineStr">
        <is>
          <t>ALE</t>
        </is>
      </c>
      <c r="G95" t="n">
        <v>3.6</v>
      </c>
      <c r="H95" t="n">
        <v>0</v>
      </c>
      <c r="I95" t="n">
        <v>0</v>
      </c>
      <c r="J95" t="n">
        <v>0</v>
      </c>
      <c r="K95" t="n">
        <v>0</v>
      </c>
      <c r="L95" t="n">
        <v>0</v>
      </c>
      <c r="M95" t="n">
        <v>0</v>
      </c>
      <c r="N95" t="n">
        <v>0</v>
      </c>
      <c r="O95" t="n">
        <v>0</v>
      </c>
      <c r="P95" t="n">
        <v>0</v>
      </c>
      <c r="Q95" t="n">
        <v>0</v>
      </c>
      <c r="R95" s="2" t="inlineStr"/>
    </row>
    <row r="96" ht="15" customHeight="1">
      <c r="A96" t="inlineStr">
        <is>
          <t>A 15499-2022</t>
        </is>
      </c>
      <c r="B96" s="1" t="n">
        <v>44662</v>
      </c>
      <c r="C96" s="1" t="n">
        <v>45882</v>
      </c>
      <c r="D96" t="inlineStr">
        <is>
          <t>VÄSTRA GÖTALANDS LÄN</t>
        </is>
      </c>
      <c r="E96" t="inlineStr">
        <is>
          <t>ALE</t>
        </is>
      </c>
      <c r="G96" t="n">
        <v>4.7</v>
      </c>
      <c r="H96" t="n">
        <v>0</v>
      </c>
      <c r="I96" t="n">
        <v>0</v>
      </c>
      <c r="J96" t="n">
        <v>0</v>
      </c>
      <c r="K96" t="n">
        <v>0</v>
      </c>
      <c r="L96" t="n">
        <v>0</v>
      </c>
      <c r="M96" t="n">
        <v>0</v>
      </c>
      <c r="N96" t="n">
        <v>0</v>
      </c>
      <c r="O96" t="n">
        <v>0</v>
      </c>
      <c r="P96" t="n">
        <v>0</v>
      </c>
      <c r="Q96" t="n">
        <v>0</v>
      </c>
      <c r="R96" s="2" t="inlineStr"/>
    </row>
    <row r="97" ht="15" customHeight="1">
      <c r="A97" t="inlineStr">
        <is>
          <t>A 16344-2023</t>
        </is>
      </c>
      <c r="B97" s="1" t="n">
        <v>45028</v>
      </c>
      <c r="C97" s="1" t="n">
        <v>45882</v>
      </c>
      <c r="D97" t="inlineStr">
        <is>
          <t>VÄSTRA GÖTALANDS LÄN</t>
        </is>
      </c>
      <c r="E97" t="inlineStr">
        <is>
          <t>ALE</t>
        </is>
      </c>
      <c r="G97" t="n">
        <v>6.6</v>
      </c>
      <c r="H97" t="n">
        <v>0</v>
      </c>
      <c r="I97" t="n">
        <v>0</v>
      </c>
      <c r="J97" t="n">
        <v>0</v>
      </c>
      <c r="K97" t="n">
        <v>0</v>
      </c>
      <c r="L97" t="n">
        <v>0</v>
      </c>
      <c r="M97" t="n">
        <v>0</v>
      </c>
      <c r="N97" t="n">
        <v>0</v>
      </c>
      <c r="O97" t="n">
        <v>0</v>
      </c>
      <c r="P97" t="n">
        <v>0</v>
      </c>
      <c r="Q97" t="n">
        <v>0</v>
      </c>
      <c r="R97" s="2" t="inlineStr"/>
    </row>
    <row r="98" ht="15" customHeight="1">
      <c r="A98" t="inlineStr">
        <is>
          <t>A 53476-2023</t>
        </is>
      </c>
      <c r="B98" s="1" t="n">
        <v>45230.33737268519</v>
      </c>
      <c r="C98" s="1" t="n">
        <v>45882</v>
      </c>
      <c r="D98" t="inlineStr">
        <is>
          <t>VÄSTRA GÖTALANDS LÄN</t>
        </is>
      </c>
      <c r="E98" t="inlineStr">
        <is>
          <t>ALE</t>
        </is>
      </c>
      <c r="G98" t="n">
        <v>1.9</v>
      </c>
      <c r="H98" t="n">
        <v>0</v>
      </c>
      <c r="I98" t="n">
        <v>0</v>
      </c>
      <c r="J98" t="n">
        <v>0</v>
      </c>
      <c r="K98" t="n">
        <v>0</v>
      </c>
      <c r="L98" t="n">
        <v>0</v>
      </c>
      <c r="M98" t="n">
        <v>0</v>
      </c>
      <c r="N98" t="n">
        <v>0</v>
      </c>
      <c r="O98" t="n">
        <v>0</v>
      </c>
      <c r="P98" t="n">
        <v>0</v>
      </c>
      <c r="Q98" t="n">
        <v>0</v>
      </c>
      <c r="R98" s="2" t="inlineStr"/>
    </row>
    <row r="99" ht="15" customHeight="1">
      <c r="A99" t="inlineStr">
        <is>
          <t>A 4363-2024</t>
        </is>
      </c>
      <c r="B99" s="1" t="n">
        <v>45325</v>
      </c>
      <c r="C99" s="1" t="n">
        <v>45882</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55405-2021</t>
        </is>
      </c>
      <c r="B100" s="1" t="n">
        <v>44475.53733796296</v>
      </c>
      <c r="C100" s="1" t="n">
        <v>45882</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51164-2024</t>
        </is>
      </c>
      <c r="B101" s="1" t="n">
        <v>45603.5830787037</v>
      </c>
      <c r="C101" s="1" t="n">
        <v>45882</v>
      </c>
      <c r="D101" t="inlineStr">
        <is>
          <t>VÄSTRA GÖTALANDS LÄN</t>
        </is>
      </c>
      <c r="E101" t="inlineStr">
        <is>
          <t>ALE</t>
        </is>
      </c>
      <c r="G101" t="n">
        <v>1.1</v>
      </c>
      <c r="H101" t="n">
        <v>0</v>
      </c>
      <c r="I101" t="n">
        <v>0</v>
      </c>
      <c r="J101" t="n">
        <v>0</v>
      </c>
      <c r="K101" t="n">
        <v>0</v>
      </c>
      <c r="L101" t="n">
        <v>0</v>
      </c>
      <c r="M101" t="n">
        <v>0</v>
      </c>
      <c r="N101" t="n">
        <v>0</v>
      </c>
      <c r="O101" t="n">
        <v>0</v>
      </c>
      <c r="P101" t="n">
        <v>0</v>
      </c>
      <c r="Q101" t="n">
        <v>0</v>
      </c>
      <c r="R101" s="2" t="inlineStr"/>
    </row>
    <row r="102" ht="15" customHeight="1">
      <c r="A102" t="inlineStr">
        <is>
          <t>A 63575-2023</t>
        </is>
      </c>
      <c r="B102" s="1" t="n">
        <v>45275.39715277778</v>
      </c>
      <c r="C102" s="1" t="n">
        <v>45882</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45988-2021</t>
        </is>
      </c>
      <c r="B103" s="1" t="n">
        <v>44441</v>
      </c>
      <c r="C103" s="1" t="n">
        <v>45882</v>
      </c>
      <c r="D103" t="inlineStr">
        <is>
          <t>VÄSTRA GÖTALANDS LÄN</t>
        </is>
      </c>
      <c r="E103" t="inlineStr">
        <is>
          <t>ALE</t>
        </is>
      </c>
      <c r="G103" t="n">
        <v>1.2</v>
      </c>
      <c r="H103" t="n">
        <v>0</v>
      </c>
      <c r="I103" t="n">
        <v>0</v>
      </c>
      <c r="J103" t="n">
        <v>0</v>
      </c>
      <c r="K103" t="n">
        <v>0</v>
      </c>
      <c r="L103" t="n">
        <v>0</v>
      </c>
      <c r="M103" t="n">
        <v>0</v>
      </c>
      <c r="N103" t="n">
        <v>0</v>
      </c>
      <c r="O103" t="n">
        <v>0</v>
      </c>
      <c r="P103" t="n">
        <v>0</v>
      </c>
      <c r="Q103" t="n">
        <v>0</v>
      </c>
      <c r="R103" s="2" t="inlineStr"/>
    </row>
    <row r="104" ht="15" customHeight="1">
      <c r="A104" t="inlineStr">
        <is>
          <t>A 4971-2024</t>
        </is>
      </c>
      <c r="B104" s="1" t="n">
        <v>45329</v>
      </c>
      <c r="C104" s="1" t="n">
        <v>45882</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22946-2025</t>
        </is>
      </c>
      <c r="B105" s="1" t="n">
        <v>45790.48229166667</v>
      </c>
      <c r="C105" s="1" t="n">
        <v>45882</v>
      </c>
      <c r="D105" t="inlineStr">
        <is>
          <t>VÄSTRA GÖTALANDS LÄN</t>
        </is>
      </c>
      <c r="E105" t="inlineStr">
        <is>
          <t>ALE</t>
        </is>
      </c>
      <c r="G105" t="n">
        <v>0.6</v>
      </c>
      <c r="H105" t="n">
        <v>0</v>
      </c>
      <c r="I105" t="n">
        <v>0</v>
      </c>
      <c r="J105" t="n">
        <v>0</v>
      </c>
      <c r="K105" t="n">
        <v>0</v>
      </c>
      <c r="L105" t="n">
        <v>0</v>
      </c>
      <c r="M105" t="n">
        <v>0</v>
      </c>
      <c r="N105" t="n">
        <v>0</v>
      </c>
      <c r="O105" t="n">
        <v>0</v>
      </c>
      <c r="P105" t="n">
        <v>0</v>
      </c>
      <c r="Q105" t="n">
        <v>0</v>
      </c>
      <c r="R105" s="2" t="inlineStr"/>
    </row>
    <row r="106" ht="15" customHeight="1">
      <c r="A106" t="inlineStr">
        <is>
          <t>A 20067-2023</t>
        </is>
      </c>
      <c r="B106" s="1" t="n">
        <v>45054</v>
      </c>
      <c r="C106" s="1" t="n">
        <v>45882</v>
      </c>
      <c r="D106" t="inlineStr">
        <is>
          <t>VÄSTRA GÖTALANDS LÄN</t>
        </is>
      </c>
      <c r="E106" t="inlineStr">
        <is>
          <t>ALE</t>
        </is>
      </c>
      <c r="G106" t="n">
        <v>0.4</v>
      </c>
      <c r="H106" t="n">
        <v>0</v>
      </c>
      <c r="I106" t="n">
        <v>0</v>
      </c>
      <c r="J106" t="n">
        <v>0</v>
      </c>
      <c r="K106" t="n">
        <v>0</v>
      </c>
      <c r="L106" t="n">
        <v>0</v>
      </c>
      <c r="M106" t="n">
        <v>0</v>
      </c>
      <c r="N106" t="n">
        <v>0</v>
      </c>
      <c r="O106" t="n">
        <v>0</v>
      </c>
      <c r="P106" t="n">
        <v>0</v>
      </c>
      <c r="Q106" t="n">
        <v>0</v>
      </c>
      <c r="R106" s="2" t="inlineStr"/>
    </row>
    <row r="107" ht="15" customHeight="1">
      <c r="A107" t="inlineStr">
        <is>
          <t>A 56493-2021</t>
        </is>
      </c>
      <c r="B107" s="1" t="n">
        <v>44480.57173611111</v>
      </c>
      <c r="C107" s="1" t="n">
        <v>45882</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24642-2022</t>
        </is>
      </c>
      <c r="B108" s="1" t="n">
        <v>44727.59578703704</v>
      </c>
      <c r="C108" s="1" t="n">
        <v>45882</v>
      </c>
      <c r="D108" t="inlineStr">
        <is>
          <t>VÄSTRA GÖTALANDS LÄN</t>
        </is>
      </c>
      <c r="E108" t="inlineStr">
        <is>
          <t>ALE</t>
        </is>
      </c>
      <c r="G108" t="n">
        <v>10</v>
      </c>
      <c r="H108" t="n">
        <v>0</v>
      </c>
      <c r="I108" t="n">
        <v>0</v>
      </c>
      <c r="J108" t="n">
        <v>0</v>
      </c>
      <c r="K108" t="n">
        <v>0</v>
      </c>
      <c r="L108" t="n">
        <v>0</v>
      </c>
      <c r="M108" t="n">
        <v>0</v>
      </c>
      <c r="N108" t="n">
        <v>0</v>
      </c>
      <c r="O108" t="n">
        <v>0</v>
      </c>
      <c r="P108" t="n">
        <v>0</v>
      </c>
      <c r="Q108" t="n">
        <v>0</v>
      </c>
      <c r="R108" s="2" t="inlineStr"/>
    </row>
    <row r="109" ht="15" customHeight="1">
      <c r="A109" t="inlineStr">
        <is>
          <t>A 37461-2024</t>
        </is>
      </c>
      <c r="B109" s="1" t="n">
        <v>45540.72516203704</v>
      </c>
      <c r="C109" s="1" t="n">
        <v>45882</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32762-2023</t>
        </is>
      </c>
      <c r="B110" s="1" t="n">
        <v>45123.46649305556</v>
      </c>
      <c r="C110" s="1" t="n">
        <v>45882</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48257-2022</t>
        </is>
      </c>
      <c r="B111" s="1" t="n">
        <v>44858.47591435185</v>
      </c>
      <c r="C111" s="1" t="n">
        <v>45882</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51564-2023</t>
        </is>
      </c>
      <c r="B112" s="1" t="n">
        <v>45222</v>
      </c>
      <c r="C112" s="1" t="n">
        <v>45882</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41309-2024</t>
        </is>
      </c>
      <c r="B113" s="1" t="n">
        <v>45559</v>
      </c>
      <c r="C113" s="1" t="n">
        <v>45882</v>
      </c>
      <c r="D113" t="inlineStr">
        <is>
          <t>VÄSTRA GÖTALANDS LÄN</t>
        </is>
      </c>
      <c r="E113" t="inlineStr">
        <is>
          <t>ALE</t>
        </is>
      </c>
      <c r="G113" t="n">
        <v>8.4</v>
      </c>
      <c r="H113" t="n">
        <v>0</v>
      </c>
      <c r="I113" t="n">
        <v>0</v>
      </c>
      <c r="J113" t="n">
        <v>0</v>
      </c>
      <c r="K113" t="n">
        <v>0</v>
      </c>
      <c r="L113" t="n">
        <v>0</v>
      </c>
      <c r="M113" t="n">
        <v>0</v>
      </c>
      <c r="N113" t="n">
        <v>0</v>
      </c>
      <c r="O113" t="n">
        <v>0</v>
      </c>
      <c r="P113" t="n">
        <v>0</v>
      </c>
      <c r="Q113" t="n">
        <v>0</v>
      </c>
      <c r="R113" s="2" t="inlineStr"/>
    </row>
    <row r="114" ht="15" customHeight="1">
      <c r="A114" t="inlineStr">
        <is>
          <t>A 25849-2025</t>
        </is>
      </c>
      <c r="B114" s="1" t="n">
        <v>45804</v>
      </c>
      <c r="C114" s="1" t="n">
        <v>45882</v>
      </c>
      <c r="D114" t="inlineStr">
        <is>
          <t>VÄSTRA GÖTALANDS LÄN</t>
        </is>
      </c>
      <c r="E114" t="inlineStr">
        <is>
          <t>ALE</t>
        </is>
      </c>
      <c r="G114" t="n">
        <v>0.8</v>
      </c>
      <c r="H114" t="n">
        <v>0</v>
      </c>
      <c r="I114" t="n">
        <v>0</v>
      </c>
      <c r="J114" t="n">
        <v>0</v>
      </c>
      <c r="K114" t="n">
        <v>0</v>
      </c>
      <c r="L114" t="n">
        <v>0</v>
      </c>
      <c r="M114" t="n">
        <v>0</v>
      </c>
      <c r="N114" t="n">
        <v>0</v>
      </c>
      <c r="O114" t="n">
        <v>0</v>
      </c>
      <c r="P114" t="n">
        <v>0</v>
      </c>
      <c r="Q114" t="n">
        <v>0</v>
      </c>
      <c r="R114" s="2" t="inlineStr"/>
    </row>
    <row r="115" ht="15" customHeight="1">
      <c r="A115" t="inlineStr">
        <is>
          <t>A 7807-2023</t>
        </is>
      </c>
      <c r="B115" s="1" t="n">
        <v>44973</v>
      </c>
      <c r="C115" s="1" t="n">
        <v>45882</v>
      </c>
      <c r="D115" t="inlineStr">
        <is>
          <t>VÄSTRA GÖTALANDS LÄN</t>
        </is>
      </c>
      <c r="E115" t="inlineStr">
        <is>
          <t>ALE</t>
        </is>
      </c>
      <c r="G115" t="n">
        <v>10.5</v>
      </c>
      <c r="H115" t="n">
        <v>0</v>
      </c>
      <c r="I115" t="n">
        <v>0</v>
      </c>
      <c r="J115" t="n">
        <v>0</v>
      </c>
      <c r="K115" t="n">
        <v>0</v>
      </c>
      <c r="L115" t="n">
        <v>0</v>
      </c>
      <c r="M115" t="n">
        <v>0</v>
      </c>
      <c r="N115" t="n">
        <v>0</v>
      </c>
      <c r="O115" t="n">
        <v>0</v>
      </c>
      <c r="P115" t="n">
        <v>0</v>
      </c>
      <c r="Q115" t="n">
        <v>0</v>
      </c>
      <c r="R115" s="2" t="inlineStr"/>
    </row>
    <row r="116" ht="15" customHeight="1">
      <c r="A116" t="inlineStr">
        <is>
          <t>A 25848-2025</t>
        </is>
      </c>
      <c r="B116" s="1" t="n">
        <v>45804</v>
      </c>
      <c r="C116" s="1" t="n">
        <v>45882</v>
      </c>
      <c r="D116" t="inlineStr">
        <is>
          <t>VÄSTRA GÖTALANDS LÄN</t>
        </is>
      </c>
      <c r="E116" t="inlineStr">
        <is>
          <t>ALE</t>
        </is>
      </c>
      <c r="G116" t="n">
        <v>1.1</v>
      </c>
      <c r="H116" t="n">
        <v>0</v>
      </c>
      <c r="I116" t="n">
        <v>0</v>
      </c>
      <c r="J116" t="n">
        <v>0</v>
      </c>
      <c r="K116" t="n">
        <v>0</v>
      </c>
      <c r="L116" t="n">
        <v>0</v>
      </c>
      <c r="M116" t="n">
        <v>0</v>
      </c>
      <c r="N116" t="n">
        <v>0</v>
      </c>
      <c r="O116" t="n">
        <v>0</v>
      </c>
      <c r="P116" t="n">
        <v>0</v>
      </c>
      <c r="Q116" t="n">
        <v>0</v>
      </c>
      <c r="R116" s="2" t="inlineStr"/>
    </row>
    <row r="117" ht="15" customHeight="1">
      <c r="A117" t="inlineStr">
        <is>
          <t>A 3413-2023</t>
        </is>
      </c>
      <c r="B117" s="1" t="n">
        <v>44949</v>
      </c>
      <c r="C117" s="1" t="n">
        <v>45882</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25840-2025</t>
        </is>
      </c>
      <c r="B118" s="1" t="n">
        <v>45804</v>
      </c>
      <c r="C118" s="1" t="n">
        <v>45882</v>
      </c>
      <c r="D118" t="inlineStr">
        <is>
          <t>VÄSTRA GÖTALANDS LÄN</t>
        </is>
      </c>
      <c r="E118" t="inlineStr">
        <is>
          <t>ALE</t>
        </is>
      </c>
      <c r="G118" t="n">
        <v>3.8</v>
      </c>
      <c r="H118" t="n">
        <v>0</v>
      </c>
      <c r="I118" t="n">
        <v>0</v>
      </c>
      <c r="J118" t="n">
        <v>0</v>
      </c>
      <c r="K118" t="n">
        <v>0</v>
      </c>
      <c r="L118" t="n">
        <v>0</v>
      </c>
      <c r="M118" t="n">
        <v>0</v>
      </c>
      <c r="N118" t="n">
        <v>0</v>
      </c>
      <c r="O118" t="n">
        <v>0</v>
      </c>
      <c r="P118" t="n">
        <v>0</v>
      </c>
      <c r="Q118" t="n">
        <v>0</v>
      </c>
      <c r="R118" s="2" t="inlineStr"/>
    </row>
    <row r="119" ht="15" customHeight="1">
      <c r="A119" t="inlineStr">
        <is>
          <t>A 26157-2023</t>
        </is>
      </c>
      <c r="B119" s="1" t="n">
        <v>45091.50479166667</v>
      </c>
      <c r="C119" s="1" t="n">
        <v>45882</v>
      </c>
      <c r="D119" t="inlineStr">
        <is>
          <t>VÄSTRA GÖTALANDS LÄN</t>
        </is>
      </c>
      <c r="E119" t="inlineStr">
        <is>
          <t>ALE</t>
        </is>
      </c>
      <c r="G119" t="n">
        <v>2.6</v>
      </c>
      <c r="H119" t="n">
        <v>0</v>
      </c>
      <c r="I119" t="n">
        <v>0</v>
      </c>
      <c r="J119" t="n">
        <v>0</v>
      </c>
      <c r="K119" t="n">
        <v>0</v>
      </c>
      <c r="L119" t="n">
        <v>0</v>
      </c>
      <c r="M119" t="n">
        <v>0</v>
      </c>
      <c r="N119" t="n">
        <v>0</v>
      </c>
      <c r="O119" t="n">
        <v>0</v>
      </c>
      <c r="P119" t="n">
        <v>0</v>
      </c>
      <c r="Q119" t="n">
        <v>0</v>
      </c>
      <c r="R119" s="2" t="inlineStr"/>
    </row>
    <row r="120" ht="15" customHeight="1">
      <c r="A120" t="inlineStr">
        <is>
          <t>A 47087-2023</t>
        </is>
      </c>
      <c r="B120" s="1" t="n">
        <v>45196</v>
      </c>
      <c r="C120" s="1" t="n">
        <v>45882</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18637-2023</t>
        </is>
      </c>
      <c r="B121" s="1" t="n">
        <v>45043</v>
      </c>
      <c r="C121" s="1" t="n">
        <v>45882</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59933-2023</t>
        </is>
      </c>
      <c r="B122" s="1" t="n">
        <v>45257</v>
      </c>
      <c r="C122" s="1" t="n">
        <v>45882</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44802.57002314815</v>
      </c>
      <c r="C123" s="1" t="n">
        <v>45882</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14493-2024</t>
        </is>
      </c>
      <c r="B124" s="1" t="n">
        <v>45394.58491898148</v>
      </c>
      <c r="C124" s="1" t="n">
        <v>45882</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27314-2021</t>
        </is>
      </c>
      <c r="B125" s="1" t="n">
        <v>44351.36537037037</v>
      </c>
      <c r="C125" s="1" t="n">
        <v>45882</v>
      </c>
      <c r="D125" t="inlineStr">
        <is>
          <t>VÄSTRA GÖTALANDS LÄN</t>
        </is>
      </c>
      <c r="E125" t="inlineStr">
        <is>
          <t>ALE</t>
        </is>
      </c>
      <c r="G125" t="n">
        <v>11.3</v>
      </c>
      <c r="H125" t="n">
        <v>0</v>
      </c>
      <c r="I125" t="n">
        <v>0</v>
      </c>
      <c r="J125" t="n">
        <v>0</v>
      </c>
      <c r="K125" t="n">
        <v>0</v>
      </c>
      <c r="L125" t="n">
        <v>0</v>
      </c>
      <c r="M125" t="n">
        <v>0</v>
      </c>
      <c r="N125" t="n">
        <v>0</v>
      </c>
      <c r="O125" t="n">
        <v>0</v>
      </c>
      <c r="P125" t="n">
        <v>0</v>
      </c>
      <c r="Q125" t="n">
        <v>0</v>
      </c>
      <c r="R125" s="2" t="inlineStr"/>
    </row>
    <row r="126" ht="15" customHeight="1">
      <c r="A126" t="inlineStr">
        <is>
          <t>A 1500-2024</t>
        </is>
      </c>
      <c r="B126" s="1" t="n">
        <v>45306</v>
      </c>
      <c r="C126" s="1" t="n">
        <v>45882</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8659-2025</t>
        </is>
      </c>
      <c r="B127" s="1" t="n">
        <v>45712</v>
      </c>
      <c r="C127" s="1" t="n">
        <v>45882</v>
      </c>
      <c r="D127" t="inlineStr">
        <is>
          <t>VÄSTRA GÖTALANDS LÄN</t>
        </is>
      </c>
      <c r="E127" t="inlineStr">
        <is>
          <t>ALE</t>
        </is>
      </c>
      <c r="G127" t="n">
        <v>5.7</v>
      </c>
      <c r="H127" t="n">
        <v>0</v>
      </c>
      <c r="I127" t="n">
        <v>0</v>
      </c>
      <c r="J127" t="n">
        <v>0</v>
      </c>
      <c r="K127" t="n">
        <v>0</v>
      </c>
      <c r="L127" t="n">
        <v>0</v>
      </c>
      <c r="M127" t="n">
        <v>0</v>
      </c>
      <c r="N127" t="n">
        <v>0</v>
      </c>
      <c r="O127" t="n">
        <v>0</v>
      </c>
      <c r="P127" t="n">
        <v>0</v>
      </c>
      <c r="Q127" t="n">
        <v>0</v>
      </c>
      <c r="R127" s="2" t="inlineStr"/>
    </row>
    <row r="128" ht="15" customHeight="1">
      <c r="A128" t="inlineStr">
        <is>
          <t>A 5344-2024</t>
        </is>
      </c>
      <c r="B128" s="1" t="n">
        <v>45331</v>
      </c>
      <c r="C128" s="1" t="n">
        <v>45882</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1687-2024</t>
        </is>
      </c>
      <c r="B129" s="1" t="n">
        <v>45306</v>
      </c>
      <c r="C129" s="1" t="n">
        <v>45882</v>
      </c>
      <c r="D129" t="inlineStr">
        <is>
          <t>VÄSTRA GÖTALANDS LÄN</t>
        </is>
      </c>
      <c r="E129" t="inlineStr">
        <is>
          <t>ALE</t>
        </is>
      </c>
      <c r="G129" t="n">
        <v>3.4</v>
      </c>
      <c r="H129" t="n">
        <v>0</v>
      </c>
      <c r="I129" t="n">
        <v>0</v>
      </c>
      <c r="J129" t="n">
        <v>0</v>
      </c>
      <c r="K129" t="n">
        <v>0</v>
      </c>
      <c r="L129" t="n">
        <v>0</v>
      </c>
      <c r="M129" t="n">
        <v>0</v>
      </c>
      <c r="N129" t="n">
        <v>0</v>
      </c>
      <c r="O129" t="n">
        <v>0</v>
      </c>
      <c r="P129" t="n">
        <v>0</v>
      </c>
      <c r="Q129" t="n">
        <v>0</v>
      </c>
      <c r="R129" s="2" t="inlineStr"/>
    </row>
    <row r="130" ht="15" customHeight="1">
      <c r="A130" t="inlineStr">
        <is>
          <t>A 60232-2024</t>
        </is>
      </c>
      <c r="B130" s="1" t="n">
        <v>45642</v>
      </c>
      <c r="C130" s="1" t="n">
        <v>45882</v>
      </c>
      <c r="D130" t="inlineStr">
        <is>
          <t>VÄSTRA GÖTALANDS LÄN</t>
        </is>
      </c>
      <c r="E130" t="inlineStr">
        <is>
          <t>ALE</t>
        </is>
      </c>
      <c r="G130" t="n">
        <v>5</v>
      </c>
      <c r="H130" t="n">
        <v>0</v>
      </c>
      <c r="I130" t="n">
        <v>0</v>
      </c>
      <c r="J130" t="n">
        <v>0</v>
      </c>
      <c r="K130" t="n">
        <v>0</v>
      </c>
      <c r="L130" t="n">
        <v>0</v>
      </c>
      <c r="M130" t="n">
        <v>0</v>
      </c>
      <c r="N130" t="n">
        <v>0</v>
      </c>
      <c r="O130" t="n">
        <v>0</v>
      </c>
      <c r="P130" t="n">
        <v>0</v>
      </c>
      <c r="Q130" t="n">
        <v>0</v>
      </c>
      <c r="R130" s="2" t="inlineStr"/>
    </row>
    <row r="131" ht="15" customHeight="1">
      <c r="A131" t="inlineStr">
        <is>
          <t>A 5875-2023</t>
        </is>
      </c>
      <c r="B131" s="1" t="n">
        <v>44963</v>
      </c>
      <c r="C131" s="1" t="n">
        <v>45882</v>
      </c>
      <c r="D131" t="inlineStr">
        <is>
          <t>VÄSTRA GÖTALANDS LÄN</t>
        </is>
      </c>
      <c r="E131" t="inlineStr">
        <is>
          <t>ALE</t>
        </is>
      </c>
      <c r="G131" t="n">
        <v>2.2</v>
      </c>
      <c r="H131" t="n">
        <v>0</v>
      </c>
      <c r="I131" t="n">
        <v>0</v>
      </c>
      <c r="J131" t="n">
        <v>0</v>
      </c>
      <c r="K131" t="n">
        <v>0</v>
      </c>
      <c r="L131" t="n">
        <v>0</v>
      </c>
      <c r="M131" t="n">
        <v>0</v>
      </c>
      <c r="N131" t="n">
        <v>0</v>
      </c>
      <c r="O131" t="n">
        <v>0</v>
      </c>
      <c r="P131" t="n">
        <v>0</v>
      </c>
      <c r="Q131" t="n">
        <v>0</v>
      </c>
      <c r="R131" s="2" t="inlineStr"/>
    </row>
    <row r="132" ht="15" customHeight="1">
      <c r="A132" t="inlineStr">
        <is>
          <t>A 29373-2025</t>
        </is>
      </c>
      <c r="B132" s="1" t="n">
        <v>45824.579375</v>
      </c>
      <c r="C132" s="1" t="n">
        <v>45882</v>
      </c>
      <c r="D132" t="inlineStr">
        <is>
          <t>VÄSTRA GÖTALANDS LÄN</t>
        </is>
      </c>
      <c r="E132" t="inlineStr">
        <is>
          <t>ALE</t>
        </is>
      </c>
      <c r="G132" t="n">
        <v>4.6</v>
      </c>
      <c r="H132" t="n">
        <v>0</v>
      </c>
      <c r="I132" t="n">
        <v>0</v>
      </c>
      <c r="J132" t="n">
        <v>0</v>
      </c>
      <c r="K132" t="n">
        <v>0</v>
      </c>
      <c r="L132" t="n">
        <v>0</v>
      </c>
      <c r="M132" t="n">
        <v>0</v>
      </c>
      <c r="N132" t="n">
        <v>0</v>
      </c>
      <c r="O132" t="n">
        <v>0</v>
      </c>
      <c r="P132" t="n">
        <v>0</v>
      </c>
      <c r="Q132" t="n">
        <v>0</v>
      </c>
      <c r="R132" s="2" t="inlineStr"/>
    </row>
    <row r="133" ht="15" customHeight="1">
      <c r="A133" t="inlineStr">
        <is>
          <t>A 13426-2025</t>
        </is>
      </c>
      <c r="B133" s="1" t="n">
        <v>45736.32780092592</v>
      </c>
      <c r="C133" s="1" t="n">
        <v>45882</v>
      </c>
      <c r="D133" t="inlineStr">
        <is>
          <t>VÄSTRA GÖTALANDS LÄN</t>
        </is>
      </c>
      <c r="E133" t="inlineStr">
        <is>
          <t>ALE</t>
        </is>
      </c>
      <c r="G133" t="n">
        <v>1.5</v>
      </c>
      <c r="H133" t="n">
        <v>0</v>
      </c>
      <c r="I133" t="n">
        <v>0</v>
      </c>
      <c r="J133" t="n">
        <v>0</v>
      </c>
      <c r="K133" t="n">
        <v>0</v>
      </c>
      <c r="L133" t="n">
        <v>0</v>
      </c>
      <c r="M133" t="n">
        <v>0</v>
      </c>
      <c r="N133" t="n">
        <v>0</v>
      </c>
      <c r="O133" t="n">
        <v>0</v>
      </c>
      <c r="P133" t="n">
        <v>0</v>
      </c>
      <c r="Q133" t="n">
        <v>0</v>
      </c>
      <c r="R133" s="2" t="inlineStr"/>
    </row>
    <row r="134" ht="15" customHeight="1">
      <c r="A134" t="inlineStr">
        <is>
          <t>A 13382-2025</t>
        </is>
      </c>
      <c r="B134" s="1" t="n">
        <v>45735.67928240741</v>
      </c>
      <c r="C134" s="1" t="n">
        <v>45882</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64199-2021</t>
        </is>
      </c>
      <c r="B135" s="1" t="n">
        <v>44510</v>
      </c>
      <c r="C135" s="1" t="n">
        <v>45882</v>
      </c>
      <c r="D135" t="inlineStr">
        <is>
          <t>VÄSTRA GÖTALANDS LÄN</t>
        </is>
      </c>
      <c r="E135" t="inlineStr">
        <is>
          <t>ALE</t>
        </is>
      </c>
      <c r="G135" t="n">
        <v>5.7</v>
      </c>
      <c r="H135" t="n">
        <v>0</v>
      </c>
      <c r="I135" t="n">
        <v>0</v>
      </c>
      <c r="J135" t="n">
        <v>0</v>
      </c>
      <c r="K135" t="n">
        <v>0</v>
      </c>
      <c r="L135" t="n">
        <v>0</v>
      </c>
      <c r="M135" t="n">
        <v>0</v>
      </c>
      <c r="N135" t="n">
        <v>0</v>
      </c>
      <c r="O135" t="n">
        <v>0</v>
      </c>
      <c r="P135" t="n">
        <v>0</v>
      </c>
      <c r="Q135" t="n">
        <v>0</v>
      </c>
      <c r="R135" s="2" t="inlineStr"/>
    </row>
    <row r="136" ht="15" customHeight="1">
      <c r="A136" t="inlineStr">
        <is>
          <t>A 13903-2025</t>
        </is>
      </c>
      <c r="B136" s="1" t="n">
        <v>45737.63481481482</v>
      </c>
      <c r="C136" s="1" t="n">
        <v>45882</v>
      </c>
      <c r="D136" t="inlineStr">
        <is>
          <t>VÄSTRA GÖTALANDS LÄN</t>
        </is>
      </c>
      <c r="E136" t="inlineStr">
        <is>
          <t>ALE</t>
        </is>
      </c>
      <c r="G136" t="n">
        <v>0.5</v>
      </c>
      <c r="H136" t="n">
        <v>0</v>
      </c>
      <c r="I136" t="n">
        <v>0</v>
      </c>
      <c r="J136" t="n">
        <v>0</v>
      </c>
      <c r="K136" t="n">
        <v>0</v>
      </c>
      <c r="L136" t="n">
        <v>0</v>
      </c>
      <c r="M136" t="n">
        <v>0</v>
      </c>
      <c r="N136" t="n">
        <v>0</v>
      </c>
      <c r="O136" t="n">
        <v>0</v>
      </c>
      <c r="P136" t="n">
        <v>0</v>
      </c>
      <c r="Q136" t="n">
        <v>0</v>
      </c>
      <c r="R136" s="2" t="inlineStr"/>
    </row>
    <row r="137" ht="15" customHeight="1">
      <c r="A137" t="inlineStr">
        <is>
          <t>A 67160-2021</t>
        </is>
      </c>
      <c r="B137" s="1" t="n">
        <v>44523</v>
      </c>
      <c r="C137" s="1" t="n">
        <v>45882</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37005-2025</t>
        </is>
      </c>
      <c r="B138" s="1" t="n">
        <v>45874.69311342593</v>
      </c>
      <c r="C138" s="1" t="n">
        <v>45882</v>
      </c>
      <c r="D138" t="inlineStr">
        <is>
          <t>VÄSTRA GÖTALANDS LÄN</t>
        </is>
      </c>
      <c r="E138" t="inlineStr">
        <is>
          <t>ALE</t>
        </is>
      </c>
      <c r="G138" t="n">
        <v>1.9</v>
      </c>
      <c r="H138" t="n">
        <v>0</v>
      </c>
      <c r="I138" t="n">
        <v>0</v>
      </c>
      <c r="J138" t="n">
        <v>0</v>
      </c>
      <c r="K138" t="n">
        <v>0</v>
      </c>
      <c r="L138" t="n">
        <v>0</v>
      </c>
      <c r="M138" t="n">
        <v>0</v>
      </c>
      <c r="N138" t="n">
        <v>0</v>
      </c>
      <c r="O138" t="n">
        <v>0</v>
      </c>
      <c r="P138" t="n">
        <v>0</v>
      </c>
      <c r="Q138" t="n">
        <v>0</v>
      </c>
      <c r="R138" s="2" t="inlineStr"/>
    </row>
    <row r="139" ht="15" customHeight="1">
      <c r="A139" t="inlineStr">
        <is>
          <t>A 31407-2025</t>
        </is>
      </c>
      <c r="B139" s="1" t="n">
        <v>45833</v>
      </c>
      <c r="C139" s="1" t="n">
        <v>45882</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31409-2025</t>
        </is>
      </c>
      <c r="B140" s="1" t="n">
        <v>45833</v>
      </c>
      <c r="C140" s="1" t="n">
        <v>45882</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31488-2025</t>
        </is>
      </c>
      <c r="B141" s="1" t="n">
        <v>45833</v>
      </c>
      <c r="C141" s="1" t="n">
        <v>45882</v>
      </c>
      <c r="D141" t="inlineStr">
        <is>
          <t>VÄSTRA GÖTALANDS LÄN</t>
        </is>
      </c>
      <c r="E141" t="inlineStr">
        <is>
          <t>ALE</t>
        </is>
      </c>
      <c r="G141" t="n">
        <v>1.8</v>
      </c>
      <c r="H141" t="n">
        <v>0</v>
      </c>
      <c r="I141" t="n">
        <v>0</v>
      </c>
      <c r="J141" t="n">
        <v>0</v>
      </c>
      <c r="K141" t="n">
        <v>0</v>
      </c>
      <c r="L141" t="n">
        <v>0</v>
      </c>
      <c r="M141" t="n">
        <v>0</v>
      </c>
      <c r="N141" t="n">
        <v>0</v>
      </c>
      <c r="O141" t="n">
        <v>0</v>
      </c>
      <c r="P141" t="n">
        <v>0</v>
      </c>
      <c r="Q141" t="n">
        <v>0</v>
      </c>
      <c r="R141" s="2" t="inlineStr"/>
    </row>
    <row r="142" ht="15" customHeight="1">
      <c r="A142" t="inlineStr">
        <is>
          <t>A 31533-2025</t>
        </is>
      </c>
      <c r="B142" s="1" t="n">
        <v>45833</v>
      </c>
      <c r="C142" s="1" t="n">
        <v>45882</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14458-2024</t>
        </is>
      </c>
      <c r="B143" s="1" t="n">
        <v>45394</v>
      </c>
      <c r="C143" s="1" t="n">
        <v>45882</v>
      </c>
      <c r="D143" t="inlineStr">
        <is>
          <t>VÄSTRA GÖTALANDS LÄN</t>
        </is>
      </c>
      <c r="E143" t="inlineStr">
        <is>
          <t>ALE</t>
        </is>
      </c>
      <c r="G143" t="n">
        <v>0.5</v>
      </c>
      <c r="H143" t="n">
        <v>0</v>
      </c>
      <c r="I143" t="n">
        <v>0</v>
      </c>
      <c r="J143" t="n">
        <v>0</v>
      </c>
      <c r="K143" t="n">
        <v>0</v>
      </c>
      <c r="L143" t="n">
        <v>0</v>
      </c>
      <c r="M143" t="n">
        <v>0</v>
      </c>
      <c r="N143" t="n">
        <v>0</v>
      </c>
      <c r="O143" t="n">
        <v>0</v>
      </c>
      <c r="P143" t="n">
        <v>0</v>
      </c>
      <c r="Q143" t="n">
        <v>0</v>
      </c>
      <c r="R143" s="2" t="inlineStr"/>
    </row>
    <row r="144" ht="15" customHeight="1">
      <c r="A144" t="inlineStr">
        <is>
          <t>A 42446-2023</t>
        </is>
      </c>
      <c r="B144" s="1" t="n">
        <v>45180</v>
      </c>
      <c r="C144" s="1" t="n">
        <v>45882</v>
      </c>
      <c r="D144" t="inlineStr">
        <is>
          <t>VÄSTRA GÖTALANDS LÄN</t>
        </is>
      </c>
      <c r="E144" t="inlineStr">
        <is>
          <t>ALE</t>
        </is>
      </c>
      <c r="G144" t="n">
        <v>0.8</v>
      </c>
      <c r="H144" t="n">
        <v>0</v>
      </c>
      <c r="I144" t="n">
        <v>0</v>
      </c>
      <c r="J144" t="n">
        <v>0</v>
      </c>
      <c r="K144" t="n">
        <v>0</v>
      </c>
      <c r="L144" t="n">
        <v>0</v>
      </c>
      <c r="M144" t="n">
        <v>0</v>
      </c>
      <c r="N144" t="n">
        <v>0</v>
      </c>
      <c r="O144" t="n">
        <v>0</v>
      </c>
      <c r="P144" t="n">
        <v>0</v>
      </c>
      <c r="Q144" t="n">
        <v>0</v>
      </c>
      <c r="R144" s="2" t="inlineStr"/>
    </row>
    <row r="145" ht="15" customHeight="1">
      <c r="A145" t="inlineStr">
        <is>
          <t>A 32394-2025</t>
        </is>
      </c>
      <c r="B145" s="1" t="n">
        <v>45837.91665509259</v>
      </c>
      <c r="C145" s="1" t="n">
        <v>45882</v>
      </c>
      <c r="D145" t="inlineStr">
        <is>
          <t>VÄSTRA GÖTALANDS LÄN</t>
        </is>
      </c>
      <c r="E145" t="inlineStr">
        <is>
          <t>ALE</t>
        </is>
      </c>
      <c r="G145" t="n">
        <v>3.4</v>
      </c>
      <c r="H145" t="n">
        <v>0</v>
      </c>
      <c r="I145" t="n">
        <v>0</v>
      </c>
      <c r="J145" t="n">
        <v>0</v>
      </c>
      <c r="K145" t="n">
        <v>0</v>
      </c>
      <c r="L145" t="n">
        <v>0</v>
      </c>
      <c r="M145" t="n">
        <v>0</v>
      </c>
      <c r="N145" t="n">
        <v>0</v>
      </c>
      <c r="O145" t="n">
        <v>0</v>
      </c>
      <c r="P145" t="n">
        <v>0</v>
      </c>
      <c r="Q145" t="n">
        <v>0</v>
      </c>
      <c r="R145" s="2" t="inlineStr"/>
    </row>
    <row r="146" ht="15" customHeight="1">
      <c r="A146" t="inlineStr">
        <is>
          <t>A 35905-2025</t>
        </is>
      </c>
      <c r="B146" s="1" t="n">
        <v>45862</v>
      </c>
      <c r="C146" s="1" t="n">
        <v>45882</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53121-2024</t>
        </is>
      </c>
      <c r="B147" s="1" t="n">
        <v>45611</v>
      </c>
      <c r="C147" s="1" t="n">
        <v>45882</v>
      </c>
      <c r="D147" t="inlineStr">
        <is>
          <t>VÄSTRA GÖTALANDS LÄN</t>
        </is>
      </c>
      <c r="E147" t="inlineStr">
        <is>
          <t>ALE</t>
        </is>
      </c>
      <c r="G147" t="n">
        <v>3.4</v>
      </c>
      <c r="H147" t="n">
        <v>0</v>
      </c>
      <c r="I147" t="n">
        <v>0</v>
      </c>
      <c r="J147" t="n">
        <v>0</v>
      </c>
      <c r="K147" t="n">
        <v>0</v>
      </c>
      <c r="L147" t="n">
        <v>0</v>
      </c>
      <c r="M147" t="n">
        <v>0</v>
      </c>
      <c r="N147" t="n">
        <v>0</v>
      </c>
      <c r="O147" t="n">
        <v>0</v>
      </c>
      <c r="P147" t="n">
        <v>0</v>
      </c>
      <c r="Q147" t="n">
        <v>0</v>
      </c>
      <c r="R147" s="2" t="inlineStr"/>
    </row>
    <row r="148" ht="15" customHeight="1">
      <c r="A148" t="inlineStr">
        <is>
          <t>A 33237-2024</t>
        </is>
      </c>
      <c r="B148" s="1" t="n">
        <v>45518.59173611111</v>
      </c>
      <c r="C148" s="1" t="n">
        <v>45882</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12055-2022</t>
        </is>
      </c>
      <c r="B149" s="1" t="n">
        <v>44636</v>
      </c>
      <c r="C149" s="1" t="n">
        <v>45882</v>
      </c>
      <c r="D149" t="inlineStr">
        <is>
          <t>VÄSTRA GÖTALANDS LÄN</t>
        </is>
      </c>
      <c r="E149" t="inlineStr">
        <is>
          <t>ALE</t>
        </is>
      </c>
      <c r="G149" t="n">
        <v>0.2</v>
      </c>
      <c r="H149" t="n">
        <v>0</v>
      </c>
      <c r="I149" t="n">
        <v>0</v>
      </c>
      <c r="J149" t="n">
        <v>0</v>
      </c>
      <c r="K149" t="n">
        <v>0</v>
      </c>
      <c r="L149" t="n">
        <v>0</v>
      </c>
      <c r="M149" t="n">
        <v>0</v>
      </c>
      <c r="N149" t="n">
        <v>0</v>
      </c>
      <c r="O149" t="n">
        <v>0</v>
      </c>
      <c r="P149" t="n">
        <v>0</v>
      </c>
      <c r="Q149" t="n">
        <v>0</v>
      </c>
      <c r="R149" s="2" t="inlineStr"/>
    </row>
    <row r="150" ht="15" customHeight="1">
      <c r="A150" t="inlineStr">
        <is>
          <t>A 36763-2022</t>
        </is>
      </c>
      <c r="B150" s="1" t="n">
        <v>44805</v>
      </c>
      <c r="C150" s="1" t="n">
        <v>45882</v>
      </c>
      <c r="D150" t="inlineStr">
        <is>
          <t>VÄSTRA GÖTALANDS LÄN</t>
        </is>
      </c>
      <c r="E150" t="inlineStr">
        <is>
          <t>ALE</t>
        </is>
      </c>
      <c r="G150" t="n">
        <v>6.1</v>
      </c>
      <c r="H150" t="n">
        <v>0</v>
      </c>
      <c r="I150" t="n">
        <v>0</v>
      </c>
      <c r="J150" t="n">
        <v>0</v>
      </c>
      <c r="K150" t="n">
        <v>0</v>
      </c>
      <c r="L150" t="n">
        <v>0</v>
      </c>
      <c r="M150" t="n">
        <v>0</v>
      </c>
      <c r="N150" t="n">
        <v>0</v>
      </c>
      <c r="O150" t="n">
        <v>0</v>
      </c>
      <c r="P150" t="n">
        <v>0</v>
      </c>
      <c r="Q150" t="n">
        <v>0</v>
      </c>
      <c r="R150" s="2" t="inlineStr"/>
    </row>
    <row r="151">
      <c r="A151" t="inlineStr">
        <is>
          <t>A 3407-2023</t>
        </is>
      </c>
      <c r="B151" s="1" t="n">
        <v>44949.54909722223</v>
      </c>
      <c r="C151" s="1" t="n">
        <v>45882</v>
      </c>
      <c r="D151" t="inlineStr">
        <is>
          <t>VÄSTRA GÖTALANDS LÄN</t>
        </is>
      </c>
      <c r="E151" t="inlineStr">
        <is>
          <t>ALE</t>
        </is>
      </c>
      <c r="G151" t="n">
        <v>1.2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2025-08-13T08:26:46Z</dcterms:created>
  <dcterms:modified xmlns:dcterms="http://purl.org/dc/terms/" xmlns:xsi="http://www.w3.org/2001/XMLSchema-instance" xsi:type="dcterms:W3CDTF">2025-08-13T08:26:46Z</dcterms:modified>
</cp:coreProperties>
</file>