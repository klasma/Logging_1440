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46320</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46320</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46320</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46320</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46320</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46320</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46320</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46320</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46320</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46320</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32151-2026</t>
        </is>
      </c>
      <c r="B12" t="inlineStr">
        <is>
          <t>avverkningsanmälan</t>
        </is>
      </c>
      <c r="C12" t="inlineStr">
        <is>
          <t>Föryngringsavverkning</t>
        </is>
      </c>
      <c r="D12" s="1" t="n">
        <v>46235</v>
      </c>
      <c r="E12" s="1" t="n">
        <v>46320</v>
      </c>
      <c r="F12" t="inlineStr">
        <is>
          <t>VÄSTRA GÖTALANDS LÄN</t>
        </is>
      </c>
      <c r="G12" t="inlineStr">
        <is>
          <t>ALE</t>
        </is>
      </c>
      <c r="I12" t="n">
        <v>4.9</v>
      </c>
      <c r="J12" t="n">
        <v>5</v>
      </c>
      <c r="K12" t="n">
        <v>2</v>
      </c>
      <c r="L12" t="n">
        <v>2</v>
      </c>
      <c r="M12" t="n">
        <v>0</v>
      </c>
      <c r="N12" t="n">
        <v>0</v>
      </c>
      <c r="O12" t="n">
        <v>0</v>
      </c>
      <c r="P12" t="n">
        <v>0</v>
      </c>
      <c r="Q12" t="n">
        <v>2</v>
      </c>
      <c r="R12" t="n">
        <v>0</v>
      </c>
      <c r="S12" t="n">
        <v>7</v>
      </c>
      <c r="T12" t="n">
        <v>11</v>
      </c>
      <c r="U12" t="n">
        <v>8</v>
      </c>
      <c r="V12" s="2" t="inlineStr">
        <is>
          <t>Mindre hackspett
Talltita
Blåmossa
Västlig hakmossa
Spillkråka
Lopplummer (aggregat)
Revlummer</t>
        </is>
      </c>
      <c r="W12">
        <f>HYPERLINK("https://klasma.github.io/Logging_1440/artfynd/A 32151-2026 artfynd.xlsx", "A 32151-2026")</f>
        <v/>
      </c>
      <c r="X12">
        <f>HYPERLINK("https://klasma.github.io/Logging_1440/kartor/A 32151-2026 karta.png", "A 32151-2026")</f>
        <v/>
      </c>
      <c r="Y12">
        <f>HYPERLINK("https://klasma.github.io/Logging_1440/kartor_geotiff/A 32151-2026 georefererad karta.tif", "A 32151-2026")</f>
        <v/>
      </c>
      <c r="AA12">
        <f>HYPERLINK("https://klasma.github.io/Logging_1440/klagomål/A 32151-2026 FSC-klagomål.docx", "A 32151-2026")</f>
        <v/>
      </c>
      <c r="AB12">
        <f>HYPERLINK("https://klasma.github.io/Logging_1440/klagomålsmail/A 32151-2026 FSC-klagomål mail.docx", "A 32151-2026")</f>
        <v/>
      </c>
      <c r="AC12">
        <f>HYPERLINK("https://klasma.github.io/Logging_1440/tillsyn/A 32151-2026 tillsynsbegäran.docx", "A 32151-2026")</f>
        <v/>
      </c>
      <c r="AD12">
        <f>HYPERLINK("https://klasma.github.io/Logging_1440/tillsynsmail/A 32151-2026 tillsynsbegäran mail.docx", "A 32151-2026")</f>
        <v/>
      </c>
      <c r="AE12">
        <f>HYPERLINK("https://klasma.github.io/Logging_1440/fåglar/A 32151-2026 prioriterade fågelarter.docx", "A 32151-2026")</f>
        <v/>
      </c>
    </row>
    <row r="13" ht="15" customHeight="1">
      <c r="A13" t="inlineStr">
        <is>
          <t>A 60293-2025</t>
        </is>
      </c>
      <c r="B13" t="inlineStr">
        <is>
          <t>avverkningsanmälan</t>
        </is>
      </c>
      <c r="C13" t="inlineStr">
        <is>
          <t>Föryngringsavverkning</t>
        </is>
      </c>
      <c r="D13" s="1" t="n">
        <v>45994</v>
      </c>
      <c r="E13" s="1" t="n">
        <v>46320</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46320</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17684-2026</t>
        </is>
      </c>
      <c r="B15" t="inlineStr">
        <is>
          <t>avverkningsanmälan</t>
        </is>
      </c>
      <c r="C15" t="inlineStr">
        <is>
          <t>Föryngringsavverkning</t>
        </is>
      </c>
      <c r="D15" s="1" t="n">
        <v>46121</v>
      </c>
      <c r="E15" s="1" t="n">
        <v>46320</v>
      </c>
      <c r="F15" t="inlineStr">
        <is>
          <t>VÄSTRA GÖTALANDS LÄN</t>
        </is>
      </c>
      <c r="G15" t="inlineStr">
        <is>
          <t>ALE</t>
        </is>
      </c>
      <c r="I15" t="n">
        <v>2.7</v>
      </c>
      <c r="J15" t="n">
        <v>3</v>
      </c>
      <c r="K15" t="n">
        <v>4</v>
      </c>
      <c r="L15" t="n">
        <v>0</v>
      </c>
      <c r="M15" t="n">
        <v>0</v>
      </c>
      <c r="N15" t="n">
        <v>0</v>
      </c>
      <c r="O15" t="n">
        <v>0</v>
      </c>
      <c r="P15" t="n">
        <v>0</v>
      </c>
      <c r="Q15" t="n">
        <v>0</v>
      </c>
      <c r="R15" t="n">
        <v>0</v>
      </c>
      <c r="S15" t="n">
        <v>7</v>
      </c>
      <c r="T15" t="n">
        <v>7</v>
      </c>
      <c r="U15" t="n">
        <v>0</v>
      </c>
      <c r="V15" s="2" t="inlineStr">
        <is>
          <t>Blåmossa
Bronshjon
Havstulpanlav
Vågbandad barkbock
Spillkråka
Lopplummer (aggregat)
Revlummer</t>
        </is>
      </c>
      <c r="W15">
        <f>HYPERLINK("https://klasma.github.io/Logging_1440/artfynd/A 17684-2026 artfynd.xlsx", "A 17684-2026")</f>
        <v/>
      </c>
      <c r="X15">
        <f>HYPERLINK("https://klasma.github.io/Logging_1440/kartor/A 17684-2026 karta.png", "A 17684-2026")</f>
        <v/>
      </c>
      <c r="Y15">
        <f>HYPERLINK("https://klasma.github.io/Logging_1440/kartor_geotiff/A 17684-2026 georefererad karta.tif", "A 17684-2026")</f>
        <v/>
      </c>
      <c r="AA15">
        <f>HYPERLINK("https://klasma.github.io/Logging_1440/klagomål/A 17684-2026 FSC-klagomål.docx", "A 17684-2026")</f>
        <v/>
      </c>
      <c r="AB15">
        <f>HYPERLINK("https://klasma.github.io/Logging_1440/klagomålsmail/A 17684-2026 FSC-klagomål mail.docx", "A 17684-2026")</f>
        <v/>
      </c>
      <c r="AC15">
        <f>HYPERLINK("https://klasma.github.io/Logging_1440/tillsyn/A 17684-2026 tillsynsbegäran.docx", "A 17684-2026")</f>
        <v/>
      </c>
      <c r="AD15">
        <f>HYPERLINK("https://klasma.github.io/Logging_1440/tillsynsmail/A 17684-2026 tillsynsbegäran mail.docx", "A 17684-2026")</f>
        <v/>
      </c>
      <c r="AE15">
        <f>HYPERLINK("https://klasma.github.io/Logging_1440/fåglar/A 17684-2026 prioriterade fågelarter.docx", "A 17684-2026")</f>
        <v/>
      </c>
    </row>
    <row r="16" ht="15" customHeight="1">
      <c r="A16" t="inlineStr">
        <is>
          <t>A 26491-2024</t>
        </is>
      </c>
      <c r="B16" t="inlineStr">
        <is>
          <t>avverkningsanmälan</t>
        </is>
      </c>
      <c r="C16" t="inlineStr">
        <is>
          <t>Avverkning för annat ändamål</t>
        </is>
      </c>
      <c r="D16" s="1" t="n">
        <v>45469</v>
      </c>
      <c r="E16" s="1" t="n">
        <v>46320</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40629-2026</t>
        </is>
      </c>
      <c r="B17" t="inlineStr">
        <is>
          <t>avverkningsanmälan</t>
        </is>
      </c>
      <c r="C17" t="inlineStr">
        <is>
          <t>Föryngringsavverkning</t>
        </is>
      </c>
      <c r="D17" s="1" t="n">
        <v>46295</v>
      </c>
      <c r="E17" s="1" t="n">
        <v>46320</v>
      </c>
      <c r="F17" t="inlineStr">
        <is>
          <t>VÄSTRA GÖTALANDS LÄN</t>
        </is>
      </c>
      <c r="G17" t="inlineStr">
        <is>
          <t>ALE</t>
        </is>
      </c>
      <c r="I17" t="n">
        <v>3.5</v>
      </c>
      <c r="J17" t="n">
        <v>1</v>
      </c>
      <c r="K17" t="n">
        <v>2</v>
      </c>
      <c r="L17" t="n">
        <v>2</v>
      </c>
      <c r="M17" t="n">
        <v>0</v>
      </c>
      <c r="N17" t="n">
        <v>0</v>
      </c>
      <c r="O17" t="n">
        <v>0</v>
      </c>
      <c r="P17" t="n">
        <v>0</v>
      </c>
      <c r="Q17" t="n">
        <v>2</v>
      </c>
      <c r="R17" t="n">
        <v>0</v>
      </c>
      <c r="S17" t="n">
        <v>5</v>
      </c>
      <c r="T17" t="n">
        <v>5</v>
      </c>
      <c r="U17" t="n">
        <v>5</v>
      </c>
      <c r="V17" s="2" t="inlineStr">
        <is>
          <t>Mindre hackspett
Älg
Blomkålssvamp
Blåmossa
Kransmossa</t>
        </is>
      </c>
      <c r="W17">
        <f>HYPERLINK("https://klasma.github.io/Logging_1440/artfynd/A 40629-2026 artfynd.xlsx", "A 40629-2026")</f>
        <v/>
      </c>
      <c r="X17">
        <f>HYPERLINK("https://klasma.github.io/Logging_1440/kartor/A 40629-2026 karta.png", "A 40629-2026")</f>
        <v/>
      </c>
      <c r="Y17">
        <f>HYPERLINK("https://klasma.github.io/Logging_1440/kartor_geotiff/A 40629-2026 georefererad karta.tif", "A 40629-2026")</f>
        <v/>
      </c>
      <c r="AA17">
        <f>HYPERLINK("https://klasma.github.io/Logging_1440/klagomål/A 40629-2026 FSC-klagomål.docx", "A 40629-2026")</f>
        <v/>
      </c>
      <c r="AB17">
        <f>HYPERLINK("https://klasma.github.io/Logging_1440/klagomålsmail/A 40629-2026 FSC-klagomål mail.docx", "A 40629-2026")</f>
        <v/>
      </c>
      <c r="AC17">
        <f>HYPERLINK("https://klasma.github.io/Logging_1440/tillsyn/A 40629-2026 tillsynsbegäran.docx", "A 40629-2026")</f>
        <v/>
      </c>
      <c r="AD17">
        <f>HYPERLINK("https://klasma.github.io/Logging_1440/tillsynsmail/A 40629-2026 tillsynsbegäran mail.docx", "A 40629-2026")</f>
        <v/>
      </c>
      <c r="AE17">
        <f>HYPERLINK("https://klasma.github.io/Logging_1440/fåglar/A 40629-2026 prioriterade fågelarter.docx", "A 40629-2026")</f>
        <v/>
      </c>
    </row>
    <row r="18" ht="15" customHeight="1">
      <c r="A18" t="inlineStr">
        <is>
          <t>A 12084-2025</t>
        </is>
      </c>
      <c r="B18" t="inlineStr">
        <is>
          <t>avverkningsanmälan</t>
        </is>
      </c>
      <c r="C18" t="inlineStr">
        <is>
          <t>Föryngringsavverkning</t>
        </is>
      </c>
      <c r="D18" s="1" t="n">
        <v>45728</v>
      </c>
      <c r="E18" s="1" t="n">
        <v>46320</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63575-2023</t>
        </is>
      </c>
      <c r="B19" t="inlineStr">
        <is>
          <t>avverkningsanmälan</t>
        </is>
      </c>
      <c r="C19" t="inlineStr">
        <is>
          <t>Föryngringsavverkning</t>
        </is>
      </c>
      <c r="D19" s="1" t="n">
        <v>45275</v>
      </c>
      <c r="E19" s="1" t="n">
        <v>46320</v>
      </c>
      <c r="F19" t="inlineStr">
        <is>
          <t>VÄSTRA GÖTALANDS LÄN</t>
        </is>
      </c>
      <c r="G19" t="inlineStr">
        <is>
          <t>ALE</t>
        </is>
      </c>
      <c r="I19" t="n">
        <v>1.2</v>
      </c>
      <c r="J19" t="n">
        <v>3</v>
      </c>
      <c r="K19" t="n">
        <v>2</v>
      </c>
      <c r="L19" t="n">
        <v>2</v>
      </c>
      <c r="M19" t="n">
        <v>0</v>
      </c>
      <c r="N19" t="n">
        <v>0</v>
      </c>
      <c r="O19" t="n">
        <v>0</v>
      </c>
      <c r="P19" t="n">
        <v>0</v>
      </c>
      <c r="Q19" t="n">
        <v>2</v>
      </c>
      <c r="R19" t="n">
        <v>0</v>
      </c>
      <c r="S19" t="n">
        <v>5</v>
      </c>
      <c r="T19" t="n">
        <v>7</v>
      </c>
      <c r="U19" t="n">
        <v>7</v>
      </c>
      <c r="V19" s="2" t="inlineStr">
        <is>
          <t>Gulsparv
Talltita
Stor revmossa
Vågbandad barkbock
Spillkråka</t>
        </is>
      </c>
      <c r="W19">
        <f>HYPERLINK("https://klasma.github.io/Logging_1440/artfynd/A 63575-2023 artfynd.xlsx", "A 63575-2023")</f>
        <v/>
      </c>
      <c r="X19">
        <f>HYPERLINK("https://klasma.github.io/Logging_1440/kartor/A 63575-2023 karta.png", "A 63575-2023")</f>
        <v/>
      </c>
      <c r="Y19">
        <f>HYPERLINK("https://klasma.github.io/Logging_1440/kartor_geotiff/A 63575-2023 georefererad karta.tif", "A 63575-2023")</f>
        <v/>
      </c>
      <c r="AA19">
        <f>HYPERLINK("https://klasma.github.io/Logging_1440/klagomål/A 63575-2023 FSC-klagomål.docx", "A 63575-2023")</f>
        <v/>
      </c>
      <c r="AB19">
        <f>HYPERLINK("https://klasma.github.io/Logging_1440/klagomålsmail/A 63575-2023 FSC-klagomål mail.docx", "A 63575-2023")</f>
        <v/>
      </c>
      <c r="AC19">
        <f>HYPERLINK("https://klasma.github.io/Logging_1440/tillsyn/A 63575-2023 tillsynsbegäran.docx", "A 63575-2023")</f>
        <v/>
      </c>
      <c r="AD19">
        <f>HYPERLINK("https://klasma.github.io/Logging_1440/tillsynsmail/A 63575-2023 tillsynsbegäran mail.docx", "A 63575-2023")</f>
        <v/>
      </c>
      <c r="AE19">
        <f>HYPERLINK("https://klasma.github.io/Logging_1440/fåglar/A 63575-2023 prioriterade fågelarter.docx", "A 63575-2023")</f>
        <v/>
      </c>
    </row>
    <row r="20" ht="15" customHeight="1">
      <c r="A20" t="inlineStr">
        <is>
          <t>S 3236-2024</t>
        </is>
      </c>
      <c r="B20" t="inlineStr">
        <is>
          <t>samrådsanmälan</t>
        </is>
      </c>
      <c r="C20" t="inlineStr">
        <is>
          <t>Annan skogsbruksåtgärd</t>
        </is>
      </c>
      <c r="D20" s="1" t="n">
        <v>45525</v>
      </c>
      <c r="E20" s="1" t="n">
        <v>46320</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46320</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8659-2025</t>
        </is>
      </c>
      <c r="B22" t="inlineStr">
        <is>
          <t>avverkningsanmälan</t>
        </is>
      </c>
      <c r="C22" t="inlineStr">
        <is>
          <t>Föryngringsavverkning</t>
        </is>
      </c>
      <c r="D22" s="1" t="n">
        <v>45712</v>
      </c>
      <c r="E22" s="1" t="n">
        <v>46320</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11516-2026</t>
        </is>
      </c>
      <c r="B23" t="inlineStr">
        <is>
          <t>avverkningsanmälan</t>
        </is>
      </c>
      <c r="C23" t="inlineStr">
        <is>
          <t>Föryngringsavverkning</t>
        </is>
      </c>
      <c r="D23" s="1" t="n">
        <v>46083</v>
      </c>
      <c r="E23" s="1" t="n">
        <v>46320</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46320</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46320</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46320</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14048-2026</t>
        </is>
      </c>
      <c r="B27" t="inlineStr">
        <is>
          <t>avverkningsanmälan</t>
        </is>
      </c>
      <c r="C27" t="inlineStr">
        <is>
          <t>Föryngringsavverkning</t>
        </is>
      </c>
      <c r="D27" s="1" t="n">
        <v>46099</v>
      </c>
      <c r="E27" s="1" t="n">
        <v>46320</v>
      </c>
      <c r="F27" t="inlineStr">
        <is>
          <t>VÄSTRA GÖTALANDS LÄN</t>
        </is>
      </c>
      <c r="G27" t="inlineStr">
        <is>
          <t>ALE</t>
        </is>
      </c>
      <c r="I27" t="n">
        <v>1.5</v>
      </c>
      <c r="J27" t="n">
        <v>1</v>
      </c>
      <c r="K27" t="n">
        <v>2</v>
      </c>
      <c r="L27" t="n">
        <v>0</v>
      </c>
      <c r="M27" t="n">
        <v>0</v>
      </c>
      <c r="N27" t="n">
        <v>0</v>
      </c>
      <c r="O27" t="n">
        <v>0</v>
      </c>
      <c r="P27" t="n">
        <v>0</v>
      </c>
      <c r="Q27" t="n">
        <v>0</v>
      </c>
      <c r="R27" t="n">
        <v>0</v>
      </c>
      <c r="S27" t="n">
        <v>3</v>
      </c>
      <c r="T27" t="n">
        <v>3</v>
      </c>
      <c r="U27" t="n">
        <v>3</v>
      </c>
      <c r="V27" s="2" t="inlineStr">
        <is>
          <t>Klippfrullania
Västlig hakmossa
Spillkråka</t>
        </is>
      </c>
      <c r="W27">
        <f>HYPERLINK("https://klasma.github.io/Logging_1440/artfynd/A 14048-2026 artfynd.xlsx", "A 14048-2026")</f>
        <v/>
      </c>
      <c r="X27">
        <f>HYPERLINK("https://klasma.github.io/Logging_1440/kartor/A 14048-2026 karta.png", "A 14048-2026")</f>
        <v/>
      </c>
      <c r="Y27">
        <f>HYPERLINK("https://klasma.github.io/Logging_1440/kartor_geotiff/A 14048-2026 georefererad karta.tif", "A 14048-2026")</f>
        <v/>
      </c>
      <c r="AA27">
        <f>HYPERLINK("https://klasma.github.io/Logging_1440/klagomål/A 14048-2026 FSC-klagomål.docx", "A 14048-2026")</f>
        <v/>
      </c>
      <c r="AB27">
        <f>HYPERLINK("https://klasma.github.io/Logging_1440/klagomålsmail/A 14048-2026 FSC-klagomål mail.docx", "A 14048-2026")</f>
        <v/>
      </c>
      <c r="AC27">
        <f>HYPERLINK("https://klasma.github.io/Logging_1440/tillsyn/A 14048-2026 tillsynsbegäran.docx", "A 14048-2026")</f>
        <v/>
      </c>
      <c r="AD27">
        <f>HYPERLINK("https://klasma.github.io/Logging_1440/tillsynsmail/A 14048-2026 tillsynsbegäran mail.docx", "A 14048-2026")</f>
        <v/>
      </c>
      <c r="AE27">
        <f>HYPERLINK("https://klasma.github.io/Logging_1440/fåglar/A 14048-2026 prioriterade fågelarter.docx", "A 14048-2026")</f>
        <v/>
      </c>
    </row>
    <row r="28" ht="15" customHeight="1">
      <c r="A28" t="inlineStr">
        <is>
          <t>A 43411-2026</t>
        </is>
      </c>
      <c r="B28" t="inlineStr">
        <is>
          <t>avverkningsanmälan</t>
        </is>
      </c>
      <c r="C28" t="inlineStr">
        <is>
          <t>Föryngringsavverkning</t>
        </is>
      </c>
      <c r="D28" s="1" t="n">
        <v>46314</v>
      </c>
      <c r="E28" s="1" t="n">
        <v>46320</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12982-2024</t>
        </is>
      </c>
      <c r="B29" t="inlineStr">
        <is>
          <t>avverkningsanmälan</t>
        </is>
      </c>
      <c r="C29" t="inlineStr">
        <is>
          <t>Föryngringsavverkning</t>
        </is>
      </c>
      <c r="D29" s="1" t="n">
        <v>45385</v>
      </c>
      <c r="E29" s="1" t="n">
        <v>46320</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38843-2026</t>
        </is>
      </c>
      <c r="B30" t="inlineStr">
        <is>
          <t>avverkningsanmälan</t>
        </is>
      </c>
      <c r="C30" t="inlineStr">
        <is>
          <t>Föryngringsavverkning</t>
        </is>
      </c>
      <c r="D30" s="1" t="n">
        <v>46286</v>
      </c>
      <c r="E30" s="1" t="n">
        <v>46320</v>
      </c>
      <c r="F30" t="inlineStr">
        <is>
          <t>VÄSTRA GÖTALANDS LÄN</t>
        </is>
      </c>
      <c r="G30" t="inlineStr">
        <is>
          <t>ALE</t>
        </is>
      </c>
      <c r="I30" t="n">
        <v>1.7</v>
      </c>
      <c r="J30" t="n">
        <v>0</v>
      </c>
      <c r="K30" t="n">
        <v>1</v>
      </c>
      <c r="L30" t="n">
        <v>1</v>
      </c>
      <c r="M30" t="n">
        <v>0</v>
      </c>
      <c r="N30" t="n">
        <v>0</v>
      </c>
      <c r="O30" t="n">
        <v>0</v>
      </c>
      <c r="P30" t="n">
        <v>0</v>
      </c>
      <c r="Q30" t="n">
        <v>1</v>
      </c>
      <c r="R30" t="n">
        <v>0</v>
      </c>
      <c r="S30" t="n">
        <v>2</v>
      </c>
      <c r="T30" t="n">
        <v>2</v>
      </c>
      <c r="U30" t="n">
        <v>2</v>
      </c>
      <c r="V30" s="2" t="inlineStr">
        <is>
          <t>Motaggsvamp
Blåmossa</t>
        </is>
      </c>
      <c r="W30">
        <f>HYPERLINK("https://klasma.github.io/Logging_1440/artfynd/A 38843-2026 artfynd.xlsx", "A 38843-2026")</f>
        <v/>
      </c>
      <c r="X30">
        <f>HYPERLINK("https://klasma.github.io/Logging_1440/kartor/A 38843-2026 karta.png", "A 38843-2026")</f>
        <v/>
      </c>
      <c r="Y30">
        <f>HYPERLINK("https://klasma.github.io/Logging_1440/kartor_geotiff/A 38843-2026 georefererad karta.tif", "A 38843-2026")</f>
        <v/>
      </c>
      <c r="AA30">
        <f>HYPERLINK("https://klasma.github.io/Logging_1440/klagomål/A 38843-2026 FSC-klagomål.docx", "A 38843-2026")</f>
        <v/>
      </c>
      <c r="AB30">
        <f>HYPERLINK("https://klasma.github.io/Logging_1440/klagomålsmail/A 38843-2026 FSC-klagomål mail.docx", "A 38843-2026")</f>
        <v/>
      </c>
      <c r="AC30">
        <f>HYPERLINK("https://klasma.github.io/Logging_1440/tillsyn/A 38843-2026 tillsynsbegäran.docx", "A 38843-2026")</f>
        <v/>
      </c>
      <c r="AD30">
        <f>HYPERLINK("https://klasma.github.io/Logging_1440/tillsynsmail/A 38843-2026 tillsynsbegäran mail.docx", "A 38843-2026")</f>
        <v/>
      </c>
    </row>
    <row r="31" ht="15" customHeight="1">
      <c r="A31" t="inlineStr">
        <is>
          <t>A 13380-2025</t>
        </is>
      </c>
      <c r="B31" t="inlineStr">
        <is>
          <t>avverkningsanmälan</t>
        </is>
      </c>
      <c r="C31" t="inlineStr">
        <is>
          <t>Föryngringsavverkning</t>
        </is>
      </c>
      <c r="D31" s="1" t="n">
        <v>45735</v>
      </c>
      <c r="E31" s="1" t="n">
        <v>46320</v>
      </c>
      <c r="F31" t="inlineStr">
        <is>
          <t>VÄSTRA GÖTALANDS LÄN</t>
        </is>
      </c>
      <c r="G31" t="inlineStr">
        <is>
          <t>ALE</t>
        </is>
      </c>
      <c r="I31" t="n">
        <v>1.8</v>
      </c>
      <c r="J31" t="n">
        <v>2</v>
      </c>
      <c r="K31" t="n">
        <v>0</v>
      </c>
      <c r="L31" t="n">
        <v>1</v>
      </c>
      <c r="M31" t="n">
        <v>0</v>
      </c>
      <c r="N31" t="n">
        <v>0</v>
      </c>
      <c r="O31" t="n">
        <v>0</v>
      </c>
      <c r="P31" t="n">
        <v>0</v>
      </c>
      <c r="Q31" t="n">
        <v>1</v>
      </c>
      <c r="R31" t="n">
        <v>0</v>
      </c>
      <c r="S31" t="n">
        <v>2</v>
      </c>
      <c r="T31" t="n">
        <v>5</v>
      </c>
      <c r="U31" t="n">
        <v>5</v>
      </c>
      <c r="V31" s="2" t="inlineStr">
        <is>
          <t>Entita
Spillkråka</t>
        </is>
      </c>
      <c r="W31">
        <f>HYPERLINK("https://klasma.github.io/Logging_1440/artfynd/A 13380-2025 artfynd.xlsx", "A 13380-2025")</f>
        <v/>
      </c>
      <c r="X31">
        <f>HYPERLINK("https://klasma.github.io/Logging_1440/kartor/A 13380-2025 karta.png", "A 13380-2025")</f>
        <v/>
      </c>
      <c r="Y31">
        <f>HYPERLINK("https://klasma.github.io/Logging_1440/kartor_geotiff/A 13380-2025 georefererad karta.tif", "A 13380-2025")</f>
        <v/>
      </c>
      <c r="AA31">
        <f>HYPERLINK("https://klasma.github.io/Logging_1440/klagomål/A 13380-2025 FSC-klagomål.docx", "A 13380-2025")</f>
        <v/>
      </c>
      <c r="AB31">
        <f>HYPERLINK("https://klasma.github.io/Logging_1440/klagomålsmail/A 13380-2025 FSC-klagomål mail.docx", "A 13380-2025")</f>
        <v/>
      </c>
      <c r="AC31">
        <f>HYPERLINK("https://klasma.github.io/Logging_1440/tillsyn/A 13380-2025 tillsynsbegäran.docx", "A 13380-2025")</f>
        <v/>
      </c>
      <c r="AD31">
        <f>HYPERLINK("https://klasma.github.io/Logging_1440/tillsynsmail/A 13380-2025 tillsynsbegäran mail.docx", "A 13380-2025")</f>
        <v/>
      </c>
      <c r="AE31">
        <f>HYPERLINK("https://klasma.github.io/Logging_1440/fåglar/A 13380-2025 prioriterade fågelarter.docx", "A 13380-2025")</f>
        <v/>
      </c>
    </row>
    <row r="32" ht="15" customHeight="1">
      <c r="A32" t="inlineStr">
        <is>
          <t>A 2270-2025</t>
        </is>
      </c>
      <c r="B32" t="inlineStr">
        <is>
          <t>avverkningsanmälan</t>
        </is>
      </c>
      <c r="C32" t="inlineStr">
        <is>
          <t>Föryngringsavverkning</t>
        </is>
      </c>
      <c r="D32" s="1" t="n">
        <v>45673</v>
      </c>
      <c r="E32" s="1" t="n">
        <v>46320</v>
      </c>
      <c r="F32" t="inlineStr">
        <is>
          <t>VÄSTRA GÖTALANDS LÄN</t>
        </is>
      </c>
      <c r="G32" t="inlineStr">
        <is>
          <t>ALE</t>
        </is>
      </c>
      <c r="I32" t="n">
        <v>4.1</v>
      </c>
      <c r="J32" t="n">
        <v>2</v>
      </c>
      <c r="K32" t="n">
        <v>0</v>
      </c>
      <c r="L32" t="n">
        <v>0</v>
      </c>
      <c r="M32" t="n">
        <v>0</v>
      </c>
      <c r="N32" t="n">
        <v>0</v>
      </c>
      <c r="O32" t="n">
        <v>0</v>
      </c>
      <c r="P32" t="n">
        <v>0</v>
      </c>
      <c r="Q32" t="n">
        <v>0</v>
      </c>
      <c r="R32" t="n">
        <v>0</v>
      </c>
      <c r="S32" t="n">
        <v>2</v>
      </c>
      <c r="T32" t="n">
        <v>2</v>
      </c>
      <c r="U32" t="n">
        <v>2</v>
      </c>
      <c r="V32" s="2" t="inlineStr">
        <is>
          <t>Spillkråka
Revlummer</t>
        </is>
      </c>
      <c r="W32">
        <f>HYPERLINK("https://klasma.github.io/Logging_1440/artfynd/A 2270-2025 artfynd.xlsx", "A 2270-2025")</f>
        <v/>
      </c>
      <c r="X32">
        <f>HYPERLINK("https://klasma.github.io/Logging_1440/kartor/A 2270-2025 karta.png", "A 2270-2025")</f>
        <v/>
      </c>
      <c r="Y32">
        <f>HYPERLINK("https://klasma.github.io/Logging_1440/kartor_geotiff/A 2270-2025 georefererad karta.tif", "A 2270-2025")</f>
        <v/>
      </c>
      <c r="AA32">
        <f>HYPERLINK("https://klasma.github.io/Logging_1440/klagomål/A 2270-2025 FSC-klagomål.docx", "A 2270-2025")</f>
        <v/>
      </c>
      <c r="AB32">
        <f>HYPERLINK("https://klasma.github.io/Logging_1440/klagomålsmail/A 2270-2025 FSC-klagomål mail.docx", "A 2270-2025")</f>
        <v/>
      </c>
      <c r="AC32">
        <f>HYPERLINK("https://klasma.github.io/Logging_1440/tillsyn/A 2270-2025 tillsynsbegäran.docx", "A 2270-2025")</f>
        <v/>
      </c>
      <c r="AD32">
        <f>HYPERLINK("https://klasma.github.io/Logging_1440/tillsynsmail/A 2270-2025 tillsynsbegäran mail.docx", "A 2270-2025")</f>
        <v/>
      </c>
      <c r="AE32">
        <f>HYPERLINK("https://klasma.github.io/Logging_1440/fåglar/A 2270-2025 prioriterade fågelarter.docx", "A 2270-2025")</f>
        <v/>
      </c>
    </row>
    <row r="33" ht="15" customHeight="1">
      <c r="A33" t="inlineStr">
        <is>
          <t>A 1503-2024</t>
        </is>
      </c>
      <c r="B33" t="inlineStr">
        <is>
          <t>avverkningsanmälan</t>
        </is>
      </c>
      <c r="C33" t="inlineStr">
        <is>
          <t>Föryngringsavverkning</t>
        </is>
      </c>
      <c r="D33" s="1" t="n">
        <v>45306</v>
      </c>
      <c r="E33" s="1" t="n">
        <v>46320</v>
      </c>
      <c r="F33" t="inlineStr">
        <is>
          <t>VÄSTRA GÖTALANDS LÄN</t>
        </is>
      </c>
      <c r="G33" t="inlineStr">
        <is>
          <t>ALE</t>
        </is>
      </c>
      <c r="I33" t="n">
        <v>6.6</v>
      </c>
      <c r="J33" t="n">
        <v>2</v>
      </c>
      <c r="K33" t="n">
        <v>0</v>
      </c>
      <c r="L33" t="n">
        <v>0</v>
      </c>
      <c r="M33" t="n">
        <v>0</v>
      </c>
      <c r="N33" t="n">
        <v>0</v>
      </c>
      <c r="O33" t="n">
        <v>0</v>
      </c>
      <c r="P33" t="n">
        <v>0</v>
      </c>
      <c r="Q33" t="n">
        <v>0</v>
      </c>
      <c r="R33" t="n">
        <v>0</v>
      </c>
      <c r="S33" t="n">
        <v>2</v>
      </c>
      <c r="T33" t="n">
        <v>4</v>
      </c>
      <c r="U33" t="n">
        <v>4</v>
      </c>
      <c r="V33" s="2" t="inlineStr">
        <is>
          <t>Spillkråka
Revlummer</t>
        </is>
      </c>
      <c r="W33">
        <f>HYPERLINK("https://klasma.github.io/Logging_1440/artfynd/A 1503-2024 artfynd.xlsx", "A 1503-2024")</f>
        <v/>
      </c>
      <c r="X33">
        <f>HYPERLINK("https://klasma.github.io/Logging_1440/kartor/A 1503-2024 karta.png", "A 1503-2024")</f>
        <v/>
      </c>
      <c r="Y33">
        <f>HYPERLINK("https://klasma.github.io/Logging_1440/kartor_geotiff/A 1503-2024 georefererad karta.tif", "A 1503-2024")</f>
        <v/>
      </c>
      <c r="AA33">
        <f>HYPERLINK("https://klasma.github.io/Logging_1440/klagomål/A 1503-2024 FSC-klagomål.docx", "A 1503-2024")</f>
        <v/>
      </c>
      <c r="AB33">
        <f>HYPERLINK("https://klasma.github.io/Logging_1440/klagomålsmail/A 1503-2024 FSC-klagomål mail.docx", "A 1503-2024")</f>
        <v/>
      </c>
      <c r="AC33">
        <f>HYPERLINK("https://klasma.github.io/Logging_1440/tillsyn/A 1503-2024 tillsynsbegäran.docx", "A 1503-2024")</f>
        <v/>
      </c>
      <c r="AD33">
        <f>HYPERLINK("https://klasma.github.io/Logging_1440/tillsynsmail/A 1503-2024 tillsynsbegäran mail.docx", "A 1503-2024")</f>
        <v/>
      </c>
      <c r="AE33">
        <f>HYPERLINK("https://klasma.github.io/Logging_1440/fåglar/A 1503-2024 prioriterade fågelarter.docx", "A 1503-2024")</f>
        <v/>
      </c>
    </row>
    <row r="34" ht="15" customHeight="1">
      <c r="A34" t="inlineStr">
        <is>
          <t>A 13306-2026</t>
        </is>
      </c>
      <c r="B34" t="inlineStr">
        <is>
          <t>avverkningsanmälan</t>
        </is>
      </c>
      <c r="C34" t="inlineStr">
        <is>
          <t>Föryngringsavverkning</t>
        </is>
      </c>
      <c r="D34" s="1" t="n">
        <v>46094</v>
      </c>
      <c r="E34" s="1" t="n">
        <v>46320</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16534-2025</t>
        </is>
      </c>
      <c r="B35" t="inlineStr">
        <is>
          <t>avverkningsanmälan</t>
        </is>
      </c>
      <c r="C35" t="inlineStr">
        <is>
          <t>Föryngringsavverkning</t>
        </is>
      </c>
      <c r="D35" s="1" t="n">
        <v>45751</v>
      </c>
      <c r="E35" s="1" t="n">
        <v>46320</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0</v>
      </c>
      <c r="V35" s="2" t="inlineStr">
        <is>
          <t>Entita
Västlig hakmossa</t>
        </is>
      </c>
      <c r="W35">
        <f>HYPERLINK("https://klasma.github.io/Logging_1440/artfynd/A 16534-2025 artfynd.xlsx", "A 16534-2025")</f>
        <v/>
      </c>
      <c r="X35">
        <f>HYPERLINK("https://klasma.github.io/Logging_1440/kartor/A 16534-2025 karta.png", "A 16534-2025")</f>
        <v/>
      </c>
      <c r="Y35">
        <f>HYPERLINK("https://klasma.github.io/Logging_1440/kartor_geotiff/A 16534-2025 georefererad karta.tif", "A 16534-2025")</f>
        <v/>
      </c>
      <c r="AA35">
        <f>HYPERLINK("https://klasma.github.io/Logging_1440/klagomål/A 16534-2025 FSC-klagomål.docx", "A 16534-2025")</f>
        <v/>
      </c>
      <c r="AB35">
        <f>HYPERLINK("https://klasma.github.io/Logging_1440/klagomålsmail/A 16534-2025 FSC-klagomål mail.docx", "A 16534-2025")</f>
        <v/>
      </c>
      <c r="AC35">
        <f>HYPERLINK("https://klasma.github.io/Logging_1440/tillsyn/A 16534-2025 tillsynsbegäran.docx", "A 16534-2025")</f>
        <v/>
      </c>
      <c r="AD35">
        <f>HYPERLINK("https://klasma.github.io/Logging_1440/tillsynsmail/A 16534-2025 tillsynsbegäran mail.docx", "A 16534-2025")</f>
        <v/>
      </c>
      <c r="AE35">
        <f>HYPERLINK("https://klasma.github.io/Logging_1440/fåglar/A 16534-2025 prioriterade fågelarter.docx", "A 16534-2025")</f>
        <v/>
      </c>
    </row>
    <row r="36" ht="15" customHeight="1">
      <c r="A36" t="inlineStr">
        <is>
          <t>A 20586-2023</t>
        </is>
      </c>
      <c r="B36" t="inlineStr">
        <is>
          <t>avverkningsanmälan</t>
        </is>
      </c>
      <c r="C36" t="inlineStr">
        <is>
          <t>Föryngringsavverkning</t>
        </is>
      </c>
      <c r="D36" s="1" t="n">
        <v>45057</v>
      </c>
      <c r="E36" s="1" t="n">
        <v>46320</v>
      </c>
      <c r="F36" t="inlineStr">
        <is>
          <t>VÄSTRA GÖTALANDS LÄN</t>
        </is>
      </c>
      <c r="G36" t="inlineStr">
        <is>
          <t>ALE</t>
        </is>
      </c>
      <c r="I36" t="n">
        <v>1.5</v>
      </c>
      <c r="J36" t="n">
        <v>1</v>
      </c>
      <c r="K36" t="n">
        <v>1</v>
      </c>
      <c r="L36" t="n">
        <v>1</v>
      </c>
      <c r="M36" t="n">
        <v>0</v>
      </c>
      <c r="N36" t="n">
        <v>0</v>
      </c>
      <c r="O36" t="n">
        <v>0</v>
      </c>
      <c r="P36" t="n">
        <v>0</v>
      </c>
      <c r="Q36" t="n">
        <v>1</v>
      </c>
      <c r="R36" t="n">
        <v>0</v>
      </c>
      <c r="S36" t="n">
        <v>2</v>
      </c>
      <c r="T36" t="n">
        <v>3</v>
      </c>
      <c r="U36" t="n">
        <v>3</v>
      </c>
      <c r="V36" s="2" t="inlineStr">
        <is>
          <t>Entita
Västlig hakmossa</t>
        </is>
      </c>
      <c r="W36">
        <f>HYPERLINK("https://klasma.github.io/Logging_1440/artfynd/A 20586-2023 artfynd.xlsx", "A 20586-2023")</f>
        <v/>
      </c>
      <c r="X36">
        <f>HYPERLINK("https://klasma.github.io/Logging_1440/kartor/A 20586-2023 karta.png", "A 20586-2023")</f>
        <v/>
      </c>
      <c r="Y36">
        <f>HYPERLINK("https://klasma.github.io/Logging_1440/kartor_geotiff/A 20586-2023 georefererad karta.tif", "A 20586-2023")</f>
        <v/>
      </c>
      <c r="AA36">
        <f>HYPERLINK("https://klasma.github.io/Logging_1440/klagomål/A 20586-2023 FSC-klagomål.docx", "A 20586-2023")</f>
        <v/>
      </c>
      <c r="AB36">
        <f>HYPERLINK("https://klasma.github.io/Logging_1440/klagomålsmail/A 20586-2023 FSC-klagomål mail.docx", "A 20586-2023")</f>
        <v/>
      </c>
      <c r="AC36">
        <f>HYPERLINK("https://klasma.github.io/Logging_1440/tillsyn/A 20586-2023 tillsynsbegäran.docx", "A 20586-2023")</f>
        <v/>
      </c>
      <c r="AD36">
        <f>HYPERLINK("https://klasma.github.io/Logging_1440/tillsynsmail/A 20586-2023 tillsynsbegäran mail.docx", "A 20586-2023")</f>
        <v/>
      </c>
      <c r="AE36">
        <f>HYPERLINK("https://klasma.github.io/Logging_1440/fåglar/A 20586-2023 prioriterade fågelarter.docx", "A 20586-2023")</f>
        <v/>
      </c>
    </row>
    <row r="37" ht="15" customHeight="1">
      <c r="A37" t="inlineStr">
        <is>
          <t>A 380-2025</t>
        </is>
      </c>
      <c r="B37" t="inlineStr">
        <is>
          <t>avverkningsanmälan</t>
        </is>
      </c>
      <c r="C37" t="inlineStr">
        <is>
          <t>Föryngringsavverkning</t>
        </is>
      </c>
      <c r="D37" s="1" t="n">
        <v>45662</v>
      </c>
      <c r="E37" s="1" t="n">
        <v>46320</v>
      </c>
      <c r="F37" t="inlineStr">
        <is>
          <t>VÄSTRA GÖTALANDS LÄN</t>
        </is>
      </c>
      <c r="G37" t="inlineStr">
        <is>
          <t>ALE</t>
        </is>
      </c>
      <c r="I37" t="n">
        <v>8.6</v>
      </c>
      <c r="J37" t="n">
        <v>1</v>
      </c>
      <c r="K37" t="n">
        <v>1</v>
      </c>
      <c r="L37" t="n">
        <v>0</v>
      </c>
      <c r="M37" t="n">
        <v>0</v>
      </c>
      <c r="N37" t="n">
        <v>0</v>
      </c>
      <c r="O37" t="n">
        <v>0</v>
      </c>
      <c r="P37" t="n">
        <v>0</v>
      </c>
      <c r="Q37" t="n">
        <v>0</v>
      </c>
      <c r="R37" t="n">
        <v>0</v>
      </c>
      <c r="S37" t="n">
        <v>2</v>
      </c>
      <c r="T37" t="n">
        <v>2</v>
      </c>
      <c r="U37" t="n">
        <v>2</v>
      </c>
      <c r="V37" s="2" t="inlineStr">
        <is>
          <t>Blåmossa
Spillkråka</t>
        </is>
      </c>
      <c r="W37">
        <f>HYPERLINK("https://klasma.github.io/Logging_1440/artfynd/A 380-2025 artfynd.xlsx", "A 380-2025")</f>
        <v/>
      </c>
      <c r="X37">
        <f>HYPERLINK("https://klasma.github.io/Logging_1440/kartor/A 380-2025 karta.png", "A 380-2025")</f>
        <v/>
      </c>
      <c r="Y37">
        <f>HYPERLINK("https://klasma.github.io/Logging_1440/kartor_geotiff/A 380-2025 georefererad karta.tif", "A 380-2025")</f>
        <v/>
      </c>
      <c r="AA37">
        <f>HYPERLINK("https://klasma.github.io/Logging_1440/klagomål/A 380-2025 FSC-klagomål.docx", "A 380-2025")</f>
        <v/>
      </c>
      <c r="AB37">
        <f>HYPERLINK("https://klasma.github.io/Logging_1440/klagomålsmail/A 380-2025 FSC-klagomål mail.docx", "A 380-2025")</f>
        <v/>
      </c>
      <c r="AC37">
        <f>HYPERLINK("https://klasma.github.io/Logging_1440/tillsyn/A 380-2025 tillsynsbegäran.docx", "A 380-2025")</f>
        <v/>
      </c>
      <c r="AD37">
        <f>HYPERLINK("https://klasma.github.io/Logging_1440/tillsynsmail/A 380-2025 tillsynsbegäran mail.docx", "A 380-2025")</f>
        <v/>
      </c>
      <c r="AE37">
        <f>HYPERLINK("https://klasma.github.io/Logging_1440/fåglar/A 380-2025 prioriterade fågelarter.docx", "A 380-2025")</f>
        <v/>
      </c>
    </row>
    <row r="38" ht="15" customHeight="1">
      <c r="A38" t="inlineStr">
        <is>
          <t>A 63569-2023</t>
        </is>
      </c>
      <c r="B38" t="inlineStr">
        <is>
          <t>avverkningsanmälan</t>
        </is>
      </c>
      <c r="C38" t="inlineStr">
        <is>
          <t>Föryngringsavverkning</t>
        </is>
      </c>
      <c r="D38" s="1" t="n">
        <v>45275</v>
      </c>
      <c r="E38" s="1" t="n">
        <v>46320</v>
      </c>
      <c r="F38" t="inlineStr">
        <is>
          <t>VÄSTRA GÖTALANDS LÄN</t>
        </is>
      </c>
      <c r="G38" t="inlineStr">
        <is>
          <t>ALE</t>
        </is>
      </c>
      <c r="I38" t="n">
        <v>2.4</v>
      </c>
      <c r="J38" t="n">
        <v>2</v>
      </c>
      <c r="K38" t="n">
        <v>0</v>
      </c>
      <c r="L38" t="n">
        <v>1</v>
      </c>
      <c r="M38" t="n">
        <v>0</v>
      </c>
      <c r="N38" t="n">
        <v>0</v>
      </c>
      <c r="O38" t="n">
        <v>0</v>
      </c>
      <c r="P38" t="n">
        <v>0</v>
      </c>
      <c r="Q38" t="n">
        <v>1</v>
      </c>
      <c r="R38" t="n">
        <v>0</v>
      </c>
      <c r="S38" t="n">
        <v>2</v>
      </c>
      <c r="T38" t="n">
        <v>4</v>
      </c>
      <c r="U38" t="n">
        <v>4</v>
      </c>
      <c r="V38" s="2" t="inlineStr">
        <is>
          <t>Talltita
Spillkråka</t>
        </is>
      </c>
      <c r="W38">
        <f>HYPERLINK("https://klasma.github.io/Logging_1440/artfynd/A 63569-2023 artfynd.xlsx", "A 63569-2023")</f>
        <v/>
      </c>
      <c r="X38">
        <f>HYPERLINK("https://klasma.github.io/Logging_1440/kartor/A 63569-2023 karta.png", "A 63569-2023")</f>
        <v/>
      </c>
      <c r="Y38">
        <f>HYPERLINK("https://klasma.github.io/Logging_1440/kartor_geotiff/A 63569-2023 georefererad karta.tif", "A 63569-2023")</f>
        <v/>
      </c>
      <c r="AA38">
        <f>HYPERLINK("https://klasma.github.io/Logging_1440/klagomål/A 63569-2023 FSC-klagomål.docx", "A 63569-2023")</f>
        <v/>
      </c>
      <c r="AB38">
        <f>HYPERLINK("https://klasma.github.io/Logging_1440/klagomålsmail/A 63569-2023 FSC-klagomål mail.docx", "A 63569-2023")</f>
        <v/>
      </c>
      <c r="AC38">
        <f>HYPERLINK("https://klasma.github.io/Logging_1440/tillsyn/A 63569-2023 tillsynsbegäran.docx", "A 63569-2023")</f>
        <v/>
      </c>
      <c r="AD38">
        <f>HYPERLINK("https://klasma.github.io/Logging_1440/tillsynsmail/A 63569-2023 tillsynsbegäran mail.docx", "A 63569-2023")</f>
        <v/>
      </c>
      <c r="AE38">
        <f>HYPERLINK("https://klasma.github.io/Logging_1440/fåglar/A 63569-2023 prioriterade fågelarter.docx", "A 63569-2023")</f>
        <v/>
      </c>
    </row>
    <row r="39" ht="15" customHeight="1">
      <c r="A39" t="inlineStr">
        <is>
          <t>A 3413-2023</t>
        </is>
      </c>
      <c r="B39" t="inlineStr">
        <is>
          <t>avverkningsanmälan</t>
        </is>
      </c>
      <c r="C39" t="inlineStr">
        <is>
          <t>Föryngringsavverkning</t>
        </is>
      </c>
      <c r="D39" s="1" t="n">
        <v>44949</v>
      </c>
      <c r="E39" s="1" t="n">
        <v>46320</v>
      </c>
      <c r="F39" t="inlineStr">
        <is>
          <t>VÄSTRA GÖTALANDS LÄN</t>
        </is>
      </c>
      <c r="G39" t="inlineStr">
        <is>
          <t>ALE</t>
        </is>
      </c>
      <c r="I39" t="n">
        <v>2.3</v>
      </c>
      <c r="J39" t="n">
        <v>2</v>
      </c>
      <c r="K39" t="n">
        <v>0</v>
      </c>
      <c r="L39" t="n">
        <v>0</v>
      </c>
      <c r="M39" t="n">
        <v>0</v>
      </c>
      <c r="N39" t="n">
        <v>0</v>
      </c>
      <c r="O39" t="n">
        <v>0</v>
      </c>
      <c r="P39" t="n">
        <v>0</v>
      </c>
      <c r="Q39" t="n">
        <v>0</v>
      </c>
      <c r="R39" t="n">
        <v>0</v>
      </c>
      <c r="S39" t="n">
        <v>2</v>
      </c>
      <c r="T39" t="n">
        <v>3</v>
      </c>
      <c r="U39" t="n">
        <v>3</v>
      </c>
      <c r="V39" s="2" t="inlineStr">
        <is>
          <t>Vanlig padda
Revlummer</t>
        </is>
      </c>
      <c r="W39">
        <f>HYPERLINK("https://klasma.github.io/Logging_1440/artfynd/A 3413-2023 artfynd.xlsx", "A 3413-2023")</f>
        <v/>
      </c>
      <c r="X39">
        <f>HYPERLINK("https://klasma.github.io/Logging_1440/kartor/A 3413-2023 karta.png", "A 3413-2023")</f>
        <v/>
      </c>
      <c r="Y39">
        <f>HYPERLINK("https://klasma.github.io/Logging_1440/kartor_geotiff/A 3413-2023 georefererad karta.tif", "A 3413-2023")</f>
        <v/>
      </c>
      <c r="AA39">
        <f>HYPERLINK("https://klasma.github.io/Logging_1440/klagomål/A 3413-2023 FSC-klagomål.docx", "A 3413-2023")</f>
        <v/>
      </c>
      <c r="AB39">
        <f>HYPERLINK("https://klasma.github.io/Logging_1440/klagomålsmail/A 3413-2023 FSC-klagomål mail.docx", "A 3413-2023")</f>
        <v/>
      </c>
      <c r="AC39">
        <f>HYPERLINK("https://klasma.github.io/Logging_1440/tillsyn/A 3413-2023 tillsynsbegäran.docx", "A 3413-2023")</f>
        <v/>
      </c>
      <c r="AD39">
        <f>HYPERLINK("https://klasma.github.io/Logging_1440/tillsynsmail/A 3413-2023 tillsynsbegäran mail.docx", "A 3413-2023")</f>
        <v/>
      </c>
    </row>
    <row r="40" ht="15" customHeight="1">
      <c r="A40" t="inlineStr">
        <is>
          <t>S 4485-2024</t>
        </is>
      </c>
      <c r="B40" t="inlineStr">
        <is>
          <t>samrådsanmälan</t>
        </is>
      </c>
      <c r="C40" t="inlineStr">
        <is>
          <t>Annan skogsbruksåtgärd</t>
        </is>
      </c>
      <c r="D40" s="1" t="n">
        <v>45595</v>
      </c>
      <c r="E40" s="1" t="n">
        <v>46320</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41607-2022</t>
        </is>
      </c>
      <c r="B41" t="inlineStr">
        <is>
          <t>avverkningsanmälan</t>
        </is>
      </c>
      <c r="C41" t="inlineStr">
        <is>
          <t>Föryngringsavverkning</t>
        </is>
      </c>
      <c r="D41" s="1" t="n">
        <v>44827</v>
      </c>
      <c r="E41" s="1" t="n">
        <v>46320</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14493-2024</t>
        </is>
      </c>
      <c r="B42" t="inlineStr">
        <is>
          <t>avverkningsanmälan</t>
        </is>
      </c>
      <c r="C42" t="inlineStr">
        <is>
          <t>Föryngringsavverkning</t>
        </is>
      </c>
      <c r="D42" s="1" t="n">
        <v>45394</v>
      </c>
      <c r="E42" s="1" t="n">
        <v>46320</v>
      </c>
      <c r="F42" t="inlineStr">
        <is>
          <t>VÄSTRA GÖTALANDS LÄN</t>
        </is>
      </c>
      <c r="G42" t="inlineStr">
        <is>
          <t>ALE</t>
        </is>
      </c>
      <c r="I42" t="n">
        <v>2.3</v>
      </c>
      <c r="J42" t="n">
        <v>1</v>
      </c>
      <c r="K42" t="n">
        <v>0</v>
      </c>
      <c r="L42" t="n">
        <v>0</v>
      </c>
      <c r="M42" t="n">
        <v>0</v>
      </c>
      <c r="N42" t="n">
        <v>0</v>
      </c>
      <c r="O42" t="n">
        <v>0</v>
      </c>
      <c r="P42" t="n">
        <v>0</v>
      </c>
      <c r="Q42" t="n">
        <v>0</v>
      </c>
      <c r="R42" t="n">
        <v>0</v>
      </c>
      <c r="S42" t="n">
        <v>1</v>
      </c>
      <c r="T42" t="n">
        <v>1</v>
      </c>
      <c r="U42" t="n">
        <v>0</v>
      </c>
      <c r="V42" s="2" t="inlineStr">
        <is>
          <t>Orre</t>
        </is>
      </c>
      <c r="W42">
        <f>HYPERLINK("https://klasma.github.io/Logging_1440/artfynd/A 14493-2024 artfynd.xlsx", "A 14493-2024")</f>
        <v/>
      </c>
      <c r="X42">
        <f>HYPERLINK("https://klasma.github.io/Logging_1440/kartor/A 14493-2024 karta.png", "A 14493-2024")</f>
        <v/>
      </c>
      <c r="Y42">
        <f>HYPERLINK("https://klasma.github.io/Logging_1440/kartor_geotiff/A 14493-2024 georefererad karta.tif", "A 14493-2024")</f>
        <v/>
      </c>
      <c r="AA42">
        <f>HYPERLINK("https://klasma.github.io/Logging_1440/klagomål/A 14493-2024 FSC-klagomål.docx", "A 14493-2024")</f>
        <v/>
      </c>
      <c r="AB42">
        <f>HYPERLINK("https://klasma.github.io/Logging_1440/klagomålsmail/A 14493-2024 FSC-klagomål mail.docx", "A 14493-2024")</f>
        <v/>
      </c>
      <c r="AC42">
        <f>HYPERLINK("https://klasma.github.io/Logging_1440/tillsyn/A 14493-2024 tillsynsbegäran.docx", "A 14493-2024")</f>
        <v/>
      </c>
      <c r="AD42">
        <f>HYPERLINK("https://klasma.github.io/Logging_1440/tillsynsmail/A 14493-2024 tillsynsbegäran mail.docx", "A 14493-2024")</f>
        <v/>
      </c>
      <c r="AE42">
        <f>HYPERLINK("https://klasma.github.io/Logging_1440/fåglar/A 14493-2024 prioriterade fågelarter.docx", "A 14493-2024")</f>
        <v/>
      </c>
    </row>
    <row r="43" ht="15" customHeight="1">
      <c r="A43" t="inlineStr">
        <is>
          <t>A 4363-2024</t>
        </is>
      </c>
      <c r="B43" t="inlineStr">
        <is>
          <t>avverkningsanmälan</t>
        </is>
      </c>
      <c r="C43" t="inlineStr">
        <is>
          <t>Avverkning för annat ändamål</t>
        </is>
      </c>
      <c r="D43" s="1" t="n">
        <v>45325</v>
      </c>
      <c r="E43" s="1" t="n">
        <v>46320</v>
      </c>
      <c r="F43" t="inlineStr">
        <is>
          <t>VÄSTRA GÖTALANDS LÄN</t>
        </is>
      </c>
      <c r="G43" t="inlineStr">
        <is>
          <t>ALE</t>
        </is>
      </c>
      <c r="I43" t="n">
        <v>0.6</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4363-2024 artfynd.xlsx", "A 4363-2024")</f>
        <v/>
      </c>
      <c r="X43">
        <f>HYPERLINK("https://klasma.github.io/Logging_1440/kartor/A 4363-2024 karta.png", "A 4363-2024")</f>
        <v/>
      </c>
      <c r="Y43">
        <f>HYPERLINK("https://klasma.github.io/Logging_1440/kartor_geotiff/A 4363-2024 georefererad karta.tif", "A 4363-2024")</f>
        <v/>
      </c>
      <c r="AA43">
        <f>HYPERLINK("https://klasma.github.io/Logging_1440/klagomål/A 4363-2024 FSC-klagomål.docx", "A 4363-2024")</f>
        <v/>
      </c>
      <c r="AB43">
        <f>HYPERLINK("https://klasma.github.io/Logging_1440/klagomålsmail/A 4363-2024 FSC-klagomål mail.docx", "A 4363-2024")</f>
        <v/>
      </c>
      <c r="AC43">
        <f>HYPERLINK("https://klasma.github.io/Logging_1440/tillsyn/A 4363-2024 tillsynsbegäran.docx", "A 4363-2024")</f>
        <v/>
      </c>
      <c r="AD43">
        <f>HYPERLINK("https://klasma.github.io/Logging_1440/tillsynsmail/A 4363-2024 tillsynsbegäran mail.docx", "A 4363-2024")</f>
        <v/>
      </c>
      <c r="AE43">
        <f>HYPERLINK("https://klasma.github.io/Logging_1440/fåglar/A 4363-2024 prioriterade fågelarter.docx", "A 4363-2024")</f>
        <v/>
      </c>
    </row>
    <row r="44" ht="15" customHeight="1">
      <c r="A44" t="inlineStr">
        <is>
          <t>A 52423-2025</t>
        </is>
      </c>
      <c r="B44" t="inlineStr">
        <is>
          <t>avverkningsanmälan</t>
        </is>
      </c>
      <c r="C44" t="inlineStr">
        <is>
          <t>Föryngringsavverkning</t>
        </is>
      </c>
      <c r="D44" s="1" t="n">
        <v>45954</v>
      </c>
      <c r="E44" s="1" t="n">
        <v>46320</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15582-2025</t>
        </is>
      </c>
      <c r="B45" t="inlineStr">
        <is>
          <t>avverkningsanmälan</t>
        </is>
      </c>
      <c r="C45" t="inlineStr">
        <is>
          <t>Föryngringsavverkning</t>
        </is>
      </c>
      <c r="D45" s="1" t="n">
        <v>45747</v>
      </c>
      <c r="E45" s="1" t="n">
        <v>46320</v>
      </c>
      <c r="F45" t="inlineStr">
        <is>
          <t>VÄSTRA GÖTALANDS LÄN</t>
        </is>
      </c>
      <c r="G45" t="inlineStr">
        <is>
          <t>ALE</t>
        </is>
      </c>
      <c r="I45" t="n">
        <v>2.2</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HYPERLINK("https://klasma.github.io/Logging_1440/artfynd/A 15582-2025 artfynd.xlsx", "A 15582-2025")</f>
        <v/>
      </c>
      <c r="X45">
        <f>HYPERLINK("https://klasma.github.io/Logging_1440/kartor/A 15582-2025 karta.png", "A 15582-2025")</f>
        <v/>
      </c>
      <c r="Y45">
        <f>HYPERLINK("https://klasma.github.io/Logging_1440/kartor_geotiff/A 15582-2025 georefererad karta.tif", "A 15582-2025")</f>
        <v/>
      </c>
      <c r="AA45">
        <f>HYPERLINK("https://klasma.github.io/Logging_1440/klagomål/A 15582-2025 FSC-klagomål.docx", "A 15582-2025")</f>
        <v/>
      </c>
      <c r="AB45">
        <f>HYPERLINK("https://klasma.github.io/Logging_1440/klagomålsmail/A 15582-2025 FSC-klagomål mail.docx", "A 15582-2025")</f>
        <v/>
      </c>
      <c r="AC45">
        <f>HYPERLINK("https://klasma.github.io/Logging_1440/tillsyn/A 15582-2025 tillsynsbegäran.docx", "A 15582-2025")</f>
        <v/>
      </c>
      <c r="AD45">
        <f>HYPERLINK("https://klasma.github.io/Logging_1440/tillsynsmail/A 15582-2025 tillsynsbegäran mail.docx", "A 15582-2025")</f>
        <v/>
      </c>
      <c r="AE45">
        <f>HYPERLINK("https://klasma.github.io/Logging_1440/fåglar/A 15582-2025 prioriterade fågelarter.docx", "A 15582-2025")</f>
        <v/>
      </c>
    </row>
    <row r="46" ht="15" customHeight="1">
      <c r="A46" t="inlineStr">
        <is>
          <t>A 62524-2025</t>
        </is>
      </c>
      <c r="B46" t="inlineStr">
        <is>
          <t>avverkningsanmälan</t>
        </is>
      </c>
      <c r="C46" t="inlineStr">
        <is>
          <t>Föryngringsavverkning</t>
        </is>
      </c>
      <c r="D46" s="1" t="n">
        <v>46007</v>
      </c>
      <c r="E46" s="1" t="n">
        <v>46320</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33142-2026</t>
        </is>
      </c>
      <c r="B47" t="inlineStr">
        <is>
          <t>avverkningsanmälan</t>
        </is>
      </c>
      <c r="C47" t="inlineStr">
        <is>
          <t>Föryngringsavverkning</t>
        </is>
      </c>
      <c r="D47" s="1" t="n">
        <v>46245</v>
      </c>
      <c r="E47" s="1" t="n">
        <v>46320</v>
      </c>
      <c r="F47" t="inlineStr">
        <is>
          <t>VÄSTRA GÖTALANDS LÄN</t>
        </is>
      </c>
      <c r="G47" t="inlineStr">
        <is>
          <t>ALE</t>
        </is>
      </c>
      <c r="I47" t="n">
        <v>8.5</v>
      </c>
      <c r="J47" t="n">
        <v>0</v>
      </c>
      <c r="K47" t="n">
        <v>1</v>
      </c>
      <c r="L47" t="n">
        <v>0</v>
      </c>
      <c r="M47" t="n">
        <v>0</v>
      </c>
      <c r="N47" t="n">
        <v>0</v>
      </c>
      <c r="O47" t="n">
        <v>0</v>
      </c>
      <c r="P47" t="n">
        <v>0</v>
      </c>
      <c r="Q47" t="n">
        <v>0</v>
      </c>
      <c r="R47" t="n">
        <v>0</v>
      </c>
      <c r="S47" t="n">
        <v>1</v>
      </c>
      <c r="T47" t="n">
        <v>1</v>
      </c>
      <c r="U47" t="n">
        <v>1</v>
      </c>
      <c r="V47" s="2" t="inlineStr">
        <is>
          <t>Västlig hakmossa</t>
        </is>
      </c>
      <c r="W47">
        <f>HYPERLINK("https://klasma.github.io/Logging_1440/artfynd/A 33142-2026 artfynd.xlsx", "A 33142-2026")</f>
        <v/>
      </c>
      <c r="X47">
        <f>HYPERLINK("https://klasma.github.io/Logging_1440/kartor/A 33142-2026 karta.png", "A 33142-2026")</f>
        <v/>
      </c>
      <c r="Y47">
        <f>HYPERLINK("https://klasma.github.io/Logging_1440/kartor_geotiff/A 33142-2026 georefererad karta.tif", "A 33142-2026")</f>
        <v/>
      </c>
      <c r="AA47">
        <f>HYPERLINK("https://klasma.github.io/Logging_1440/klagomål/A 33142-2026 FSC-klagomål.docx", "A 33142-2026")</f>
        <v/>
      </c>
      <c r="AB47">
        <f>HYPERLINK("https://klasma.github.io/Logging_1440/klagomålsmail/A 33142-2026 FSC-klagomål mail.docx", "A 33142-2026")</f>
        <v/>
      </c>
      <c r="AC47">
        <f>HYPERLINK("https://klasma.github.io/Logging_1440/tillsyn/A 33142-2026 tillsynsbegäran.docx", "A 33142-2026")</f>
        <v/>
      </c>
      <c r="AD47">
        <f>HYPERLINK("https://klasma.github.io/Logging_1440/tillsynsmail/A 33142-2026 tillsynsbegäran mail.docx", "A 33142-2026")</f>
        <v/>
      </c>
    </row>
    <row r="48" ht="15" customHeight="1">
      <c r="A48" t="inlineStr">
        <is>
          <t>A 26677-2025</t>
        </is>
      </c>
      <c r="B48" t="inlineStr">
        <is>
          <t>avverkningsanmälan</t>
        </is>
      </c>
      <c r="C48" t="inlineStr">
        <is>
          <t>Föryngringsavverkning</t>
        </is>
      </c>
      <c r="D48" s="1" t="n">
        <v>45810</v>
      </c>
      <c r="E48" s="1" t="n">
        <v>46320</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46320</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9783-2026</t>
        </is>
      </c>
      <c r="B50" t="inlineStr">
        <is>
          <t>avverkningsanmälan</t>
        </is>
      </c>
      <c r="C50" t="inlineStr">
        <is>
          <t>Föryngringsavverkning</t>
        </is>
      </c>
      <c r="D50" s="1" t="n">
        <v>46072</v>
      </c>
      <c r="E50" s="1" t="n">
        <v>46320</v>
      </c>
      <c r="F50" t="inlineStr">
        <is>
          <t>VÄSTRA GÖTALANDS LÄN</t>
        </is>
      </c>
      <c r="G50" t="inlineStr">
        <is>
          <t>ALE</t>
        </is>
      </c>
      <c r="I50" t="n">
        <v>4.9</v>
      </c>
      <c r="J50" t="n">
        <v>1</v>
      </c>
      <c r="K50" t="n">
        <v>0</v>
      </c>
      <c r="L50" t="n">
        <v>0</v>
      </c>
      <c r="M50" t="n">
        <v>0</v>
      </c>
      <c r="N50" t="n">
        <v>0</v>
      </c>
      <c r="O50" t="n">
        <v>0</v>
      </c>
      <c r="P50" t="n">
        <v>0</v>
      </c>
      <c r="Q50" t="n">
        <v>0</v>
      </c>
      <c r="R50" t="n">
        <v>0</v>
      </c>
      <c r="S50" t="n">
        <v>1</v>
      </c>
      <c r="T50" t="n">
        <v>1</v>
      </c>
      <c r="U50" t="n">
        <v>1</v>
      </c>
      <c r="V50" s="2" t="inlineStr">
        <is>
          <t>Lopplummer (aggregat)</t>
        </is>
      </c>
      <c r="W50">
        <f>HYPERLINK("https://klasma.github.io/Logging_1440/artfynd/A 9783-2026 artfynd.xlsx", "A 9783-2026")</f>
        <v/>
      </c>
      <c r="X50">
        <f>HYPERLINK("https://klasma.github.io/Logging_1440/kartor/A 9783-2026 karta.png", "A 9783-2026")</f>
        <v/>
      </c>
      <c r="Y50">
        <f>HYPERLINK("https://klasma.github.io/Logging_1440/kartor_geotiff/A 9783-2026 georefererad karta.tif", "A 9783-2026")</f>
        <v/>
      </c>
      <c r="AA50">
        <f>HYPERLINK("https://klasma.github.io/Logging_1440/klagomål/A 9783-2026 FSC-klagomål.docx", "A 9783-2026")</f>
        <v/>
      </c>
      <c r="AB50">
        <f>HYPERLINK("https://klasma.github.io/Logging_1440/klagomålsmail/A 9783-2026 FSC-klagomål mail.docx", "A 9783-2026")</f>
        <v/>
      </c>
      <c r="AC50">
        <f>HYPERLINK("https://klasma.github.io/Logging_1440/tillsyn/A 9783-2026 tillsynsbegäran.docx", "A 9783-2026")</f>
        <v/>
      </c>
      <c r="AD50">
        <f>HYPERLINK("https://klasma.github.io/Logging_1440/tillsynsmail/A 9783-2026 tillsynsbegäran mail.docx", "A 9783-2026")</f>
        <v/>
      </c>
    </row>
    <row r="51" ht="15" customHeight="1">
      <c r="A51" t="inlineStr">
        <is>
          <t>A 13902-2025</t>
        </is>
      </c>
      <c r="B51" t="inlineStr">
        <is>
          <t>avverkningsanmälan</t>
        </is>
      </c>
      <c r="C51" t="inlineStr">
        <is>
          <t>Föryngringsavverkning</t>
        </is>
      </c>
      <c r="D51" s="1" t="n">
        <v>45737</v>
      </c>
      <c r="E51" s="1" t="n">
        <v>46320</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A 40658-2026</t>
        </is>
      </c>
      <c r="B52" t="inlineStr">
        <is>
          <t>avverkningsanmälan</t>
        </is>
      </c>
      <c r="C52" t="inlineStr">
        <is>
          <t>Föryngringsavverkning</t>
        </is>
      </c>
      <c r="D52" s="1" t="n">
        <v>46294</v>
      </c>
      <c r="E52" s="1" t="n">
        <v>46320</v>
      </c>
      <c r="F52" t="inlineStr">
        <is>
          <t>VÄSTRA GÖTALANDS LÄN</t>
        </is>
      </c>
      <c r="G52" t="inlineStr">
        <is>
          <t>ALE</t>
        </is>
      </c>
      <c r="H52" t="inlineStr">
        <is>
          <t>Kyrkan</t>
        </is>
      </c>
      <c r="I52" t="n">
        <v>1.8</v>
      </c>
      <c r="J52" t="n">
        <v>0</v>
      </c>
      <c r="K52" t="n">
        <v>0</v>
      </c>
      <c r="L52" t="n">
        <v>1</v>
      </c>
      <c r="M52" t="n">
        <v>0</v>
      </c>
      <c r="N52" t="n">
        <v>0</v>
      </c>
      <c r="O52" t="n">
        <v>0</v>
      </c>
      <c r="P52" t="n">
        <v>0</v>
      </c>
      <c r="Q52" t="n">
        <v>1</v>
      </c>
      <c r="R52" t="n">
        <v>0</v>
      </c>
      <c r="S52" t="n">
        <v>1</v>
      </c>
      <c r="T52" t="n">
        <v>1</v>
      </c>
      <c r="U52" t="n">
        <v>0</v>
      </c>
      <c r="V52" s="2" t="inlineStr">
        <is>
          <t>Svinrot</t>
        </is>
      </c>
      <c r="W52">
        <f>HYPERLINK("https://klasma.github.io/Logging_1440/artfynd/A 40658-2026 artfynd.xlsx", "A 40658-2026")</f>
        <v/>
      </c>
      <c r="X52">
        <f>HYPERLINK("https://klasma.github.io/Logging_1440/kartor/A 40658-2026 karta.png", "A 40658-2026")</f>
        <v/>
      </c>
      <c r="Y52">
        <f>HYPERLINK("https://klasma.github.io/Logging_1440/kartor_geotiff/A 40658-2026 georefererad karta.tif", "A 40658-2026")</f>
        <v/>
      </c>
      <c r="AA52">
        <f>HYPERLINK("https://klasma.github.io/Logging_1440/klagomål/A 40658-2026 FSC-klagomål.docx", "A 40658-2026")</f>
        <v/>
      </c>
      <c r="AB52">
        <f>HYPERLINK("https://klasma.github.io/Logging_1440/klagomålsmail/A 40658-2026 FSC-klagomål mail.docx", "A 40658-2026")</f>
        <v/>
      </c>
      <c r="AC52">
        <f>HYPERLINK("https://klasma.github.io/Logging_1440/tillsyn/A 40658-2026 tillsynsbegäran.docx", "A 40658-2026")</f>
        <v/>
      </c>
      <c r="AD52">
        <f>HYPERLINK("https://klasma.github.io/Logging_1440/tillsynsmail/A 40658-2026 tillsynsbegäran mail.docx", "A 40658-2026")</f>
        <v/>
      </c>
    </row>
    <row r="53" ht="15" customHeight="1">
      <c r="A53" t="inlineStr">
        <is>
          <t>A 200-2022</t>
        </is>
      </c>
      <c r="B53" t="inlineStr">
        <is>
          <t>avverkningsanmälan</t>
        </is>
      </c>
      <c r="C53" t="inlineStr">
        <is>
          <t>Föryngringsavverkning</t>
        </is>
      </c>
      <c r="D53" s="1" t="n">
        <v>44564</v>
      </c>
      <c r="E53" s="1" t="n">
        <v>46320</v>
      </c>
      <c r="F53" t="inlineStr">
        <is>
          <t>VÄSTRA GÖTALANDS LÄN</t>
        </is>
      </c>
      <c r="G53" t="inlineStr">
        <is>
          <t>ALE</t>
        </is>
      </c>
      <c r="I53" t="n">
        <v>6.8</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200-2022 artfynd.xlsx", "A 200-2022")</f>
        <v/>
      </c>
      <c r="X53">
        <f>HYPERLINK("https://klasma.github.io/Logging_1440/kartor/A 200-2022 karta.png", "A 200-2022")</f>
        <v/>
      </c>
      <c r="Y53">
        <f>HYPERLINK("https://klasma.github.io/Logging_1440/kartor_geotiff/A 200-2022 georefererad karta.tif", "A 200-2022")</f>
        <v/>
      </c>
      <c r="AA53">
        <f>HYPERLINK("https://klasma.github.io/Logging_1440/klagomål/A 200-2022 FSC-klagomål.docx", "A 200-2022")</f>
        <v/>
      </c>
      <c r="AB53">
        <f>HYPERLINK("https://klasma.github.io/Logging_1440/klagomålsmail/A 200-2022 FSC-klagomål mail.docx", "A 200-2022")</f>
        <v/>
      </c>
      <c r="AC53">
        <f>HYPERLINK("https://klasma.github.io/Logging_1440/tillsyn/A 200-2022 tillsynsbegäran.docx", "A 200-2022")</f>
        <v/>
      </c>
      <c r="AD53">
        <f>HYPERLINK("https://klasma.github.io/Logging_1440/tillsynsmail/A 200-2022 tillsynsbegäran mail.docx", "A 200-2022")</f>
        <v/>
      </c>
      <c r="AE53">
        <f>HYPERLINK("https://klasma.github.io/Logging_1440/fåglar/A 200-2022 prioriterade fågelarter.docx", "A 200-2022")</f>
        <v/>
      </c>
    </row>
    <row r="54" ht="15" customHeight="1">
      <c r="A54" t="inlineStr">
        <is>
          <t>A 41598-2022</t>
        </is>
      </c>
      <c r="B54" t="inlineStr">
        <is>
          <t>avverkningsanmälan</t>
        </is>
      </c>
      <c r="C54" t="inlineStr">
        <is>
          <t>Föryngringsavverkning</t>
        </is>
      </c>
      <c r="D54" s="1" t="n">
        <v>44827</v>
      </c>
      <c r="E54" s="1" t="n">
        <v>46320</v>
      </c>
      <c r="F54" t="inlineStr">
        <is>
          <t>VÄSTRA GÖTALANDS LÄN</t>
        </is>
      </c>
      <c r="G54" t="inlineStr">
        <is>
          <t>ALE</t>
        </is>
      </c>
      <c r="I54" t="n">
        <v>2</v>
      </c>
      <c r="J54" t="n">
        <v>1</v>
      </c>
      <c r="K54" t="n">
        <v>0</v>
      </c>
      <c r="L54" t="n">
        <v>0</v>
      </c>
      <c r="M54" t="n">
        <v>0</v>
      </c>
      <c r="N54" t="n">
        <v>0</v>
      </c>
      <c r="O54" t="n">
        <v>0</v>
      </c>
      <c r="P54" t="n">
        <v>0</v>
      </c>
      <c r="Q54" t="n">
        <v>0</v>
      </c>
      <c r="R54" t="n">
        <v>0</v>
      </c>
      <c r="S54" t="n">
        <v>1</v>
      </c>
      <c r="T54" t="n">
        <v>1</v>
      </c>
      <c r="U54" t="n">
        <v>1</v>
      </c>
      <c r="V54" s="2" t="inlineStr">
        <is>
          <t>Grönvit nattviol</t>
        </is>
      </c>
      <c r="W54">
        <f>HYPERLINK("https://klasma.github.io/Logging_1440/artfynd/A 41598-2022 artfynd.xlsx", "A 41598-2022")</f>
        <v/>
      </c>
      <c r="X54">
        <f>HYPERLINK("https://klasma.github.io/Logging_1440/kartor/A 41598-2022 karta.png", "A 41598-2022")</f>
        <v/>
      </c>
      <c r="Y54">
        <f>HYPERLINK("https://klasma.github.io/Logging_1440/kartor_geotiff/A 41598-2022 georefererad karta.tif", "A 41598-2022")</f>
        <v/>
      </c>
      <c r="AA54">
        <f>HYPERLINK("https://klasma.github.io/Logging_1440/klagomål/A 41598-2022 FSC-klagomål.docx", "A 41598-2022")</f>
        <v/>
      </c>
      <c r="AB54">
        <f>HYPERLINK("https://klasma.github.io/Logging_1440/klagomålsmail/A 41598-2022 FSC-klagomål mail.docx", "A 41598-2022")</f>
        <v/>
      </c>
      <c r="AC54">
        <f>HYPERLINK("https://klasma.github.io/Logging_1440/tillsyn/A 41598-2022 tillsynsbegäran.docx", "A 41598-2022")</f>
        <v/>
      </c>
      <c r="AD54">
        <f>HYPERLINK("https://klasma.github.io/Logging_1440/tillsynsmail/A 41598-2022 tillsynsbegäran mail.docx", "A 41598-2022")</f>
        <v/>
      </c>
    </row>
    <row r="55" ht="15" customHeight="1">
      <c r="A55" t="inlineStr">
        <is>
          <t>A 26493-2024</t>
        </is>
      </c>
      <c r="B55" t="inlineStr">
        <is>
          <t>avverkningsanmälan</t>
        </is>
      </c>
      <c r="C55" t="inlineStr">
        <is>
          <t>Avverkning för annat ändamål</t>
        </is>
      </c>
      <c r="D55" s="1" t="n">
        <v>45469</v>
      </c>
      <c r="E55" s="1" t="n">
        <v>46320</v>
      </c>
      <c r="F55" t="inlineStr">
        <is>
          <t>VÄSTRA GÖTALANDS LÄN</t>
        </is>
      </c>
      <c r="G55" t="inlineStr">
        <is>
          <t>ALE</t>
        </is>
      </c>
      <c r="I55" t="n">
        <v>1.6</v>
      </c>
      <c r="J55" t="n">
        <v>1</v>
      </c>
      <c r="K55" t="n">
        <v>0</v>
      </c>
      <c r="L55" t="n">
        <v>0</v>
      </c>
      <c r="M55" t="n">
        <v>0</v>
      </c>
      <c r="N55" t="n">
        <v>0</v>
      </c>
      <c r="O55" t="n">
        <v>0</v>
      </c>
      <c r="P55" t="n">
        <v>0</v>
      </c>
      <c r="Q55" t="n">
        <v>0</v>
      </c>
      <c r="R55" t="n">
        <v>0</v>
      </c>
      <c r="S55" t="n">
        <v>1</v>
      </c>
      <c r="T55" t="n">
        <v>6</v>
      </c>
      <c r="U55" t="n">
        <v>0</v>
      </c>
      <c r="V55" s="2" t="inlineStr">
        <is>
          <t>Grönvit nattviol</t>
        </is>
      </c>
      <c r="W55">
        <f>HYPERLINK("https://klasma.github.io/Logging_1440/artfynd/A 26493-2024 artfynd.xlsx", "A 26493-2024")</f>
        <v/>
      </c>
      <c r="X55">
        <f>HYPERLINK("https://klasma.github.io/Logging_1440/kartor/A 26493-2024 karta.png", "A 26493-2024")</f>
        <v/>
      </c>
      <c r="Y55">
        <f>HYPERLINK("https://klasma.github.io/Logging_1440/kartor_geotiff/A 26493-2024 georefererad karta.tif", "A 26493-2024")</f>
        <v/>
      </c>
      <c r="AA55">
        <f>HYPERLINK("https://klasma.github.io/Logging_1440/klagomål/A 26493-2024 FSC-klagomål.docx", "A 26493-2024")</f>
        <v/>
      </c>
      <c r="AB55">
        <f>HYPERLINK("https://klasma.github.io/Logging_1440/klagomålsmail/A 26493-2024 FSC-klagomål mail.docx", "A 26493-2024")</f>
        <v/>
      </c>
      <c r="AC55">
        <f>HYPERLINK("https://klasma.github.io/Logging_1440/tillsyn/A 26493-2024 tillsynsbegäran.docx", "A 26493-2024")</f>
        <v/>
      </c>
      <c r="AD55">
        <f>HYPERLINK("https://klasma.github.io/Logging_1440/tillsynsmail/A 26493-2024 tillsynsbegäran mail.docx", "A 26493-2024")</f>
        <v/>
      </c>
    </row>
    <row r="56" ht="15" customHeight="1">
      <c r="A56" t="inlineStr">
        <is>
          <t>A 33237-2024</t>
        </is>
      </c>
      <c r="B56" t="inlineStr">
        <is>
          <t>avverkningsanmälan</t>
        </is>
      </c>
      <c r="C56" t="inlineStr">
        <is>
          <t>Föryngringsavverkning</t>
        </is>
      </c>
      <c r="D56" s="1" t="n">
        <v>45518</v>
      </c>
      <c r="E56" s="1" t="n">
        <v>46320</v>
      </c>
      <c r="F56" t="inlineStr">
        <is>
          <t>VÄSTRA GÖTALANDS LÄN</t>
        </is>
      </c>
      <c r="G56" t="inlineStr">
        <is>
          <t>ALE</t>
        </is>
      </c>
      <c r="I56" t="n">
        <v>0.6</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HYPERLINK("https://klasma.github.io/Logging_1440/artfynd/A 33237-2024 artfynd.xlsx", "A 33237-2024")</f>
        <v/>
      </c>
      <c r="X56">
        <f>HYPERLINK("https://klasma.github.io/Logging_1440/kartor/A 33237-2024 karta.png", "A 33237-2024")</f>
        <v/>
      </c>
      <c r="Y56">
        <f>HYPERLINK("https://klasma.github.io/Logging_1440/kartor_geotiff/A 33237-2024 georefererad karta.tif", "A 33237-2024")</f>
        <v/>
      </c>
      <c r="AA56">
        <f>HYPERLINK("https://klasma.github.io/Logging_1440/klagomål/A 33237-2024 FSC-klagomål.docx", "A 33237-2024")</f>
        <v/>
      </c>
      <c r="AB56">
        <f>HYPERLINK("https://klasma.github.io/Logging_1440/klagomålsmail/A 33237-2024 FSC-klagomål mail.docx", "A 33237-2024")</f>
        <v/>
      </c>
      <c r="AC56">
        <f>HYPERLINK("https://klasma.github.io/Logging_1440/tillsyn/A 33237-2024 tillsynsbegäran.docx", "A 33237-2024")</f>
        <v/>
      </c>
      <c r="AD56">
        <f>HYPERLINK("https://klasma.github.io/Logging_1440/tillsynsmail/A 33237-2024 tillsynsbegäran mail.docx", "A 33237-2024")</f>
        <v/>
      </c>
    </row>
    <row r="57" ht="15" customHeight="1">
      <c r="A57" t="inlineStr">
        <is>
          <t>A 15241-2025</t>
        </is>
      </c>
      <c r="B57" t="inlineStr">
        <is>
          <t>avverkningsanmälan</t>
        </is>
      </c>
      <c r="C57" t="inlineStr">
        <is>
          <t>Föryngringsavverkning</t>
        </is>
      </c>
      <c r="D57" s="1" t="n">
        <v>45744</v>
      </c>
      <c r="E57" s="1" t="n">
        <v>46320</v>
      </c>
      <c r="F57" t="inlineStr">
        <is>
          <t>VÄSTRA GÖTALANDS LÄN</t>
        </is>
      </c>
      <c r="G57" t="inlineStr">
        <is>
          <t>ALE</t>
        </is>
      </c>
      <c r="I57" t="n">
        <v>2.2</v>
      </c>
      <c r="J57" t="n">
        <v>1</v>
      </c>
      <c r="K57" t="n">
        <v>0</v>
      </c>
      <c r="L57" t="n">
        <v>0</v>
      </c>
      <c r="M57" t="n">
        <v>0</v>
      </c>
      <c r="N57" t="n">
        <v>0</v>
      </c>
      <c r="O57" t="n">
        <v>0</v>
      </c>
      <c r="P57" t="n">
        <v>0</v>
      </c>
      <c r="Q57" t="n">
        <v>0</v>
      </c>
      <c r="R57" t="n">
        <v>0</v>
      </c>
      <c r="S57" t="n">
        <v>1</v>
      </c>
      <c r="T57" t="n">
        <v>1</v>
      </c>
      <c r="U57" t="n">
        <v>1</v>
      </c>
      <c r="V57" s="2" t="inlineStr">
        <is>
          <t>Tjäder</t>
        </is>
      </c>
      <c r="W57">
        <f>HYPERLINK("https://klasma.github.io/Logging_1440/artfynd/A 15241-2025 artfynd.xlsx", "A 15241-2025")</f>
        <v/>
      </c>
      <c r="X57">
        <f>HYPERLINK("https://klasma.github.io/Logging_1440/kartor/A 15241-2025 karta.png", "A 15241-2025")</f>
        <v/>
      </c>
      <c r="Y57">
        <f>HYPERLINK("https://klasma.github.io/Logging_1440/kartor_geotiff/A 15241-2025 georefererad karta.tif", "A 15241-2025")</f>
        <v/>
      </c>
      <c r="AA57">
        <f>HYPERLINK("https://klasma.github.io/Logging_1440/klagomål/A 15241-2025 FSC-klagomål.docx", "A 15241-2025")</f>
        <v/>
      </c>
      <c r="AB57">
        <f>HYPERLINK("https://klasma.github.io/Logging_1440/klagomålsmail/A 15241-2025 FSC-klagomål mail.docx", "A 15241-2025")</f>
        <v/>
      </c>
      <c r="AC57">
        <f>HYPERLINK("https://klasma.github.io/Logging_1440/tillsyn/A 15241-2025 tillsynsbegäran.docx", "A 15241-2025")</f>
        <v/>
      </c>
      <c r="AD57">
        <f>HYPERLINK("https://klasma.github.io/Logging_1440/tillsynsmail/A 15241-2025 tillsynsbegäran mail.docx", "A 15241-2025")</f>
        <v/>
      </c>
      <c r="AE57">
        <f>HYPERLINK("https://klasma.github.io/Logging_1440/fåglar/A 15241-2025 prioriterade fågelarter.docx", "A 15241-2025")</f>
        <v/>
      </c>
    </row>
    <row r="58" ht="15" customHeight="1">
      <c r="A58" t="inlineStr">
        <is>
          <t>S 1062-2023</t>
        </is>
      </c>
      <c r="B58" t="inlineStr">
        <is>
          <t>samrådsanmälan</t>
        </is>
      </c>
      <c r="C58" t="inlineStr">
        <is>
          <t>Annan skogsbruksåtgärd</t>
        </is>
      </c>
      <c r="D58" s="1" t="n">
        <v>45011</v>
      </c>
      <c r="E58" s="1" t="n">
        <v>46320</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46320</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46320</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46320</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46320</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66893-2021</t>
        </is>
      </c>
      <c r="B63" t="inlineStr">
        <is>
          <t>avverkningsanmälan</t>
        </is>
      </c>
      <c r="C63" t="inlineStr">
        <is>
          <t>Föryngringsavverkning</t>
        </is>
      </c>
      <c r="D63" s="1" t="n">
        <v>44522</v>
      </c>
      <c r="E63" s="1" t="n">
        <v>46320</v>
      </c>
      <c r="F63" t="inlineStr">
        <is>
          <t>VÄSTRA GÖTALANDS LÄN</t>
        </is>
      </c>
      <c r="G63" t="inlineStr">
        <is>
          <t>ALE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46320</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20285-2022</t>
        </is>
      </c>
      <c r="B65" t="inlineStr">
        <is>
          <t>avverkningsanmälan</t>
        </is>
      </c>
      <c r="C65" t="inlineStr">
        <is>
          <t>Föryngringsavverkning</t>
        </is>
      </c>
      <c r="D65" s="1" t="n">
        <v>44698</v>
      </c>
      <c r="E65" s="1" t="n">
        <v>46320</v>
      </c>
      <c r="F65" t="inlineStr">
        <is>
          <t>VÄSTRA GÖTALANDS LÄN</t>
        </is>
      </c>
      <c r="G65" t="inlineStr">
        <is>
          <t>ALE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53476-2023</t>
        </is>
      </c>
      <c r="B66" t="inlineStr">
        <is>
          <t>avverkningsanmälan</t>
        </is>
      </c>
      <c r="C66" t="inlineStr">
        <is>
          <t>Föryngringsavverkning</t>
        </is>
      </c>
      <c r="D66" s="1" t="n">
        <v>45230</v>
      </c>
      <c r="E66" s="1" t="n">
        <v>46320</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46320</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46320</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65226-2021</t>
        </is>
      </c>
      <c r="B69" t="inlineStr">
        <is>
          <t>avverkningsanmälan</t>
        </is>
      </c>
      <c r="C69" t="inlineStr">
        <is>
          <t>Föryngringsavverkning</t>
        </is>
      </c>
      <c r="D69" s="1" t="n">
        <v>44515</v>
      </c>
      <c r="E69" s="1" t="n">
        <v>46320</v>
      </c>
      <c r="F69" t="inlineStr">
        <is>
          <t>VÄSTRA GÖTALANDS LÄN</t>
        </is>
      </c>
      <c r="G69" t="inlineStr">
        <is>
          <t>ALE</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12055-2022</t>
        </is>
      </c>
      <c r="B70" t="inlineStr">
        <is>
          <t>avverkningsanmälan</t>
        </is>
      </c>
      <c r="C70" t="inlineStr">
        <is>
          <t>Avverkning för annat ändamål</t>
        </is>
      </c>
      <c r="D70" s="1" t="n">
        <v>44636</v>
      </c>
      <c r="E70" s="1" t="n">
        <v>46320</v>
      </c>
      <c r="F70" t="inlineStr">
        <is>
          <t>VÄSTRA GÖTALANDS LÄN</t>
        </is>
      </c>
      <c r="G70" t="inlineStr">
        <is>
          <t>ALE</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3457-2022</t>
        </is>
      </c>
      <c r="B71" t="inlineStr">
        <is>
          <t>avverkningsanmälan</t>
        </is>
      </c>
      <c r="C71" t="inlineStr">
        <is>
          <t>Föryngringsavverkning</t>
        </is>
      </c>
      <c r="D71" s="1" t="n">
        <v>44585</v>
      </c>
      <c r="E71" s="1" t="n">
        <v>46320</v>
      </c>
      <c r="F71" t="inlineStr">
        <is>
          <t>VÄSTRA GÖTALANDS LÄN</t>
        </is>
      </c>
      <c r="G71" t="inlineStr">
        <is>
          <t>ALE</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5916-2023</t>
        </is>
      </c>
      <c r="B72" t="inlineStr">
        <is>
          <t>avverkningsanmälan</t>
        </is>
      </c>
      <c r="C72" t="inlineStr">
        <is>
          <t>Föryngringsavverkning</t>
        </is>
      </c>
      <c r="D72" s="1" t="n">
        <v>44963</v>
      </c>
      <c r="E72" s="1" t="n">
        <v>46320</v>
      </c>
      <c r="F72" t="inlineStr">
        <is>
          <t>VÄSTRA GÖTALANDS LÄN</t>
        </is>
      </c>
      <c r="G72" t="inlineStr">
        <is>
          <t>ALE</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46227-2025</t>
        </is>
      </c>
      <c r="B73" t="inlineStr">
        <is>
          <t>avverkningsanmälan</t>
        </is>
      </c>
      <c r="C73" t="inlineStr">
        <is>
          <t>Föryngringsavverkning</t>
        </is>
      </c>
      <c r="D73" s="1" t="n">
        <v>45924</v>
      </c>
      <c r="E73" s="1" t="n">
        <v>46320</v>
      </c>
      <c r="F73" t="inlineStr">
        <is>
          <t>VÄSTRA GÖTALANDS LÄN</t>
        </is>
      </c>
      <c r="G73" t="inlineStr">
        <is>
          <t>ALE</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26157-2023</t>
        </is>
      </c>
      <c r="B74" t="inlineStr">
        <is>
          <t>avverkningsanmälan</t>
        </is>
      </c>
      <c r="C74" t="inlineStr">
        <is>
          <t>Föryngringsavverkning</t>
        </is>
      </c>
      <c r="D74" s="1" t="n">
        <v>45091</v>
      </c>
      <c r="E74" s="1" t="n">
        <v>46320</v>
      </c>
      <c r="F74" t="inlineStr">
        <is>
          <t>VÄSTRA GÖTALANDS LÄN</t>
        </is>
      </c>
      <c r="G74" t="inlineStr">
        <is>
          <t>ALE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57473-2022</t>
        </is>
      </c>
      <c r="B75" t="inlineStr">
        <is>
          <t>avverkningsanmälan</t>
        </is>
      </c>
      <c r="C75" t="inlineStr">
        <is>
          <t>Föryngringsavverkning</t>
        </is>
      </c>
      <c r="D75" s="1" t="n">
        <v>44896</v>
      </c>
      <c r="E75" s="1" t="n">
        <v>46320</v>
      </c>
      <c r="F75" t="inlineStr">
        <is>
          <t>VÄSTRA GÖTALANDS LÄN</t>
        </is>
      </c>
      <c r="G75" t="inlineStr">
        <is>
          <t>ALE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1566-2022</t>
        </is>
      </c>
      <c r="B76" t="inlineStr">
        <is>
          <t>avverkningsanmälan</t>
        </is>
      </c>
      <c r="C76" t="inlineStr">
        <is>
          <t>Föryngringsavverkning</t>
        </is>
      </c>
      <c r="D76" s="1" t="n">
        <v>44573</v>
      </c>
      <c r="E76" s="1" t="n">
        <v>46320</v>
      </c>
      <c r="F76" t="inlineStr">
        <is>
          <t>VÄSTRA GÖTALANDS LÄN</t>
        </is>
      </c>
      <c r="G76" t="inlineStr">
        <is>
          <t>ALE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12445-2022</t>
        </is>
      </c>
      <c r="B77" t="inlineStr">
        <is>
          <t>avverkningsanmälan</t>
        </is>
      </c>
      <c r="C77" t="inlineStr">
        <is>
          <t>Föryngringsavverkning</t>
        </is>
      </c>
      <c r="D77" s="1" t="n">
        <v>44638</v>
      </c>
      <c r="E77" s="1" t="n">
        <v>46320</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50189-2025</t>
        </is>
      </c>
      <c r="B78" t="inlineStr">
        <is>
          <t>avverkningsanmälan</t>
        </is>
      </c>
      <c r="C78" t="inlineStr">
        <is>
          <t>Föryngringsavverkning</t>
        </is>
      </c>
      <c r="D78" s="1" t="n">
        <v>45943</v>
      </c>
      <c r="E78" s="1" t="n">
        <v>46320</v>
      </c>
      <c r="F78" t="inlineStr">
        <is>
          <t>VÄSTRA GÖTALANDS LÄN</t>
        </is>
      </c>
      <c r="G78" t="inlineStr">
        <is>
          <t>ALE</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47728-2025</t>
        </is>
      </c>
      <c r="B79" t="inlineStr">
        <is>
          <t>avverkningsanmälan</t>
        </is>
      </c>
      <c r="C79" t="inlineStr">
        <is>
          <t>Föryngringsavverkning</t>
        </is>
      </c>
      <c r="D79" s="1" t="n">
        <v>45931</v>
      </c>
      <c r="E79" s="1" t="n">
        <v>46320</v>
      </c>
      <c r="F79" t="inlineStr">
        <is>
          <t>VÄSTRA GÖTALANDS LÄN</t>
        </is>
      </c>
      <c r="G79" t="inlineStr">
        <is>
          <t>ALE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36763-2022</t>
        </is>
      </c>
      <c r="B80" t="inlineStr">
        <is>
          <t>avverkningsanmälan</t>
        </is>
      </c>
      <c r="C80" t="inlineStr">
        <is>
          <t>Föryngringsavverkning</t>
        </is>
      </c>
      <c r="D80" s="1" t="n">
        <v>44805</v>
      </c>
      <c r="E80" s="1" t="n">
        <v>46320</v>
      </c>
      <c r="F80" t="inlineStr">
        <is>
          <t>VÄSTRA GÖTALANDS LÄN</t>
        </is>
      </c>
      <c r="G80" t="inlineStr">
        <is>
          <t>ALE</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50973-2025</t>
        </is>
      </c>
      <c r="B81" t="inlineStr">
        <is>
          <t>avverkningsanmälan</t>
        </is>
      </c>
      <c r="C81" t="inlineStr">
        <is>
          <t>Föryngringsavverkning</t>
        </is>
      </c>
      <c r="D81" s="1" t="n">
        <v>45947</v>
      </c>
      <c r="E81" s="1" t="n">
        <v>46320</v>
      </c>
      <c r="F81" t="inlineStr">
        <is>
          <t>VÄSTRA GÖTALANDS LÄN</t>
        </is>
      </c>
      <c r="G81" t="inlineStr">
        <is>
          <t>ALE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51976-2025</t>
        </is>
      </c>
      <c r="B82" t="inlineStr">
        <is>
          <t>avverkningsanmälan</t>
        </is>
      </c>
      <c r="C82" t="inlineStr">
        <is>
          <t>Föryngringsavverkning</t>
        </is>
      </c>
      <c r="D82" s="1" t="n">
        <v>45952</v>
      </c>
      <c r="E82" s="1" t="n">
        <v>46320</v>
      </c>
      <c r="F82" t="inlineStr">
        <is>
          <t>VÄSTRA GÖTALANDS LÄN</t>
        </is>
      </c>
      <c r="G82" t="inlineStr">
        <is>
          <t>ALE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20067-2023</t>
        </is>
      </c>
      <c r="B83" t="inlineStr">
        <is>
          <t>avverkningsanmälan</t>
        </is>
      </c>
      <c r="C83" t="inlineStr">
        <is>
          <t>Föryngringsavverkning</t>
        </is>
      </c>
      <c r="D83" s="1" t="n">
        <v>45054</v>
      </c>
      <c r="E83" s="1" t="n">
        <v>46320</v>
      </c>
      <c r="F83" t="inlineStr">
        <is>
          <t>VÄSTRA GÖTALANDS LÄN</t>
        </is>
      </c>
      <c r="G83" t="inlineStr">
        <is>
          <t>ALE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28023-2026</t>
        </is>
      </c>
      <c r="B84" t="inlineStr">
        <is>
          <t>avverkningsanmälan</t>
        </is>
      </c>
      <c r="C84" t="inlineStr">
        <is>
          <t>Föryngringsavverkning</t>
        </is>
      </c>
      <c r="D84" s="1" t="n">
        <v>46195</v>
      </c>
      <c r="E84" s="1" t="n">
        <v>46320</v>
      </c>
      <c r="F84" t="inlineStr">
        <is>
          <t>VÄSTRA GÖTALANDS LÄN</t>
        </is>
      </c>
      <c r="G84" t="inlineStr">
        <is>
          <t>ALE</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28028-2026</t>
        </is>
      </c>
      <c r="B85" t="inlineStr">
        <is>
          <t>avverkningsanmälan</t>
        </is>
      </c>
      <c r="C85" t="inlineStr">
        <is>
          <t>Föryngringsavverkning</t>
        </is>
      </c>
      <c r="D85" s="1" t="n">
        <v>46195</v>
      </c>
      <c r="E85" s="1" t="n">
        <v>46320</v>
      </c>
      <c r="F85" t="inlineStr">
        <is>
          <t>VÄSTRA GÖTALANDS LÄN</t>
        </is>
      </c>
      <c r="G85" t="inlineStr">
        <is>
          <t>ALE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1500-2024</t>
        </is>
      </c>
      <c r="B86" t="inlineStr">
        <is>
          <t>avverkningsanmälan</t>
        </is>
      </c>
      <c r="C86" t="inlineStr">
        <is>
          <t>Föryngringsavverkning</t>
        </is>
      </c>
      <c r="D86" s="1" t="n">
        <v>45306</v>
      </c>
      <c r="E86" s="1" t="n">
        <v>46320</v>
      </c>
      <c r="F86" t="inlineStr">
        <is>
          <t>VÄSTRA GÖTALANDS LÄN</t>
        </is>
      </c>
      <c r="G86" t="inlineStr">
        <is>
          <t>ALE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56905-2025</t>
        </is>
      </c>
      <c r="B87" t="inlineStr">
        <is>
          <t>avverkningsanmälan</t>
        </is>
      </c>
      <c r="C87" t="inlineStr">
        <is>
          <t>Föryngringsavverkning</t>
        </is>
      </c>
      <c r="D87" s="1" t="n">
        <v>45978</v>
      </c>
      <c r="E87" s="1" t="n">
        <v>46320</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6916-2023</t>
        </is>
      </c>
      <c r="B88" t="inlineStr">
        <is>
          <t>avverkningsanmälan</t>
        </is>
      </c>
      <c r="C88" t="inlineStr">
        <is>
          <t>Föryngringsavverkning</t>
        </is>
      </c>
      <c r="D88" s="1" t="n">
        <v>44967</v>
      </c>
      <c r="E88" s="1" t="n">
        <v>46320</v>
      </c>
      <c r="F88" t="inlineStr">
        <is>
          <t>VÄSTRA GÖTALANDS LÄN</t>
        </is>
      </c>
      <c r="G88" t="inlineStr">
        <is>
          <t>ALE</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64199-2021</t>
        </is>
      </c>
      <c r="B89" t="inlineStr">
        <is>
          <t>avverkningsanmälan</t>
        </is>
      </c>
      <c r="C89" t="inlineStr">
        <is>
          <t>Föryngringsavverkning</t>
        </is>
      </c>
      <c r="D89" s="1" t="n">
        <v>44510</v>
      </c>
      <c r="E89" s="1" t="n">
        <v>46320</v>
      </c>
      <c r="F89" t="inlineStr">
        <is>
          <t>VÄSTRA GÖTALANDS LÄN</t>
        </is>
      </c>
      <c r="G89" t="inlineStr">
        <is>
          <t>ALE</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31407-2025</t>
        </is>
      </c>
      <c r="B90" t="inlineStr">
        <is>
          <t>avverkningsanmälan</t>
        </is>
      </c>
      <c r="C90" t="inlineStr">
        <is>
          <t>Föryngringsavverkning</t>
        </is>
      </c>
      <c r="D90" s="1" t="n">
        <v>45833</v>
      </c>
      <c r="E90" s="1" t="n">
        <v>46320</v>
      </c>
      <c r="F90" t="inlineStr">
        <is>
          <t>VÄSTRA GÖTALANDS LÄN</t>
        </is>
      </c>
      <c r="G90" t="inlineStr">
        <is>
          <t>ALE</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59409-2025</t>
        </is>
      </c>
      <c r="B91" t="inlineStr">
        <is>
          <t>avverkningsanmälan</t>
        </is>
      </c>
      <c r="C91" t="inlineStr">
        <is>
          <t>Föryngringsavverkning</t>
        </is>
      </c>
      <c r="D91" s="1" t="n">
        <v>45989</v>
      </c>
      <c r="E91" s="1" t="n">
        <v>46320</v>
      </c>
      <c r="F91" t="inlineStr">
        <is>
          <t>VÄSTRA GÖTALANDS LÄN</t>
        </is>
      </c>
      <c r="G91" t="inlineStr">
        <is>
          <t>ALE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60287-2025</t>
        </is>
      </c>
      <c r="B92" t="inlineStr">
        <is>
          <t>avverkningsanmälan</t>
        </is>
      </c>
      <c r="C92" t="inlineStr">
        <is>
          <t>Föryngringsavverkning</t>
        </is>
      </c>
      <c r="D92" s="1" t="n">
        <v>45994</v>
      </c>
      <c r="E92" s="1" t="n">
        <v>46320</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5875-2023</t>
        </is>
      </c>
      <c r="B93" t="inlineStr">
        <is>
          <t>avverkningsanmälan</t>
        </is>
      </c>
      <c r="C93" t="inlineStr">
        <is>
          <t>Föryngringsavverkning</t>
        </is>
      </c>
      <c r="D93" s="1" t="n">
        <v>44963</v>
      </c>
      <c r="E93" s="1" t="n">
        <v>46320</v>
      </c>
      <c r="F93" t="inlineStr">
        <is>
          <t>VÄSTRA GÖTALANDS LÄN</t>
        </is>
      </c>
      <c r="G93" t="inlineStr">
        <is>
          <t>ALE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61744-2025</t>
        </is>
      </c>
      <c r="B94" t="inlineStr">
        <is>
          <t>avverkningsanmälan</t>
        </is>
      </c>
      <c r="C94" t="inlineStr">
        <is>
          <t>Föryngringsavverkning</t>
        </is>
      </c>
      <c r="D94" s="1" t="n">
        <v>46002</v>
      </c>
      <c r="E94" s="1" t="n">
        <v>46320</v>
      </c>
      <c r="F94" t="inlineStr">
        <is>
          <t>VÄSTRA GÖTALANDS LÄN</t>
        </is>
      </c>
      <c r="G94" t="inlineStr">
        <is>
          <t>ALE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61771-2025</t>
        </is>
      </c>
      <c r="B95" t="inlineStr">
        <is>
          <t>avverkningsanmälan</t>
        </is>
      </c>
      <c r="C95" t="inlineStr">
        <is>
          <t>Föryngringsavverkning</t>
        </is>
      </c>
      <c r="D95" s="1" t="n">
        <v>46002</v>
      </c>
      <c r="E95" s="1" t="n">
        <v>46320</v>
      </c>
      <c r="F95" t="inlineStr">
        <is>
          <t>VÄSTRA GÖTALANDS LÄN</t>
        </is>
      </c>
      <c r="G95" t="inlineStr">
        <is>
          <t>ALE</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3407-2023</t>
        </is>
      </c>
      <c r="B96" t="inlineStr">
        <is>
          <t>avverkningsanmälan</t>
        </is>
      </c>
      <c r="C96" t="inlineStr">
        <is>
          <t>Föryngringsavverkning</t>
        </is>
      </c>
      <c r="D96" s="1" t="n">
        <v>44949</v>
      </c>
      <c r="E96" s="1" t="n">
        <v>46320</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22946-2025</t>
        </is>
      </c>
      <c r="B97" t="inlineStr">
        <is>
          <t>avverkningsanmälan</t>
        </is>
      </c>
      <c r="C97" t="inlineStr">
        <is>
          <t>Föryngringsavverkning</t>
        </is>
      </c>
      <c r="D97" s="1" t="n">
        <v>45790</v>
      </c>
      <c r="E97" s="1" t="n">
        <v>46320</v>
      </c>
      <c r="F97" t="inlineStr">
        <is>
          <t>VÄSTRA GÖTALANDS LÄN</t>
        </is>
      </c>
      <c r="G97" t="inlineStr">
        <is>
          <t>ALE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4971-2024</t>
        </is>
      </c>
      <c r="B98" t="inlineStr">
        <is>
          <t>avverkningsanmälan</t>
        </is>
      </c>
      <c r="C98" t="inlineStr">
        <is>
          <t>Föryngringsavverkning</t>
        </is>
      </c>
      <c r="D98" s="1" t="n">
        <v>45329</v>
      </c>
      <c r="E98" s="1" t="n">
        <v>46320</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2414-2026</t>
        </is>
      </c>
      <c r="B99" t="inlineStr">
        <is>
          <t>avverkningsanmälan</t>
        </is>
      </c>
      <c r="C99" t="inlineStr">
        <is>
          <t>Föryngringsavverkning</t>
        </is>
      </c>
      <c r="D99" s="1" t="n">
        <v>46036</v>
      </c>
      <c r="E99" s="1" t="n">
        <v>46320</v>
      </c>
      <c r="F99" t="inlineStr">
        <is>
          <t>VÄSTRA GÖTALANDS LÄN</t>
        </is>
      </c>
      <c r="G99" t="inlineStr">
        <is>
          <t>ALE</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39467-2026</t>
        </is>
      </c>
      <c r="B100" t="inlineStr">
        <is>
          <t>avverkningsanmälan</t>
        </is>
      </c>
      <c r="C100" t="inlineStr">
        <is>
          <t>Avverkning för annat ändamål</t>
        </is>
      </c>
      <c r="D100" s="1" t="n">
        <v>46288</v>
      </c>
      <c r="E100" s="1" t="n">
        <v>46320</v>
      </c>
      <c r="F100" t="inlineStr">
        <is>
          <t>VÄSTRA GÖTALANDS LÄN</t>
        </is>
      </c>
      <c r="G100" t="inlineStr">
        <is>
          <t>ALE</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6621-2026</t>
        </is>
      </c>
      <c r="B101" t="inlineStr">
        <is>
          <t>avverkningsanmälan</t>
        </is>
      </c>
      <c r="C101" t="inlineStr">
        <is>
          <t>Föryngringsavverkning</t>
        </is>
      </c>
      <c r="D101" s="1" t="n">
        <v>46056</v>
      </c>
      <c r="E101" s="1" t="n">
        <v>46320</v>
      </c>
      <c r="F101" t="inlineStr">
        <is>
          <t>VÄSTRA GÖTALANDS LÄN</t>
        </is>
      </c>
      <c r="G101" t="inlineStr">
        <is>
          <t>ALE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7296-2026</t>
        </is>
      </c>
      <c r="B102" t="inlineStr">
        <is>
          <t>avverkningsanmälan</t>
        </is>
      </c>
      <c r="C102" t="inlineStr">
        <is>
          <t>Föryngringsavverkning</t>
        </is>
      </c>
      <c r="D102" s="1" t="n">
        <v>46058</v>
      </c>
      <c r="E102" s="1" t="n">
        <v>46320</v>
      </c>
      <c r="F102" t="inlineStr">
        <is>
          <t>VÄSTRA GÖTALANDS LÄN</t>
        </is>
      </c>
      <c r="G102" t="inlineStr">
        <is>
          <t>ALE</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8110-2026</t>
        </is>
      </c>
      <c r="B103" t="inlineStr">
        <is>
          <t>avverkningsanmälan</t>
        </is>
      </c>
      <c r="C103" t="inlineStr">
        <is>
          <t>Föryngringsavverkning</t>
        </is>
      </c>
      <c r="D103" s="1" t="n">
        <v>46062</v>
      </c>
      <c r="E103" s="1" t="n">
        <v>46320</v>
      </c>
      <c r="F103" t="inlineStr">
        <is>
          <t>VÄSTRA GÖTALANDS LÄN</t>
        </is>
      </c>
      <c r="G103" t="inlineStr">
        <is>
          <t>ALE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8112-2026</t>
        </is>
      </c>
      <c r="B104" t="inlineStr">
        <is>
          <t>avverkningsanmälan</t>
        </is>
      </c>
      <c r="C104" t="inlineStr">
        <is>
          <t>Föryngringsavverkning</t>
        </is>
      </c>
      <c r="D104" s="1" t="n">
        <v>46062</v>
      </c>
      <c r="E104" s="1" t="n">
        <v>46320</v>
      </c>
      <c r="F104" t="inlineStr">
        <is>
          <t>VÄSTRA GÖTALANDS LÄN</t>
        </is>
      </c>
      <c r="G104" t="inlineStr">
        <is>
          <t>ALE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8111-2026</t>
        </is>
      </c>
      <c r="B105" t="inlineStr">
        <is>
          <t>avverkningsanmälan</t>
        </is>
      </c>
      <c r="C105" t="inlineStr">
        <is>
          <t>Föryngringsavverkning</t>
        </is>
      </c>
      <c r="D105" s="1" t="n">
        <v>46062</v>
      </c>
      <c r="E105" s="1" t="n">
        <v>46320</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51564-2023</t>
        </is>
      </c>
      <c r="B106" t="inlineStr">
        <is>
          <t>avverkningsanmälan</t>
        </is>
      </c>
      <c r="C106" t="inlineStr">
        <is>
          <t>Föryngringsavverkning</t>
        </is>
      </c>
      <c r="D106" s="1" t="n">
        <v>45222</v>
      </c>
      <c r="E106" s="1" t="n">
        <v>46320</v>
      </c>
      <c r="F106" t="inlineStr">
        <is>
          <t>VÄSTRA GÖTALANDS LÄN</t>
        </is>
      </c>
      <c r="G106" t="inlineStr">
        <is>
          <t>ALE</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18637-2023</t>
        </is>
      </c>
      <c r="B107" t="inlineStr">
        <is>
          <t>avverkningsanmälan</t>
        </is>
      </c>
      <c r="C107" t="inlineStr">
        <is>
          <t>Föryngringsavverkning</t>
        </is>
      </c>
      <c r="D107" s="1" t="n">
        <v>45043</v>
      </c>
      <c r="E107" s="1" t="n">
        <v>46320</v>
      </c>
      <c r="F107" t="inlineStr">
        <is>
          <t>VÄSTRA GÖTALANDS LÄN</t>
        </is>
      </c>
      <c r="G107" t="inlineStr">
        <is>
          <t>ALE</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59933-2023</t>
        </is>
      </c>
      <c r="B108" t="inlineStr">
        <is>
          <t>avverkningsanmälan</t>
        </is>
      </c>
      <c r="C108" t="inlineStr">
        <is>
          <t>Föryngringsavverkning</t>
        </is>
      </c>
      <c r="D108" s="1" t="n">
        <v>45257</v>
      </c>
      <c r="E108" s="1" t="n">
        <v>46320</v>
      </c>
      <c r="F108" t="inlineStr">
        <is>
          <t>VÄSTRA GÖTALANDS LÄN</t>
        </is>
      </c>
      <c r="G108" t="inlineStr">
        <is>
          <t>ALE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10459-2026</t>
        </is>
      </c>
      <c r="B109" t="inlineStr">
        <is>
          <t>avverkningsanmälan</t>
        </is>
      </c>
      <c r="C109" t="inlineStr">
        <is>
          <t>Föryngringsavverkning</t>
        </is>
      </c>
      <c r="D109" s="1" t="n">
        <v>46077</v>
      </c>
      <c r="E109" s="1" t="n">
        <v>46320</v>
      </c>
      <c r="F109" t="inlineStr">
        <is>
          <t>VÄSTRA GÖTALANDS LÄN</t>
        </is>
      </c>
      <c r="G109" t="inlineStr">
        <is>
          <t>ALE</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40628-2026</t>
        </is>
      </c>
      <c r="B110" t="inlineStr">
        <is>
          <t>avverkningsanmälan</t>
        </is>
      </c>
      <c r="C110" t="inlineStr">
        <is>
          <t>Föryngringsavverkning</t>
        </is>
      </c>
      <c r="D110" s="1" t="n">
        <v>46295</v>
      </c>
      <c r="E110" s="1" t="n">
        <v>46320</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13903-2025</t>
        </is>
      </c>
      <c r="B111" t="inlineStr">
        <is>
          <t>avverkningsanmälan</t>
        </is>
      </c>
      <c r="C111" t="inlineStr">
        <is>
          <t>Föryngringsavverkning</t>
        </is>
      </c>
      <c r="D111" s="1" t="n">
        <v>45737</v>
      </c>
      <c r="E111" s="1" t="n">
        <v>46320</v>
      </c>
      <c r="F111" t="inlineStr">
        <is>
          <t>VÄSTRA GÖTALANDS LÄN</t>
        </is>
      </c>
      <c r="G111" t="inlineStr">
        <is>
          <t>ALE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34104-2024</t>
        </is>
      </c>
      <c r="B112" t="inlineStr">
        <is>
          <t>avverkningsanmälan</t>
        </is>
      </c>
      <c r="C112" t="inlineStr">
        <is>
          <t>Föryngringsavverkning</t>
        </is>
      </c>
      <c r="D112" s="1" t="n">
        <v>45523</v>
      </c>
      <c r="E112" s="1" t="n">
        <v>46320</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31409-2025</t>
        </is>
      </c>
      <c r="B113" t="inlineStr">
        <is>
          <t>avverkningsanmälan</t>
        </is>
      </c>
      <c r="C113" t="inlineStr">
        <is>
          <t>Föryngringsavverkning</t>
        </is>
      </c>
      <c r="D113" s="1" t="n">
        <v>45833</v>
      </c>
      <c r="E113" s="1" t="n">
        <v>46320</v>
      </c>
      <c r="F113" t="inlineStr">
        <is>
          <t>VÄSTRA GÖTALANDS LÄN</t>
        </is>
      </c>
      <c r="G113" t="inlineStr">
        <is>
          <t>ALE</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31533-2025</t>
        </is>
      </c>
      <c r="B114" t="inlineStr">
        <is>
          <t>avverkningsanmälan</t>
        </is>
      </c>
      <c r="C114" t="inlineStr">
        <is>
          <t>Föryngringsavverkning</t>
        </is>
      </c>
      <c r="D114" s="1" t="n">
        <v>45833</v>
      </c>
      <c r="E114" s="1" t="n">
        <v>46320</v>
      </c>
      <c r="F114" t="inlineStr">
        <is>
          <t>VÄSTRA GÖTALANDS LÄN</t>
        </is>
      </c>
      <c r="G114" t="inlineStr">
        <is>
          <t>ALE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31488-2025</t>
        </is>
      </c>
      <c r="B115" t="inlineStr">
        <is>
          <t>avverkningsanmälan</t>
        </is>
      </c>
      <c r="C115" t="inlineStr">
        <is>
          <t>Föryngringsavverkning</t>
        </is>
      </c>
      <c r="D115" s="1" t="n">
        <v>45833</v>
      </c>
      <c r="E115" s="1" t="n">
        <v>46320</v>
      </c>
      <c r="F115" t="inlineStr">
        <is>
          <t>VÄSTRA GÖTALANDS LÄN</t>
        </is>
      </c>
      <c r="G115" t="inlineStr">
        <is>
          <t>ALE</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40647-2026</t>
        </is>
      </c>
      <c r="B116" t="inlineStr">
        <is>
          <t>avverkningsanmälan</t>
        </is>
      </c>
      <c r="C116" t="inlineStr">
        <is>
          <t>Avverkning för annat ändamål</t>
        </is>
      </c>
      <c r="D116" s="1" t="n">
        <v>46294</v>
      </c>
      <c r="E116" s="1" t="n">
        <v>46320</v>
      </c>
      <c r="F116" t="inlineStr">
        <is>
          <t>VÄSTRA GÖTALANDS LÄN</t>
        </is>
      </c>
      <c r="G116" t="inlineStr">
        <is>
          <t>ALE</t>
        </is>
      </c>
      <c r="H116" t="inlineStr">
        <is>
          <t>Kyrkan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17199-2026</t>
        </is>
      </c>
      <c r="B117" t="inlineStr">
        <is>
          <t>avverkningsanmälan</t>
        </is>
      </c>
      <c r="C117" t="inlineStr">
        <is>
          <t>Föryngringsavverkning</t>
        </is>
      </c>
      <c r="D117" s="1" t="n">
        <v>46118</v>
      </c>
      <c r="E117" s="1" t="n">
        <v>46320</v>
      </c>
      <c r="F117" t="inlineStr">
        <is>
          <t>VÄSTRA GÖTALANDS LÄN</t>
        </is>
      </c>
      <c r="G117" t="inlineStr">
        <is>
          <t>ALE</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19613-2026</t>
        </is>
      </c>
      <c r="B118" t="inlineStr">
        <is>
          <t>avverkningsanmälan</t>
        </is>
      </c>
      <c r="C118" t="inlineStr">
        <is>
          <t>Föryngringsavverkning</t>
        </is>
      </c>
      <c r="D118" s="1" t="n">
        <v>46134</v>
      </c>
      <c r="E118" s="1" t="n">
        <v>46320</v>
      </c>
      <c r="F118" t="inlineStr">
        <is>
          <t>VÄSTRA GÖTALANDS LÄN</t>
        </is>
      </c>
      <c r="G118" t="inlineStr">
        <is>
          <t>ALE</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36403-2024</t>
        </is>
      </c>
      <c r="B119" t="inlineStr">
        <is>
          <t>avverkningsanmälan</t>
        </is>
      </c>
      <c r="C119" t="inlineStr">
        <is>
          <t>Föryngringsavverkning</t>
        </is>
      </c>
      <c r="D119" s="1" t="n">
        <v>45535</v>
      </c>
      <c r="E119" s="1" t="n">
        <v>46320</v>
      </c>
      <c r="F119" t="inlineStr">
        <is>
          <t>VÄSTRA GÖTALANDS LÄN</t>
        </is>
      </c>
      <c r="G119" t="inlineStr">
        <is>
          <t>ALE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25840-2025</t>
        </is>
      </c>
      <c r="B120" t="inlineStr">
        <is>
          <t>avverkningsanmälan</t>
        </is>
      </c>
      <c r="C120" t="inlineStr">
        <is>
          <t>Avverkning för annat ändamål</t>
        </is>
      </c>
      <c r="D120" s="1" t="n">
        <v>45804</v>
      </c>
      <c r="E120" s="1" t="n">
        <v>46320</v>
      </c>
      <c r="F120" t="inlineStr">
        <is>
          <t>VÄSTRA GÖTALANDS LÄN</t>
        </is>
      </c>
      <c r="G120" t="inlineStr">
        <is>
          <t>ALE</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62828-2025</t>
        </is>
      </c>
      <c r="B121" t="inlineStr">
        <is>
          <t>avverkningsanmälan</t>
        </is>
      </c>
      <c r="C121" t="inlineStr">
        <is>
          <t>Föryngringsavverkning</t>
        </is>
      </c>
      <c r="D121" s="1" t="n">
        <v>46008</v>
      </c>
      <c r="E121" s="1" t="n">
        <v>46320</v>
      </c>
      <c r="F121" t="inlineStr">
        <is>
          <t>VÄSTRA GÖTALANDS LÄN</t>
        </is>
      </c>
      <c r="G121" t="inlineStr">
        <is>
          <t>ALE</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40074-2025</t>
        </is>
      </c>
      <c r="B122" t="inlineStr">
        <is>
          <t>avverkningsanmälan</t>
        </is>
      </c>
      <c r="C122" t="inlineStr">
        <is>
          <t>Föryngringsavverkning</t>
        </is>
      </c>
      <c r="D122" s="1" t="n">
        <v>45894</v>
      </c>
      <c r="E122" s="1" t="n">
        <v>46320</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24642-2022</t>
        </is>
      </c>
      <c r="B123" t="inlineStr">
        <is>
          <t>avverkningsanmälan</t>
        </is>
      </c>
      <c r="C123" t="inlineStr">
        <is>
          <t>Föryngringsavverkning</t>
        </is>
      </c>
      <c r="D123" s="1" t="n">
        <v>44727</v>
      </c>
      <c r="E123" s="1" t="n">
        <v>46320</v>
      </c>
      <c r="F123" t="inlineStr">
        <is>
          <t>VÄSTRA GÖTALANDS LÄN</t>
        </is>
      </c>
      <c r="G123" t="inlineStr">
        <is>
          <t>ALE</t>
        </is>
      </c>
      <c r="I123" t="n">
        <v>10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40665-2026</t>
        </is>
      </c>
      <c r="B124" t="inlineStr">
        <is>
          <t>avverkningsanmälan</t>
        </is>
      </c>
      <c r="C124" t="inlineStr">
        <is>
          <t>Föryngringsavverkning</t>
        </is>
      </c>
      <c r="D124" s="1" t="n">
        <v>46294</v>
      </c>
      <c r="E124" s="1" t="n">
        <v>46320</v>
      </c>
      <c r="F124" t="inlineStr">
        <is>
          <t>VÄSTRA GÖTALANDS LÄN</t>
        </is>
      </c>
      <c r="G124" t="inlineStr">
        <is>
          <t>ALE</t>
        </is>
      </c>
      <c r="H124" t="inlineStr">
        <is>
          <t>Kyrkan</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26083-2023</t>
        </is>
      </c>
      <c r="B125" t="inlineStr">
        <is>
          <t>avverkningsanmälan</t>
        </is>
      </c>
      <c r="C125" t="inlineStr">
        <is>
          <t>Föryngringsavverkning</t>
        </is>
      </c>
      <c r="D125" s="1" t="n">
        <v>45091</v>
      </c>
      <c r="E125" s="1" t="n">
        <v>46320</v>
      </c>
      <c r="F125" t="inlineStr">
        <is>
          <t>VÄSTRA GÖTALANDS LÄN</t>
        </is>
      </c>
      <c r="G125" t="inlineStr">
        <is>
          <t>ALE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22420-2026</t>
        </is>
      </c>
      <c r="B126" t="inlineStr">
        <is>
          <t>avverkningsanmälan</t>
        </is>
      </c>
      <c r="C126" t="inlineStr">
        <is>
          <t>Föryngringsavverkning</t>
        </is>
      </c>
      <c r="D126" s="1" t="n">
        <v>46154</v>
      </c>
      <c r="E126" s="1" t="n">
        <v>46320</v>
      </c>
      <c r="F126" t="inlineStr">
        <is>
          <t>VÄSTRA GÖTALANDS LÄN</t>
        </is>
      </c>
      <c r="G126" t="inlineStr">
        <is>
          <t>ALE</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35959-2022</t>
        </is>
      </c>
      <c r="B127" t="inlineStr">
        <is>
          <t>avverkningsanmälan</t>
        </is>
      </c>
      <c r="C127" t="inlineStr">
        <is>
          <t>Föryngringsavverkning</t>
        </is>
      </c>
      <c r="D127" s="1" t="n">
        <v>44802</v>
      </c>
      <c r="E127" s="1" t="n">
        <v>46320</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17044-2025</t>
        </is>
      </c>
      <c r="B128" t="inlineStr">
        <is>
          <t>avverkningsanmälan</t>
        </is>
      </c>
      <c r="C128" t="inlineStr">
        <is>
          <t>Föryngringsavverkning</t>
        </is>
      </c>
      <c r="D128" s="1" t="n">
        <v>45755</v>
      </c>
      <c r="E128" s="1" t="n">
        <v>46320</v>
      </c>
      <c r="F128" t="inlineStr">
        <is>
          <t>VÄSTRA GÖTALANDS LÄN</t>
        </is>
      </c>
      <c r="G128" t="inlineStr">
        <is>
          <t>ALE</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48257-2022</t>
        </is>
      </c>
      <c r="B129" t="inlineStr">
        <is>
          <t>avverkningsanmälan</t>
        </is>
      </c>
      <c r="C129" t="inlineStr">
        <is>
          <t>Föryngringsavverkning</t>
        </is>
      </c>
      <c r="D129" s="1" t="n">
        <v>44858</v>
      </c>
      <c r="E129" s="1" t="n">
        <v>46320</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1687-2024</t>
        </is>
      </c>
      <c r="B130" t="inlineStr">
        <is>
          <t>avverkningsanmälan</t>
        </is>
      </c>
      <c r="C130" t="inlineStr">
        <is>
          <t>Föryngringsavverkning</t>
        </is>
      </c>
      <c r="D130" s="1" t="n">
        <v>45306</v>
      </c>
      <c r="E130" s="1" t="n">
        <v>46320</v>
      </c>
      <c r="F130" t="inlineStr">
        <is>
          <t>VÄSTRA GÖTALANDS LÄN</t>
        </is>
      </c>
      <c r="G130" t="inlineStr">
        <is>
          <t>ALE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49680-2024</t>
        </is>
      </c>
      <c r="B131" t="inlineStr">
        <is>
          <t>avverkningsanmälan</t>
        </is>
      </c>
      <c r="C131" t="inlineStr">
        <is>
          <t>Föryngringsavverkning</t>
        </is>
      </c>
      <c r="D131" s="1" t="n">
        <v>45596</v>
      </c>
      <c r="E131" s="1" t="n">
        <v>46320</v>
      </c>
      <c r="F131" t="inlineStr">
        <is>
          <t>VÄSTRA GÖTALANDS LÄN</t>
        </is>
      </c>
      <c r="G131" t="inlineStr">
        <is>
          <t>ALE</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7807-2023</t>
        </is>
      </c>
      <c r="B132" t="inlineStr">
        <is>
          <t>avverkningsanmälan</t>
        </is>
      </c>
      <c r="C132" t="inlineStr">
        <is>
          <t>Föryngringsavverkning</t>
        </is>
      </c>
      <c r="D132" s="1" t="n">
        <v>44973</v>
      </c>
      <c r="E132" s="1" t="n">
        <v>46320</v>
      </c>
      <c r="F132" t="inlineStr">
        <is>
          <t>VÄSTRA GÖTALANDS LÄN</t>
        </is>
      </c>
      <c r="G132" t="inlineStr">
        <is>
          <t>ALE</t>
        </is>
      </c>
      <c r="I132" t="n">
        <v>10.5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55488-2022</t>
        </is>
      </c>
      <c r="B133" t="inlineStr">
        <is>
          <t>avverkningsanmälan</t>
        </is>
      </c>
      <c r="C133" t="inlineStr">
        <is>
          <t>Föryngringsavverkning</t>
        </is>
      </c>
      <c r="D133" s="1" t="n">
        <v>44887</v>
      </c>
      <c r="E133" s="1" t="n">
        <v>46320</v>
      </c>
      <c r="F133" t="inlineStr">
        <is>
          <t>VÄSTRA GÖTALANDS LÄN</t>
        </is>
      </c>
      <c r="G133" t="inlineStr">
        <is>
          <t>ALE</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42446-2023</t>
        </is>
      </c>
      <c r="B134" t="inlineStr">
        <is>
          <t>avverkningsanmälan</t>
        </is>
      </c>
      <c r="C134" t="inlineStr">
        <is>
          <t>Föryngringsavverkning</t>
        </is>
      </c>
      <c r="D134" s="1" t="n">
        <v>45180</v>
      </c>
      <c r="E134" s="1" t="n">
        <v>46320</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67160-2021</t>
        </is>
      </c>
      <c r="B135" t="inlineStr">
        <is>
          <t>avverkningsanmälan</t>
        </is>
      </c>
      <c r="C135" t="inlineStr">
        <is>
          <t>Föryngringsavverkning</t>
        </is>
      </c>
      <c r="D135" s="1" t="n">
        <v>44523</v>
      </c>
      <c r="E135" s="1" t="n">
        <v>46320</v>
      </c>
      <c r="F135" t="inlineStr">
        <is>
          <t>VÄSTRA GÖTALANDS LÄN</t>
        </is>
      </c>
      <c r="G135" t="inlineStr">
        <is>
          <t>ALE</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16344-2023</t>
        </is>
      </c>
      <c r="B136" t="inlineStr">
        <is>
          <t>avverkningsanmälan</t>
        </is>
      </c>
      <c r="C136" t="inlineStr">
        <is>
          <t>Föryngringsavverkning</t>
        </is>
      </c>
      <c r="D136" s="1" t="n">
        <v>45028</v>
      </c>
      <c r="E136" s="1" t="n">
        <v>46320</v>
      </c>
      <c r="F136" t="inlineStr">
        <is>
          <t>VÄSTRA GÖTALANDS LÄN</t>
        </is>
      </c>
      <c r="G136" t="inlineStr">
        <is>
          <t>ALE</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32762-2023</t>
        </is>
      </c>
      <c r="B137" t="inlineStr">
        <is>
          <t>avverkningsanmälan</t>
        </is>
      </c>
      <c r="C137" t="inlineStr">
        <is>
          <t>Föryngringsavverkning</t>
        </is>
      </c>
      <c r="D137" s="1" t="n">
        <v>45123</v>
      </c>
      <c r="E137" s="1" t="n">
        <v>46320</v>
      </c>
      <c r="F137" t="inlineStr">
        <is>
          <t>VÄSTRA GÖTALANDS LÄN</t>
        </is>
      </c>
      <c r="G137" t="inlineStr">
        <is>
          <t>ALE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14458-2024</t>
        </is>
      </c>
      <c r="B138" t="inlineStr">
        <is>
          <t>avverkningsanmälan</t>
        </is>
      </c>
      <c r="C138" t="inlineStr">
        <is>
          <t>Avverkning för annat ändamål</t>
        </is>
      </c>
      <c r="D138" s="1" t="n">
        <v>45394</v>
      </c>
      <c r="E138" s="1" t="n">
        <v>46320</v>
      </c>
      <c r="F138" t="inlineStr">
        <is>
          <t>VÄSTRA GÖTALANDS LÄN</t>
        </is>
      </c>
      <c r="G138" t="inlineStr">
        <is>
          <t>ALE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47087-2023</t>
        </is>
      </c>
      <c r="B139" t="inlineStr">
        <is>
          <t>avverkningsanmälan</t>
        </is>
      </c>
      <c r="C139" t="inlineStr">
        <is>
          <t>Föryngringsavverkning</t>
        </is>
      </c>
      <c r="D139" s="1" t="n">
        <v>45196</v>
      </c>
      <c r="E139" s="1" t="n">
        <v>46320</v>
      </c>
      <c r="F139" t="inlineStr">
        <is>
          <t>VÄSTRA GÖTALANDS LÄN</t>
        </is>
      </c>
      <c r="G139" t="inlineStr">
        <is>
          <t>ALE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4642-2024</t>
        </is>
      </c>
      <c r="B140" t="inlineStr">
        <is>
          <t>avverkningsanmälan</t>
        </is>
      </c>
      <c r="C140" t="inlineStr">
        <is>
          <t>Föryngringsavverkning</t>
        </is>
      </c>
      <c r="D140" s="1" t="n">
        <v>45328</v>
      </c>
      <c r="E140" s="1" t="n">
        <v>46320</v>
      </c>
      <c r="F140" t="inlineStr">
        <is>
          <t>VÄSTRA GÖTALANDS LÄN</t>
        </is>
      </c>
      <c r="G140" t="inlineStr">
        <is>
          <t>ALE</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14731-2022</t>
        </is>
      </c>
      <c r="B141" t="inlineStr">
        <is>
          <t>avverkningsanmälan</t>
        </is>
      </c>
      <c r="C141" t="inlineStr">
        <is>
          <t>Föryngringsavverkning</t>
        </is>
      </c>
      <c r="D141" s="1" t="n">
        <v>44656</v>
      </c>
      <c r="E141" s="1" t="n">
        <v>46320</v>
      </c>
      <c r="F141" t="inlineStr">
        <is>
          <t>VÄSTRA GÖTALANDS LÄN</t>
        </is>
      </c>
      <c r="G141" t="inlineStr">
        <is>
          <t>ALE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3520-2022</t>
        </is>
      </c>
      <c r="B142" t="inlineStr">
        <is>
          <t>avverkningsanmälan</t>
        </is>
      </c>
      <c r="C142" t="inlineStr">
        <is>
          <t>Föryngringsavverkning</t>
        </is>
      </c>
      <c r="D142" s="1" t="n">
        <v>44585</v>
      </c>
      <c r="E142" s="1" t="n">
        <v>46320</v>
      </c>
      <c r="F142" t="inlineStr">
        <is>
          <t>VÄSTRA GÖTALANDS LÄN</t>
        </is>
      </c>
      <c r="G142" t="inlineStr">
        <is>
          <t>ALE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44429-2023</t>
        </is>
      </c>
      <c r="B143" t="inlineStr">
        <is>
          <t>avverkningsanmälan</t>
        </is>
      </c>
      <c r="C143" t="inlineStr">
        <is>
          <t>Föryngringsavverkning</t>
        </is>
      </c>
      <c r="D143" s="1" t="n">
        <v>45189</v>
      </c>
      <c r="E143" s="1" t="n">
        <v>46320</v>
      </c>
      <c r="F143" t="inlineStr">
        <is>
          <t>VÄSTRA GÖTALANDS LÄN</t>
        </is>
      </c>
      <c r="G143" t="inlineStr">
        <is>
          <t>ALE</t>
        </is>
      </c>
      <c r="I143" t="n">
        <v>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7892-2024</t>
        </is>
      </c>
      <c r="B144" t="inlineStr">
        <is>
          <t>avverkningsanmälan</t>
        </is>
      </c>
      <c r="C144" t="inlineStr">
        <is>
          <t>Föryngringsavverkning</t>
        </is>
      </c>
      <c r="D144" s="1" t="n">
        <v>45350</v>
      </c>
      <c r="E144" s="1" t="n">
        <v>46320</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51164-2024</t>
        </is>
      </c>
      <c r="B145" t="inlineStr">
        <is>
          <t>avverkningsanmälan</t>
        </is>
      </c>
      <c r="C145" t="inlineStr">
        <is>
          <t>Föryngringsavverkning</t>
        </is>
      </c>
      <c r="D145" s="1" t="n">
        <v>45603</v>
      </c>
      <c r="E145" s="1" t="n">
        <v>46320</v>
      </c>
      <c r="F145" t="inlineStr">
        <is>
          <t>VÄSTRA GÖTALANDS LÄN</t>
        </is>
      </c>
      <c r="G145" t="inlineStr">
        <is>
          <t>ALE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4444-2024</t>
        </is>
      </c>
      <c r="B146" t="inlineStr">
        <is>
          <t>avverkningsanmälan</t>
        </is>
      </c>
      <c r="C146" t="inlineStr">
        <is>
          <t>Föryngringsavverkning</t>
        </is>
      </c>
      <c r="D146" s="1" t="n">
        <v>45327</v>
      </c>
      <c r="E146" s="1" t="n">
        <v>46320</v>
      </c>
      <c r="F146" t="inlineStr">
        <is>
          <t>VÄSTRA GÖTALANDS LÄN</t>
        </is>
      </c>
      <c r="G146" t="inlineStr">
        <is>
          <t>ALE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72801-2021</t>
        </is>
      </c>
      <c r="B147" t="inlineStr">
        <is>
          <t>avverkningsanmälan</t>
        </is>
      </c>
      <c r="C147" t="inlineStr">
        <is>
          <t>Föryngringsavverkning</t>
        </is>
      </c>
      <c r="D147" s="1" t="n">
        <v>44546</v>
      </c>
      <c r="E147" s="1" t="n">
        <v>46320</v>
      </c>
      <c r="F147" t="inlineStr">
        <is>
          <t>VÄSTRA GÖTALANDS LÄN</t>
        </is>
      </c>
      <c r="G147" t="inlineStr">
        <is>
          <t>ALE</t>
        </is>
      </c>
      <c r="H147" t="inlineStr">
        <is>
          <t>Naturvårdsverket</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1822-2024</t>
        </is>
      </c>
      <c r="B148" t="inlineStr">
        <is>
          <t>avverkningsanmälan</t>
        </is>
      </c>
      <c r="C148" t="inlineStr">
        <is>
          <t>Föryngringsavverkning</t>
        </is>
      </c>
      <c r="D148" s="1" t="n">
        <v>45307</v>
      </c>
      <c r="E148" s="1" t="n">
        <v>46320</v>
      </c>
      <c r="F148" t="inlineStr">
        <is>
          <t>VÄSTRA GÖTALANDS LÄN</t>
        </is>
      </c>
      <c r="G148" t="inlineStr">
        <is>
          <t>ALE</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34153-2024</t>
        </is>
      </c>
      <c r="B149" t="inlineStr">
        <is>
          <t>avverkningsanmälan</t>
        </is>
      </c>
      <c r="C149" t="inlineStr">
        <is>
          <t>Föryngringsavverkning</t>
        </is>
      </c>
      <c r="D149" s="1" t="n">
        <v>45524</v>
      </c>
      <c r="E149" s="1" t="n">
        <v>46320</v>
      </c>
      <c r="F149" t="inlineStr">
        <is>
          <t>VÄSTRA GÖTALANDS LÄN</t>
        </is>
      </c>
      <c r="G149" t="inlineStr">
        <is>
          <t>ALE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41309-2024</t>
        </is>
      </c>
      <c r="B150" t="inlineStr">
        <is>
          <t>avverkningsanmälan</t>
        </is>
      </c>
      <c r="C150" t="inlineStr">
        <is>
          <t>Föryngringsavverkning</t>
        </is>
      </c>
      <c r="D150" s="1" t="n">
        <v>45559</v>
      </c>
      <c r="E150" s="1" t="n">
        <v>46320</v>
      </c>
      <c r="F150" t="inlineStr">
        <is>
          <t>VÄSTRA GÖTALANDS LÄN</t>
        </is>
      </c>
      <c r="G150" t="inlineStr">
        <is>
          <t>ALE</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15499-2022</t>
        </is>
      </c>
      <c r="B151" t="inlineStr">
        <is>
          <t>avverkningsanmälan</t>
        </is>
      </c>
      <c r="C151" t="inlineStr">
        <is>
          <t>Föryngringsavverkning</t>
        </is>
      </c>
      <c r="D151" s="1" t="n">
        <v>44662</v>
      </c>
      <c r="E151" s="1" t="n">
        <v>46320</v>
      </c>
      <c r="F151" t="inlineStr">
        <is>
          <t>VÄSTRA GÖTALANDS LÄN</t>
        </is>
      </c>
      <c r="G151" t="inlineStr">
        <is>
          <t>ALE</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46320</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46320</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46320</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2026-10-25T02:04:54Z</dcterms:created>
  <dcterms:modified xmlns:dcterms="http://purl.org/dc/terms/" xmlns:xsi="http://www.w3.org/2001/XMLSchema-instance" xsi:type="dcterms:W3CDTF">2026-10-25T02:04:54Z</dcterms:modified>
</cp:coreProperties>
</file>