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45784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45784</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45784</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45784</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45784</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45784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45784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45784</v>
      </c>
      <c r="D9" t="inlineStr">
        <is>
          <t>VÄSTRA GÖTALANDS LÄN</t>
        </is>
      </c>
      <c r="E9" t="inlineStr">
        <is>
          <t>ALE</t>
        </is>
      </c>
      <c r="G9" t="n">
        <v>0.7</v>
      </c>
      <c r="H9" t="n">
        <v>3</v>
      </c>
      <c r="I9" t="n">
        <v>9</v>
      </c>
      <c r="J9" t="n">
        <v>2</v>
      </c>
      <c r="K9" t="n">
        <v>0</v>
      </c>
      <c r="L9" t="n">
        <v>0</v>
      </c>
      <c r="M9" t="n">
        <v>0</v>
      </c>
      <c r="N9" t="n">
        <v>0</v>
      </c>
      <c r="O9" t="n">
        <v>2</v>
      </c>
      <c r="P9" t="n">
        <v>0</v>
      </c>
      <c r="Q9" t="n">
        <v>13</v>
      </c>
      <c r="R9" s="2" t="inlineStr">
        <is>
          <t>Grönhjon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45784</v>
      </c>
      <c r="D10" t="inlineStr">
        <is>
          <t>VÄSTRA GÖTALANDS LÄN</t>
        </is>
      </c>
      <c r="E10" t="inlineStr">
        <is>
          <t>ALE</t>
        </is>
      </c>
      <c r="G10" t="n">
        <v>11.2</v>
      </c>
      <c r="H10" t="n">
        <v>9</v>
      </c>
      <c r="I10" t="n">
        <v>2</v>
      </c>
      <c r="J10" t="n">
        <v>4</v>
      </c>
      <c r="K10" t="n">
        <v>0</v>
      </c>
      <c r="L10" t="n">
        <v>0</v>
      </c>
      <c r="M10" t="n">
        <v>0</v>
      </c>
      <c r="N10" t="n">
        <v>0</v>
      </c>
      <c r="O10" t="n">
        <v>4</v>
      </c>
      <c r="P10" t="n">
        <v>0</v>
      </c>
      <c r="Q10" t="n">
        <v>12</v>
      </c>
      <c r="R10" s="2" t="inlineStr">
        <is>
          <t>Grönhjon
Mindre hackspett
Spillkråka
Talltita
Björksplintborre
Havstulpanlav
Grönsiska
Kungsfågel
Orre
Sparvuggla
Tjäder
Vanlig groda</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45784</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45784</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45784</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45784</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45784</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45784</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45784</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45784</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45784</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45784</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45784</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45784</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45784</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45784</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45784</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45784</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45784</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45784</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45784</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45784</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45784</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45784</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45784</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45784</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45784</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45784</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16534-2025</t>
        </is>
      </c>
      <c r="B37" s="1" t="n">
        <v>45751</v>
      </c>
      <c r="C37" s="1" t="n">
        <v>45784</v>
      </c>
      <c r="D37" t="inlineStr">
        <is>
          <t>VÄSTRA GÖTALANDS LÄN</t>
        </is>
      </c>
      <c r="E37" t="inlineStr">
        <is>
          <t>ALE</t>
        </is>
      </c>
      <c r="G37" t="n">
        <v>1.5</v>
      </c>
      <c r="H37" t="n">
        <v>1</v>
      </c>
      <c r="I37" t="n">
        <v>1</v>
      </c>
      <c r="J37" t="n">
        <v>1</v>
      </c>
      <c r="K37" t="n">
        <v>0</v>
      </c>
      <c r="L37" t="n">
        <v>0</v>
      </c>
      <c r="M37" t="n">
        <v>0</v>
      </c>
      <c r="N37" t="n">
        <v>0</v>
      </c>
      <c r="O37" t="n">
        <v>1</v>
      </c>
      <c r="P37" t="n">
        <v>0</v>
      </c>
      <c r="Q37" t="n">
        <v>2</v>
      </c>
      <c r="R37" s="2" t="inlineStr">
        <is>
          <t>Entita
Västlig hakmossa</t>
        </is>
      </c>
      <c r="S37">
        <f>HYPERLINK("https://klasma.github.io/Logging_141440/artfynd/A 16534-2025 artfynd.xlsx", "A 16534-2025")</f>
        <v/>
      </c>
      <c r="T37">
        <f>HYPERLINK("https://klasma.github.io/Logging_141440/kartor/A 16534-2025 karta.png", "A 16534-2025")</f>
        <v/>
      </c>
      <c r="V37">
        <f>HYPERLINK("https://klasma.github.io/Logging_141440/klagomål/A 16534-2025 FSC-klagomål.docx", "A 16534-2025")</f>
        <v/>
      </c>
      <c r="W37">
        <f>HYPERLINK("https://klasma.github.io/Logging_141440/klagomålsmail/A 16534-2025 FSC-klagomål mail.docx", "A 16534-2025")</f>
        <v/>
      </c>
      <c r="X37">
        <f>HYPERLINK("https://klasma.github.io/Logging_141440/tillsyn/A 16534-2025 tillsynsbegäran.docx", "A 16534-2025")</f>
        <v/>
      </c>
      <c r="Y37">
        <f>HYPERLINK("https://klasma.github.io/Logging_141440/tillsynsmail/A 16534-2025 tillsynsbegäran mail.docx", "A 16534-2025")</f>
        <v/>
      </c>
      <c r="Z37">
        <f>HYPERLINK("https://klasma.github.io/Logging_141440/fåglar/A 16534-2025 prioriterade fågelarter.docx", "A 16534-2025")</f>
        <v/>
      </c>
    </row>
    <row r="38" ht="15" customHeight="1">
      <c r="A38" t="inlineStr">
        <is>
          <t>A 25391-2019</t>
        </is>
      </c>
      <c r="B38" s="1" t="n">
        <v>43606</v>
      </c>
      <c r="C38" s="1" t="n">
        <v>45784</v>
      </c>
      <c r="D38" t="inlineStr">
        <is>
          <t>VÄSTRA GÖTALANDS LÄN</t>
        </is>
      </c>
      <c r="E38" t="inlineStr">
        <is>
          <t>ALE</t>
        </is>
      </c>
      <c r="G38" t="n">
        <v>10.1</v>
      </c>
      <c r="H38" t="n">
        <v>1</v>
      </c>
      <c r="I38" t="n">
        <v>0</v>
      </c>
      <c r="J38" t="n">
        <v>1</v>
      </c>
      <c r="K38" t="n">
        <v>0</v>
      </c>
      <c r="L38" t="n">
        <v>0</v>
      </c>
      <c r="M38" t="n">
        <v>0</v>
      </c>
      <c r="N38" t="n">
        <v>0</v>
      </c>
      <c r="O38" t="n">
        <v>1</v>
      </c>
      <c r="P38" t="n">
        <v>0</v>
      </c>
      <c r="Q38" t="n">
        <v>1</v>
      </c>
      <c r="R38" s="2" t="inlineStr">
        <is>
          <t>Kungsörn</t>
        </is>
      </c>
      <c r="S38">
        <f>HYPERLINK("https://klasma.github.io/Logging_1440/artfynd/A 25391-2019 artfynd.xlsx", "A 25391-2019")</f>
        <v/>
      </c>
      <c r="T38">
        <f>HYPERLINK("https://klasma.github.io/Logging_1440/kartor/A 25391-2019 karta.png", "A 25391-2019")</f>
        <v/>
      </c>
      <c r="V38">
        <f>HYPERLINK("https://klasma.github.io/Logging_1440/klagomål/A 25391-2019 FSC-klagomål.docx", "A 25391-2019")</f>
        <v/>
      </c>
      <c r="W38">
        <f>HYPERLINK("https://klasma.github.io/Logging_1440/klagomålsmail/A 25391-2019 FSC-klagomål mail.docx", "A 25391-2019")</f>
        <v/>
      </c>
      <c r="X38">
        <f>HYPERLINK("https://klasma.github.io/Logging_1440/tillsyn/A 25391-2019 tillsynsbegäran.docx", "A 25391-2019")</f>
        <v/>
      </c>
      <c r="Y38">
        <f>HYPERLINK("https://klasma.github.io/Logging_1440/tillsynsmail/A 25391-2019 tillsynsbegäran mail.docx", "A 25391-2019")</f>
        <v/>
      </c>
      <c r="Z38">
        <f>HYPERLINK("https://klasma.github.io/Logging_1440/fåglar/A 25391-2019 prioriterade fågelarter.docx", "A 25391-2019")</f>
        <v/>
      </c>
    </row>
    <row r="39" ht="15" customHeight="1">
      <c r="A39" t="inlineStr">
        <is>
          <t>A 8431-2022</t>
        </is>
      </c>
      <c r="B39" s="1" t="n">
        <v>44611</v>
      </c>
      <c r="C39" s="1" t="n">
        <v>45784</v>
      </c>
      <c r="D39" t="inlineStr">
        <is>
          <t>VÄSTRA GÖTALANDS LÄN</t>
        </is>
      </c>
      <c r="E39" t="inlineStr">
        <is>
          <t>ALE</t>
        </is>
      </c>
      <c r="G39" t="n">
        <v>2.7</v>
      </c>
      <c r="H39" t="n">
        <v>0</v>
      </c>
      <c r="I39" t="n">
        <v>1</v>
      </c>
      <c r="J39" t="n">
        <v>0</v>
      </c>
      <c r="K39" t="n">
        <v>0</v>
      </c>
      <c r="L39" t="n">
        <v>0</v>
      </c>
      <c r="M39" t="n">
        <v>0</v>
      </c>
      <c r="N39" t="n">
        <v>0</v>
      </c>
      <c r="O39" t="n">
        <v>0</v>
      </c>
      <c r="P39" t="n">
        <v>0</v>
      </c>
      <c r="Q39" t="n">
        <v>1</v>
      </c>
      <c r="R39" s="2" t="inlineStr">
        <is>
          <t>Havstulpanlav</t>
        </is>
      </c>
      <c r="S39">
        <f>HYPERLINK("https://klasma.github.io/Logging_1440/artfynd/A 8431-2022 artfynd.xlsx", "A 8431-2022")</f>
        <v/>
      </c>
      <c r="T39">
        <f>HYPERLINK("https://klasma.github.io/Logging_1440/kartor/A 8431-2022 karta.png", "A 8431-2022")</f>
        <v/>
      </c>
      <c r="V39">
        <f>HYPERLINK("https://klasma.github.io/Logging_1440/klagomål/A 8431-2022 FSC-klagomål.docx", "A 8431-2022")</f>
        <v/>
      </c>
      <c r="W39">
        <f>HYPERLINK("https://klasma.github.io/Logging_1440/klagomålsmail/A 8431-2022 FSC-klagomål mail.docx", "A 8431-2022")</f>
        <v/>
      </c>
      <c r="X39">
        <f>HYPERLINK("https://klasma.github.io/Logging_1440/tillsyn/A 8431-2022 tillsynsbegäran.docx", "A 8431-2022")</f>
        <v/>
      </c>
      <c r="Y39">
        <f>HYPERLINK("https://klasma.github.io/Logging_1440/tillsynsmail/A 8431-2022 tillsynsbegäran mail.docx", "A 8431-2022")</f>
        <v/>
      </c>
    </row>
    <row r="40" ht="15" customHeight="1">
      <c r="A40" t="inlineStr">
        <is>
          <t>A 8432-2022</t>
        </is>
      </c>
      <c r="B40" s="1" t="n">
        <v>44611</v>
      </c>
      <c r="C40" s="1" t="n">
        <v>45784</v>
      </c>
      <c r="D40" t="inlineStr">
        <is>
          <t>VÄSTRA GÖTALANDS LÄN</t>
        </is>
      </c>
      <c r="E40" t="inlineStr">
        <is>
          <t>ALE</t>
        </is>
      </c>
      <c r="G40" t="n">
        <v>1.7</v>
      </c>
      <c r="H40" t="n">
        <v>1</v>
      </c>
      <c r="I40" t="n">
        <v>0</v>
      </c>
      <c r="J40" t="n">
        <v>0</v>
      </c>
      <c r="K40" t="n">
        <v>0</v>
      </c>
      <c r="L40" t="n">
        <v>0</v>
      </c>
      <c r="M40" t="n">
        <v>0</v>
      </c>
      <c r="N40" t="n">
        <v>0</v>
      </c>
      <c r="O40" t="n">
        <v>0</v>
      </c>
      <c r="P40" t="n">
        <v>0</v>
      </c>
      <c r="Q40" t="n">
        <v>1</v>
      </c>
      <c r="R40" s="2" t="inlineStr">
        <is>
          <t>Gröngöling</t>
        </is>
      </c>
      <c r="S40">
        <f>HYPERLINK("https://klasma.github.io/Logging_1440/artfynd/A 8432-2022 artfynd.xlsx", "A 8432-2022")</f>
        <v/>
      </c>
      <c r="T40">
        <f>HYPERLINK("https://klasma.github.io/Logging_1440/kartor/A 8432-2022 karta.png", "A 8432-2022")</f>
        <v/>
      </c>
      <c r="V40">
        <f>HYPERLINK("https://klasma.github.io/Logging_1440/klagomål/A 8432-2022 FSC-klagomål.docx", "A 8432-2022")</f>
        <v/>
      </c>
      <c r="W40">
        <f>HYPERLINK("https://klasma.github.io/Logging_1440/klagomålsmail/A 8432-2022 FSC-klagomål mail.docx", "A 8432-2022")</f>
        <v/>
      </c>
      <c r="X40">
        <f>HYPERLINK("https://klasma.github.io/Logging_1440/tillsyn/A 8432-2022 tillsynsbegäran.docx", "A 8432-2022")</f>
        <v/>
      </c>
      <c r="Y40">
        <f>HYPERLINK("https://klasma.github.io/Logging_1440/tillsynsmail/A 8432-2022 tillsynsbegäran mail.docx", "A 8432-2022")</f>
        <v/>
      </c>
      <c r="Z40">
        <f>HYPERLINK("https://klasma.github.io/Logging_1440/fåglar/A 8432-2022 prioriterade fågelarter.docx", "A 8432-2022")</f>
        <v/>
      </c>
    </row>
    <row r="41" ht="15" customHeight="1">
      <c r="A41" t="inlineStr">
        <is>
          <t>A 23339-2023</t>
        </is>
      </c>
      <c r="B41" s="1" t="n">
        <v>45076</v>
      </c>
      <c r="C41" s="1" t="n">
        <v>45784</v>
      </c>
      <c r="D41" t="inlineStr">
        <is>
          <t>VÄSTRA GÖTALANDS LÄN</t>
        </is>
      </c>
      <c r="E41" t="inlineStr">
        <is>
          <t>ALE</t>
        </is>
      </c>
      <c r="G41" t="n">
        <v>7.4</v>
      </c>
      <c r="H41" t="n">
        <v>1</v>
      </c>
      <c r="I41" t="n">
        <v>0</v>
      </c>
      <c r="J41" t="n">
        <v>0</v>
      </c>
      <c r="K41" t="n">
        <v>0</v>
      </c>
      <c r="L41" t="n">
        <v>0</v>
      </c>
      <c r="M41" t="n">
        <v>0</v>
      </c>
      <c r="N41" t="n">
        <v>0</v>
      </c>
      <c r="O41" t="n">
        <v>0</v>
      </c>
      <c r="P41" t="n">
        <v>0</v>
      </c>
      <c r="Q41" t="n">
        <v>1</v>
      </c>
      <c r="R41" s="2" t="inlineStr">
        <is>
          <t>Revlummer</t>
        </is>
      </c>
      <c r="S41">
        <f>HYPERLINK("https://klasma.github.io/Logging_1440/artfynd/A 23339-2023 artfynd.xlsx", "A 23339-2023")</f>
        <v/>
      </c>
      <c r="T41">
        <f>HYPERLINK("https://klasma.github.io/Logging_1440/kartor/A 23339-2023 karta.png", "A 23339-2023")</f>
        <v/>
      </c>
      <c r="V41">
        <f>HYPERLINK("https://klasma.github.io/Logging_1440/klagomål/A 23339-2023 FSC-klagomål.docx", "A 23339-2023")</f>
        <v/>
      </c>
      <c r="W41">
        <f>HYPERLINK("https://klasma.github.io/Logging_1440/klagomålsmail/A 23339-2023 FSC-klagomål mail.docx", "A 23339-2023")</f>
        <v/>
      </c>
      <c r="X41">
        <f>HYPERLINK("https://klasma.github.io/Logging_1440/tillsyn/A 23339-2023 tillsynsbegäran.docx", "A 23339-2023")</f>
        <v/>
      </c>
      <c r="Y41">
        <f>HYPERLINK("https://klasma.github.io/Logging_1440/tillsynsmail/A 23339-2023 tillsynsbegäran mail.docx", "A 23339-2023")</f>
        <v/>
      </c>
    </row>
    <row r="42" ht="15" customHeight="1">
      <c r="A42" t="inlineStr">
        <is>
          <t>A 3338-2024</t>
        </is>
      </c>
      <c r="B42" s="1" t="n">
        <v>45317</v>
      </c>
      <c r="C42" s="1" t="n">
        <v>45784</v>
      </c>
      <c r="D42" t="inlineStr">
        <is>
          <t>VÄSTRA GÖTALANDS LÄN</t>
        </is>
      </c>
      <c r="E42" t="inlineStr">
        <is>
          <t>ALE</t>
        </is>
      </c>
      <c r="G42" t="n">
        <v>3.6</v>
      </c>
      <c r="H42" t="n">
        <v>1</v>
      </c>
      <c r="I42" t="n">
        <v>0</v>
      </c>
      <c r="J42" t="n">
        <v>0</v>
      </c>
      <c r="K42" t="n">
        <v>0</v>
      </c>
      <c r="L42" t="n">
        <v>0</v>
      </c>
      <c r="M42" t="n">
        <v>0</v>
      </c>
      <c r="N42" t="n">
        <v>0</v>
      </c>
      <c r="O42" t="n">
        <v>0</v>
      </c>
      <c r="P42" t="n">
        <v>0</v>
      </c>
      <c r="Q42" t="n">
        <v>1</v>
      </c>
      <c r="R42" s="2" t="inlineStr">
        <is>
          <t>Vanlig padda</t>
        </is>
      </c>
      <c r="S42">
        <f>HYPERLINK("https://klasma.github.io/Logging_1440/artfynd/A 3338-2024 artfynd.xlsx", "A 3338-2024")</f>
        <v/>
      </c>
      <c r="T42">
        <f>HYPERLINK("https://klasma.github.io/Logging_1440/kartor/A 3338-2024 karta.png", "A 3338-2024")</f>
        <v/>
      </c>
      <c r="V42">
        <f>HYPERLINK("https://klasma.github.io/Logging_1440/klagomål/A 3338-2024 FSC-klagomål.docx", "A 3338-2024")</f>
        <v/>
      </c>
      <c r="W42">
        <f>HYPERLINK("https://klasma.github.io/Logging_1440/klagomålsmail/A 3338-2024 FSC-klagomål mail.docx", "A 3338-2024")</f>
        <v/>
      </c>
      <c r="X42">
        <f>HYPERLINK("https://klasma.github.io/Logging_1440/tillsyn/A 3338-2024 tillsynsbegäran.docx", "A 3338-2024")</f>
        <v/>
      </c>
      <c r="Y42">
        <f>HYPERLINK("https://klasma.github.io/Logging_1440/tillsynsmail/A 3338-2024 tillsynsbegäran mail.docx", "A 3338-2024")</f>
        <v/>
      </c>
    </row>
    <row r="43" ht="15" customHeight="1">
      <c r="A43" t="inlineStr">
        <is>
          <t>A 12982-2024</t>
        </is>
      </c>
      <c r="B43" s="1" t="n">
        <v>45385</v>
      </c>
      <c r="C43" s="1" t="n">
        <v>45784</v>
      </c>
      <c r="D43" t="inlineStr">
        <is>
          <t>VÄSTRA GÖTALANDS LÄN</t>
        </is>
      </c>
      <c r="E43" t="inlineStr">
        <is>
          <t>ALE</t>
        </is>
      </c>
      <c r="G43" t="n">
        <v>3.3</v>
      </c>
      <c r="H43" t="n">
        <v>1</v>
      </c>
      <c r="I43" t="n">
        <v>0</v>
      </c>
      <c r="J43" t="n">
        <v>0</v>
      </c>
      <c r="K43" t="n">
        <v>0</v>
      </c>
      <c r="L43" t="n">
        <v>0</v>
      </c>
      <c r="M43" t="n">
        <v>0</v>
      </c>
      <c r="N43" t="n">
        <v>0</v>
      </c>
      <c r="O43" t="n">
        <v>0</v>
      </c>
      <c r="P43" t="n">
        <v>0</v>
      </c>
      <c r="Q43" t="n">
        <v>1</v>
      </c>
      <c r="R43" s="2" t="inlineStr">
        <is>
          <t>Revlummer</t>
        </is>
      </c>
      <c r="S43">
        <f>HYPERLINK("https://klasma.github.io/Logging_1440/artfynd/A 12982-2024 artfynd.xlsx", "A 12982-2024")</f>
        <v/>
      </c>
      <c r="T43">
        <f>HYPERLINK("https://klasma.github.io/Logging_1440/kartor/A 12982-2024 karta.png", "A 12982-2024")</f>
        <v/>
      </c>
      <c r="V43">
        <f>HYPERLINK("https://klasma.github.io/Logging_1440/klagomål/A 12982-2024 FSC-klagomål.docx", "A 12982-2024")</f>
        <v/>
      </c>
      <c r="W43">
        <f>HYPERLINK("https://klasma.github.io/Logging_1440/klagomålsmail/A 12982-2024 FSC-klagomål mail.docx", "A 12982-2024")</f>
        <v/>
      </c>
      <c r="X43">
        <f>HYPERLINK("https://klasma.github.io/Logging_1440/tillsyn/A 12982-2024 tillsynsbegäran.docx", "A 12982-2024")</f>
        <v/>
      </c>
      <c r="Y43">
        <f>HYPERLINK("https://klasma.github.io/Logging_1440/tillsynsmail/A 12982-2024 tillsynsbegäran mail.docx", "A 12982-2024")</f>
        <v/>
      </c>
    </row>
    <row r="44" ht="15" customHeight="1">
      <c r="A44" t="inlineStr">
        <is>
          <t>A 26493-2024</t>
        </is>
      </c>
      <c r="B44" s="1" t="n">
        <v>45469</v>
      </c>
      <c r="C44" s="1" t="n">
        <v>45784</v>
      </c>
      <c r="D44" t="inlineStr">
        <is>
          <t>VÄSTRA GÖTALANDS LÄN</t>
        </is>
      </c>
      <c r="E44" t="inlineStr">
        <is>
          <t>ALE</t>
        </is>
      </c>
      <c r="G44" t="n">
        <v>1.6</v>
      </c>
      <c r="H44" t="n">
        <v>1</v>
      </c>
      <c r="I44" t="n">
        <v>0</v>
      </c>
      <c r="J44" t="n">
        <v>0</v>
      </c>
      <c r="K44" t="n">
        <v>0</v>
      </c>
      <c r="L44" t="n">
        <v>0</v>
      </c>
      <c r="M44" t="n">
        <v>0</v>
      </c>
      <c r="N44" t="n">
        <v>0</v>
      </c>
      <c r="O44" t="n">
        <v>0</v>
      </c>
      <c r="P44" t="n">
        <v>0</v>
      </c>
      <c r="Q44" t="n">
        <v>1</v>
      </c>
      <c r="R44" s="2" t="inlineStr">
        <is>
          <t>Grönvit nattviol</t>
        </is>
      </c>
      <c r="S44">
        <f>HYPERLINK("https://klasma.github.io/Logging_1440/artfynd/A 26493-2024 artfynd.xlsx", "A 26493-2024")</f>
        <v/>
      </c>
      <c r="T44">
        <f>HYPERLINK("https://klasma.github.io/Logging_1440/kartor/A 26493-2024 karta.png", "A 26493-2024")</f>
        <v/>
      </c>
      <c r="V44">
        <f>HYPERLINK("https://klasma.github.io/Logging_1440/klagomål/A 26493-2024 FSC-klagomål.docx", "A 26493-2024")</f>
        <v/>
      </c>
      <c r="W44">
        <f>HYPERLINK("https://klasma.github.io/Logging_1440/klagomålsmail/A 26493-2024 FSC-klagomål mail.docx", "A 26493-2024")</f>
        <v/>
      </c>
      <c r="X44">
        <f>HYPERLINK("https://klasma.github.io/Logging_1440/tillsyn/A 26493-2024 tillsynsbegäran.docx", "A 26493-2024")</f>
        <v/>
      </c>
      <c r="Y44">
        <f>HYPERLINK("https://klasma.github.io/Logging_1440/tillsynsmail/A 26493-2024 tillsynsbegäran mail.docx", "A 26493-2024")</f>
        <v/>
      </c>
    </row>
    <row r="45" ht="15" customHeight="1">
      <c r="A45" t="inlineStr">
        <is>
          <t>A 5040-2025</t>
        </is>
      </c>
      <c r="B45" s="1" t="n">
        <v>45691</v>
      </c>
      <c r="C45" s="1" t="n">
        <v>45784</v>
      </c>
      <c r="D45" t="inlineStr">
        <is>
          <t>VÄSTRA GÖTALANDS LÄN</t>
        </is>
      </c>
      <c r="E45" t="inlineStr">
        <is>
          <t>ALE</t>
        </is>
      </c>
      <c r="G45" t="n">
        <v>3</v>
      </c>
      <c r="H45" t="n">
        <v>1</v>
      </c>
      <c r="I45" t="n">
        <v>0</v>
      </c>
      <c r="J45" t="n">
        <v>1</v>
      </c>
      <c r="K45" t="n">
        <v>0</v>
      </c>
      <c r="L45" t="n">
        <v>0</v>
      </c>
      <c r="M45" t="n">
        <v>0</v>
      </c>
      <c r="N45" t="n">
        <v>0</v>
      </c>
      <c r="O45" t="n">
        <v>1</v>
      </c>
      <c r="P45" t="n">
        <v>0</v>
      </c>
      <c r="Q45" t="n">
        <v>1</v>
      </c>
      <c r="R45" s="2" t="inlineStr">
        <is>
          <t>Spillkråka</t>
        </is>
      </c>
      <c r="S45">
        <f>HYPERLINK("https://klasma.github.io/Logging_1440/artfynd/A 5040-2025 artfynd.xlsx", "A 5040-2025")</f>
        <v/>
      </c>
      <c r="T45">
        <f>HYPERLINK("https://klasma.github.io/Logging_1440/kartor/A 5040-2025 karta.png", "A 5040-2025")</f>
        <v/>
      </c>
      <c r="V45">
        <f>HYPERLINK("https://klasma.github.io/Logging_1440/klagomål/A 5040-2025 FSC-klagomål.docx", "A 5040-2025")</f>
        <v/>
      </c>
      <c r="W45">
        <f>HYPERLINK("https://klasma.github.io/Logging_1440/klagomålsmail/A 5040-2025 FSC-klagomål mail.docx", "A 5040-2025")</f>
        <v/>
      </c>
      <c r="X45">
        <f>HYPERLINK("https://klasma.github.io/Logging_1440/tillsyn/A 5040-2025 tillsynsbegäran.docx", "A 5040-2025")</f>
        <v/>
      </c>
      <c r="Y45">
        <f>HYPERLINK("https://klasma.github.io/Logging_1440/tillsynsmail/A 5040-2025 tillsynsbegäran mail.docx", "A 5040-2025")</f>
        <v/>
      </c>
      <c r="Z45">
        <f>HYPERLINK("https://klasma.github.io/Logging_1440/fåglar/A 5040-2025 prioriterade fågelarter.docx", "A 5040-2025")</f>
        <v/>
      </c>
    </row>
    <row r="46" ht="15" customHeight="1">
      <c r="A46" t="inlineStr">
        <is>
          <t>A 9832-2025</t>
        </is>
      </c>
      <c r="B46" s="1" t="n">
        <v>45716</v>
      </c>
      <c r="C46" s="1" t="n">
        <v>45784</v>
      </c>
      <c r="D46" t="inlineStr">
        <is>
          <t>VÄSTRA GÖTALANDS LÄN</t>
        </is>
      </c>
      <c r="E46" t="inlineStr">
        <is>
          <t>ALE</t>
        </is>
      </c>
      <c r="G46" t="n">
        <v>2.8</v>
      </c>
      <c r="H46" t="n">
        <v>1</v>
      </c>
      <c r="I46" t="n">
        <v>0</v>
      </c>
      <c r="J46" t="n">
        <v>1</v>
      </c>
      <c r="K46" t="n">
        <v>0</v>
      </c>
      <c r="L46" t="n">
        <v>0</v>
      </c>
      <c r="M46" t="n">
        <v>0</v>
      </c>
      <c r="N46" t="n">
        <v>0</v>
      </c>
      <c r="O46" t="n">
        <v>1</v>
      </c>
      <c r="P46" t="n">
        <v>0</v>
      </c>
      <c r="Q46" t="n">
        <v>1</v>
      </c>
      <c r="R46" s="2" t="inlineStr">
        <is>
          <t>Spillkråka</t>
        </is>
      </c>
      <c r="S46">
        <f>HYPERLINK("https://klasma.github.io/Logging_141440/artfynd/A 9832-2025 artfynd.xlsx", "A 9832-2025")</f>
        <v/>
      </c>
      <c r="T46">
        <f>HYPERLINK("https://klasma.github.io/Logging_141440/kartor/A 9832-2025 karta.png", "A 9832-2025")</f>
        <v/>
      </c>
      <c r="V46">
        <f>HYPERLINK("https://klasma.github.io/Logging_141440/klagomål/A 9832-2025 FSC-klagomål.docx", "A 9832-2025")</f>
        <v/>
      </c>
      <c r="W46">
        <f>HYPERLINK("https://klasma.github.io/Logging_141440/klagomålsmail/A 9832-2025 FSC-klagomål mail.docx", "A 9832-2025")</f>
        <v/>
      </c>
      <c r="X46">
        <f>HYPERLINK("https://klasma.github.io/Logging_141440/tillsyn/A 9832-2025 tillsynsbegäran.docx", "A 9832-2025")</f>
        <v/>
      </c>
      <c r="Y46">
        <f>HYPERLINK("https://klasma.github.io/Logging_141440/tillsynsmail/A 9832-2025 tillsynsbegäran mail.docx", "A 9832-2025")</f>
        <v/>
      </c>
      <c r="Z46">
        <f>HYPERLINK("https://klasma.github.io/Logging_141440/fåglar/A 9832-2025 prioriterade fågelarter.docx", "A 9832-2025")</f>
        <v/>
      </c>
    </row>
    <row r="47" ht="15" customHeight="1">
      <c r="A47" t="inlineStr">
        <is>
          <t>A 12084-2025</t>
        </is>
      </c>
      <c r="B47" s="1" t="n">
        <v>45728</v>
      </c>
      <c r="C47" s="1" t="n">
        <v>45784</v>
      </c>
      <c r="D47" t="inlineStr">
        <is>
          <t>VÄSTRA GÖTALANDS LÄN</t>
        </is>
      </c>
      <c r="E47" t="inlineStr">
        <is>
          <t>ALE</t>
        </is>
      </c>
      <c r="G47" t="n">
        <v>2.4</v>
      </c>
      <c r="H47" t="n">
        <v>1</v>
      </c>
      <c r="I47" t="n">
        <v>0</v>
      </c>
      <c r="J47" t="n">
        <v>1</v>
      </c>
      <c r="K47" t="n">
        <v>0</v>
      </c>
      <c r="L47" t="n">
        <v>0</v>
      </c>
      <c r="M47" t="n">
        <v>0</v>
      </c>
      <c r="N47" t="n">
        <v>0</v>
      </c>
      <c r="O47" t="n">
        <v>1</v>
      </c>
      <c r="P47" t="n">
        <v>0</v>
      </c>
      <c r="Q47" t="n">
        <v>1</v>
      </c>
      <c r="R47" s="2" t="inlineStr">
        <is>
          <t>Spillkråka</t>
        </is>
      </c>
      <c r="S47">
        <f>HYPERLINK("https://klasma.github.io/Logging_141440/artfynd/A 12084-2025 artfynd.xlsx", "A 12084-2025")</f>
        <v/>
      </c>
      <c r="T47">
        <f>HYPERLINK("https://klasma.github.io/Logging_141440/kartor/A 12084-2025 karta.png", "A 12084-2025")</f>
        <v/>
      </c>
      <c r="V47">
        <f>HYPERLINK("https://klasma.github.io/Logging_141440/klagomål/A 12084-2025 FSC-klagomål.docx", "A 12084-2025")</f>
        <v/>
      </c>
      <c r="W47">
        <f>HYPERLINK("https://klasma.github.io/Logging_141440/klagomålsmail/A 12084-2025 FSC-klagomål mail.docx", "A 12084-2025")</f>
        <v/>
      </c>
      <c r="X47">
        <f>HYPERLINK("https://klasma.github.io/Logging_141440/tillsyn/A 12084-2025 tillsynsbegäran.docx", "A 12084-2025")</f>
        <v/>
      </c>
      <c r="Y47">
        <f>HYPERLINK("https://klasma.github.io/Logging_141440/tillsynsmail/A 12084-2025 tillsynsbegäran mail.docx", "A 12084-2025")</f>
        <v/>
      </c>
      <c r="Z47">
        <f>HYPERLINK("https://klasma.github.io/Logging_141440/fåglar/A 12084-2025 prioriterade fågelarter.docx", "A 12084-2025")</f>
        <v/>
      </c>
    </row>
    <row r="48" ht="15" customHeight="1">
      <c r="A48" t="inlineStr">
        <is>
          <t>A 13380-2025</t>
        </is>
      </c>
      <c r="B48" s="1" t="n">
        <v>45735</v>
      </c>
      <c r="C48" s="1" t="n">
        <v>45784</v>
      </c>
      <c r="D48" t="inlineStr">
        <is>
          <t>VÄSTRA GÖTALANDS LÄN</t>
        </is>
      </c>
      <c r="E48" t="inlineStr">
        <is>
          <t>ALE</t>
        </is>
      </c>
      <c r="G48" t="n">
        <v>1.8</v>
      </c>
      <c r="H48" t="n">
        <v>1</v>
      </c>
      <c r="I48" t="n">
        <v>0</v>
      </c>
      <c r="J48" t="n">
        <v>1</v>
      </c>
      <c r="K48" t="n">
        <v>0</v>
      </c>
      <c r="L48" t="n">
        <v>0</v>
      </c>
      <c r="M48" t="n">
        <v>0</v>
      </c>
      <c r="N48" t="n">
        <v>0</v>
      </c>
      <c r="O48" t="n">
        <v>1</v>
      </c>
      <c r="P48" t="n">
        <v>0</v>
      </c>
      <c r="Q48" t="n">
        <v>1</v>
      </c>
      <c r="R48" s="2" t="inlineStr">
        <is>
          <t>Spillkråka</t>
        </is>
      </c>
      <c r="S48">
        <f>HYPERLINK("https://klasma.github.io/Logging_141440/artfynd/A 13380-2025 artfynd.xlsx", "A 13380-2025")</f>
        <v/>
      </c>
      <c r="T48">
        <f>HYPERLINK("https://klasma.github.io/Logging_141440/kartor/A 13380-2025 karta.png", "A 13380-2025")</f>
        <v/>
      </c>
      <c r="V48">
        <f>HYPERLINK("https://klasma.github.io/Logging_141440/klagomål/A 13380-2025 FSC-klagomål.docx", "A 13380-2025")</f>
        <v/>
      </c>
      <c r="W48">
        <f>HYPERLINK("https://klasma.github.io/Logging_141440/klagomålsmail/A 13380-2025 FSC-klagomål mail.docx", "A 13380-2025")</f>
        <v/>
      </c>
      <c r="X48">
        <f>HYPERLINK("https://klasma.github.io/Logging_141440/tillsyn/A 13380-2025 tillsynsbegäran.docx", "A 13380-2025")</f>
        <v/>
      </c>
      <c r="Y48">
        <f>HYPERLINK("https://klasma.github.io/Logging_141440/tillsynsmail/A 13380-2025 tillsynsbegäran mail.docx", "A 13380-2025")</f>
        <v/>
      </c>
      <c r="Z48">
        <f>HYPERLINK("https://klasma.github.io/Logging_141440/fåglar/A 13380-2025 prioriterade fågelarter.docx", "A 13380-2025")</f>
        <v/>
      </c>
    </row>
    <row r="49" ht="15" customHeight="1">
      <c r="A49" t="inlineStr">
        <is>
          <t>A 13902-2025</t>
        </is>
      </c>
      <c r="B49" s="1" t="n">
        <v>45737</v>
      </c>
      <c r="C49" s="1" t="n">
        <v>45784</v>
      </c>
      <c r="D49" t="inlineStr">
        <is>
          <t>VÄSTRA GÖTALANDS LÄN</t>
        </is>
      </c>
      <c r="E49" t="inlineStr">
        <is>
          <t>ALE</t>
        </is>
      </c>
      <c r="G49" t="n">
        <v>1.4</v>
      </c>
      <c r="H49" t="n">
        <v>1</v>
      </c>
      <c r="I49" t="n">
        <v>0</v>
      </c>
      <c r="J49" t="n">
        <v>1</v>
      </c>
      <c r="K49" t="n">
        <v>0</v>
      </c>
      <c r="L49" t="n">
        <v>0</v>
      </c>
      <c r="M49" t="n">
        <v>0</v>
      </c>
      <c r="N49" t="n">
        <v>0</v>
      </c>
      <c r="O49" t="n">
        <v>1</v>
      </c>
      <c r="P49" t="n">
        <v>0</v>
      </c>
      <c r="Q49" t="n">
        <v>1</v>
      </c>
      <c r="R49" s="2" t="inlineStr">
        <is>
          <t>Svartvit flugsnappare</t>
        </is>
      </c>
      <c r="S49">
        <f>HYPERLINK("https://klasma.github.io/Logging_141440/artfynd/A 13902-2025 artfynd.xlsx", "A 13902-2025")</f>
        <v/>
      </c>
      <c r="T49">
        <f>HYPERLINK("https://klasma.github.io/Logging_141440/kartor/A 13902-2025 karta.png", "A 13902-2025")</f>
        <v/>
      </c>
      <c r="V49">
        <f>HYPERLINK("https://klasma.github.io/Logging_141440/klagomål/A 13902-2025 FSC-klagomål.docx", "A 13902-2025")</f>
        <v/>
      </c>
      <c r="W49">
        <f>HYPERLINK("https://klasma.github.io/Logging_141440/klagomålsmail/A 13902-2025 FSC-klagomål mail.docx", "A 13902-2025")</f>
        <v/>
      </c>
      <c r="X49">
        <f>HYPERLINK("https://klasma.github.io/Logging_141440/tillsyn/A 13902-2025 tillsynsbegäran.docx", "A 13902-2025")</f>
        <v/>
      </c>
      <c r="Y49">
        <f>HYPERLINK("https://klasma.github.io/Logging_141440/tillsynsmail/A 13902-2025 tillsynsbegäran mail.docx", "A 13902-2025")</f>
        <v/>
      </c>
      <c r="Z49">
        <f>HYPERLINK("https://klasma.github.io/Logging_141440/fåglar/A 13902-2025 prioriterade fågelarter.docx", "A 13902-2025")</f>
        <v/>
      </c>
    </row>
    <row r="50" ht="15" customHeight="1">
      <c r="A50" t="inlineStr">
        <is>
          <t>A 22015-2019</t>
        </is>
      </c>
      <c r="B50" s="1" t="n">
        <v>43584</v>
      </c>
      <c r="C50" s="1" t="n">
        <v>45784</v>
      </c>
      <c r="D50" t="inlineStr">
        <is>
          <t>VÄSTRA GÖTALANDS LÄN</t>
        </is>
      </c>
      <c r="E50" t="inlineStr">
        <is>
          <t>ALE</t>
        </is>
      </c>
      <c r="G50" t="n">
        <v>1.6</v>
      </c>
      <c r="H50" t="n">
        <v>0</v>
      </c>
      <c r="I50" t="n">
        <v>0</v>
      </c>
      <c r="J50" t="n">
        <v>0</v>
      </c>
      <c r="K50" t="n">
        <v>0</v>
      </c>
      <c r="L50" t="n">
        <v>0</v>
      </c>
      <c r="M50" t="n">
        <v>0</v>
      </c>
      <c r="N50" t="n">
        <v>0</v>
      </c>
      <c r="O50" t="n">
        <v>0</v>
      </c>
      <c r="P50" t="n">
        <v>0</v>
      </c>
      <c r="Q50" t="n">
        <v>0</v>
      </c>
      <c r="R50" s="2" t="inlineStr"/>
    </row>
    <row r="51" ht="15" customHeight="1">
      <c r="A51" t="inlineStr">
        <is>
          <t>A 50538-2019</t>
        </is>
      </c>
      <c r="B51" s="1" t="n">
        <v>43735</v>
      </c>
      <c r="C51" s="1" t="n">
        <v>45784</v>
      </c>
      <c r="D51" t="inlineStr">
        <is>
          <t>VÄSTRA GÖTALANDS LÄN</t>
        </is>
      </c>
      <c r="E51" t="inlineStr">
        <is>
          <t>ALE</t>
        </is>
      </c>
      <c r="G51" t="n">
        <v>10.9</v>
      </c>
      <c r="H51" t="n">
        <v>0</v>
      </c>
      <c r="I51" t="n">
        <v>0</v>
      </c>
      <c r="J51" t="n">
        <v>0</v>
      </c>
      <c r="K51" t="n">
        <v>0</v>
      </c>
      <c r="L51" t="n">
        <v>0</v>
      </c>
      <c r="M51" t="n">
        <v>0</v>
      </c>
      <c r="N51" t="n">
        <v>0</v>
      </c>
      <c r="O51" t="n">
        <v>0</v>
      </c>
      <c r="P51" t="n">
        <v>0</v>
      </c>
      <c r="Q51" t="n">
        <v>0</v>
      </c>
      <c r="R51" s="2" t="inlineStr"/>
    </row>
    <row r="52" ht="15" customHeight="1">
      <c r="A52" t="inlineStr">
        <is>
          <t>A 59735-2019</t>
        </is>
      </c>
      <c r="B52" s="1" t="n">
        <v>43776</v>
      </c>
      <c r="C52" s="1" t="n">
        <v>45784</v>
      </c>
      <c r="D52" t="inlineStr">
        <is>
          <t>VÄSTRA GÖTALANDS LÄN</t>
        </is>
      </c>
      <c r="E52" t="inlineStr">
        <is>
          <t>ALE</t>
        </is>
      </c>
      <c r="G52" t="n">
        <v>2</v>
      </c>
      <c r="H52" t="n">
        <v>0</v>
      </c>
      <c r="I52" t="n">
        <v>0</v>
      </c>
      <c r="J52" t="n">
        <v>0</v>
      </c>
      <c r="K52" t="n">
        <v>0</v>
      </c>
      <c r="L52" t="n">
        <v>0</v>
      </c>
      <c r="M52" t="n">
        <v>0</v>
      </c>
      <c r="N52" t="n">
        <v>0</v>
      </c>
      <c r="O52" t="n">
        <v>0</v>
      </c>
      <c r="P52" t="n">
        <v>0</v>
      </c>
      <c r="Q52" t="n">
        <v>0</v>
      </c>
      <c r="R52" s="2" t="inlineStr"/>
    </row>
    <row r="53" ht="15" customHeight="1">
      <c r="A53" t="inlineStr">
        <is>
          <t>A 60395-2019</t>
        </is>
      </c>
      <c r="B53" s="1" t="n">
        <v>43780</v>
      </c>
      <c r="C53" s="1" t="n">
        <v>45784</v>
      </c>
      <c r="D53" t="inlineStr">
        <is>
          <t>VÄSTRA GÖTALANDS LÄN</t>
        </is>
      </c>
      <c r="E53" t="inlineStr">
        <is>
          <t>ALE</t>
        </is>
      </c>
      <c r="F53" t="inlineStr">
        <is>
          <t>Kommuner</t>
        </is>
      </c>
      <c r="G53" t="n">
        <v>1.7</v>
      </c>
      <c r="H53" t="n">
        <v>0</v>
      </c>
      <c r="I53" t="n">
        <v>0</v>
      </c>
      <c r="J53" t="n">
        <v>0</v>
      </c>
      <c r="K53" t="n">
        <v>0</v>
      </c>
      <c r="L53" t="n">
        <v>0</v>
      </c>
      <c r="M53" t="n">
        <v>0</v>
      </c>
      <c r="N53" t="n">
        <v>0</v>
      </c>
      <c r="O53" t="n">
        <v>0</v>
      </c>
      <c r="P53" t="n">
        <v>0</v>
      </c>
      <c r="Q53" t="n">
        <v>0</v>
      </c>
      <c r="R53" s="2" t="inlineStr"/>
    </row>
    <row r="54" ht="15" customHeight="1">
      <c r="A54" t="inlineStr">
        <is>
          <t>A 60379-2019</t>
        </is>
      </c>
      <c r="B54" s="1" t="n">
        <v>43780</v>
      </c>
      <c r="C54" s="1" t="n">
        <v>45784</v>
      </c>
      <c r="D54" t="inlineStr">
        <is>
          <t>VÄSTRA GÖTALANDS LÄN</t>
        </is>
      </c>
      <c r="E54" t="inlineStr">
        <is>
          <t>ALE</t>
        </is>
      </c>
      <c r="F54" t="inlineStr">
        <is>
          <t>Kommuner</t>
        </is>
      </c>
      <c r="G54" t="n">
        <v>1.1</v>
      </c>
      <c r="H54" t="n">
        <v>0</v>
      </c>
      <c r="I54" t="n">
        <v>0</v>
      </c>
      <c r="J54" t="n">
        <v>0</v>
      </c>
      <c r="K54" t="n">
        <v>0</v>
      </c>
      <c r="L54" t="n">
        <v>0</v>
      </c>
      <c r="M54" t="n">
        <v>0</v>
      </c>
      <c r="N54" t="n">
        <v>0</v>
      </c>
      <c r="O54" t="n">
        <v>0</v>
      </c>
      <c r="P54" t="n">
        <v>0</v>
      </c>
      <c r="Q54" t="n">
        <v>0</v>
      </c>
      <c r="R54" s="2" t="inlineStr"/>
    </row>
    <row r="55" ht="15" customHeight="1">
      <c r="A55" t="inlineStr">
        <is>
          <t>A 60679-2019</t>
        </is>
      </c>
      <c r="B55" s="1" t="n">
        <v>43781</v>
      </c>
      <c r="C55" s="1" t="n">
        <v>45784</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377-2020</t>
        </is>
      </c>
      <c r="B56" s="1" t="n">
        <v>43837</v>
      </c>
      <c r="C56" s="1" t="n">
        <v>45784</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2843-2020</t>
        </is>
      </c>
      <c r="B57" s="1" t="n">
        <v>43850</v>
      </c>
      <c r="C57" s="1" t="n">
        <v>45784</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4879-2020</t>
        </is>
      </c>
      <c r="B58" s="1" t="n">
        <v>43859</v>
      </c>
      <c r="C58" s="1" t="n">
        <v>45784</v>
      </c>
      <c r="D58" t="inlineStr">
        <is>
          <t>VÄSTRA GÖTALANDS LÄN</t>
        </is>
      </c>
      <c r="E58" t="inlineStr">
        <is>
          <t>ALE</t>
        </is>
      </c>
      <c r="G58" t="n">
        <v>3.1</v>
      </c>
      <c r="H58" t="n">
        <v>0</v>
      </c>
      <c r="I58" t="n">
        <v>0</v>
      </c>
      <c r="J58" t="n">
        <v>0</v>
      </c>
      <c r="K58" t="n">
        <v>0</v>
      </c>
      <c r="L58" t="n">
        <v>0</v>
      </c>
      <c r="M58" t="n">
        <v>0</v>
      </c>
      <c r="N58" t="n">
        <v>0</v>
      </c>
      <c r="O58" t="n">
        <v>0</v>
      </c>
      <c r="P58" t="n">
        <v>0</v>
      </c>
      <c r="Q58" t="n">
        <v>0</v>
      </c>
      <c r="R58" s="2" t="inlineStr"/>
    </row>
    <row r="59" ht="15" customHeight="1">
      <c r="A59" t="inlineStr">
        <is>
          <t>A 7706-2020</t>
        </is>
      </c>
      <c r="B59" s="1" t="n">
        <v>43872</v>
      </c>
      <c r="C59" s="1" t="n">
        <v>45784</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7804-2020</t>
        </is>
      </c>
      <c r="B60" s="1" t="n">
        <v>43873</v>
      </c>
      <c r="C60" s="1" t="n">
        <v>45784</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9154-2020</t>
        </is>
      </c>
      <c r="B61" s="1" t="n">
        <v>43879</v>
      </c>
      <c r="C61" s="1" t="n">
        <v>45784</v>
      </c>
      <c r="D61" t="inlineStr">
        <is>
          <t>VÄSTRA GÖTALANDS LÄN</t>
        </is>
      </c>
      <c r="E61" t="inlineStr">
        <is>
          <t>ALE</t>
        </is>
      </c>
      <c r="G61" t="n">
        <v>2.7</v>
      </c>
      <c r="H61" t="n">
        <v>0</v>
      </c>
      <c r="I61" t="n">
        <v>0</v>
      </c>
      <c r="J61" t="n">
        <v>0</v>
      </c>
      <c r="K61" t="n">
        <v>0</v>
      </c>
      <c r="L61" t="n">
        <v>0</v>
      </c>
      <c r="M61" t="n">
        <v>0</v>
      </c>
      <c r="N61" t="n">
        <v>0</v>
      </c>
      <c r="O61" t="n">
        <v>0</v>
      </c>
      <c r="P61" t="n">
        <v>0</v>
      </c>
      <c r="Q61" t="n">
        <v>0</v>
      </c>
      <c r="R61" s="2" t="inlineStr"/>
    </row>
    <row r="62" ht="15" customHeight="1">
      <c r="A62" t="inlineStr">
        <is>
          <t>A 10079-2020</t>
        </is>
      </c>
      <c r="B62" s="1" t="n">
        <v>43886</v>
      </c>
      <c r="C62" s="1" t="n">
        <v>45784</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13432-2020</t>
        </is>
      </c>
      <c r="B63" s="1" t="n">
        <v>43902</v>
      </c>
      <c r="C63" s="1" t="n">
        <v>45784</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21077-2020</t>
        </is>
      </c>
      <c r="B64" s="1" t="n">
        <v>43951</v>
      </c>
      <c r="C64" s="1" t="n">
        <v>45784</v>
      </c>
      <c r="D64" t="inlineStr">
        <is>
          <t>VÄSTRA GÖTALANDS LÄN</t>
        </is>
      </c>
      <c r="E64" t="inlineStr">
        <is>
          <t>ALE</t>
        </is>
      </c>
      <c r="G64" t="n">
        <v>4.4</v>
      </c>
      <c r="H64" t="n">
        <v>0</v>
      </c>
      <c r="I64" t="n">
        <v>0</v>
      </c>
      <c r="J64" t="n">
        <v>0</v>
      </c>
      <c r="K64" t="n">
        <v>0</v>
      </c>
      <c r="L64" t="n">
        <v>0</v>
      </c>
      <c r="M64" t="n">
        <v>0</v>
      </c>
      <c r="N64" t="n">
        <v>0</v>
      </c>
      <c r="O64" t="n">
        <v>0</v>
      </c>
      <c r="P64" t="n">
        <v>0</v>
      </c>
      <c r="Q64" t="n">
        <v>0</v>
      </c>
      <c r="R64" s="2" t="inlineStr"/>
    </row>
    <row r="65" ht="15" customHeight="1">
      <c r="A65" t="inlineStr">
        <is>
          <t>A 23099-2020</t>
        </is>
      </c>
      <c r="B65" s="1" t="n">
        <v>43965</v>
      </c>
      <c r="C65" s="1" t="n">
        <v>45784</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27496-2020</t>
        </is>
      </c>
      <c r="B66" s="1" t="n">
        <v>43993</v>
      </c>
      <c r="C66" s="1" t="n">
        <v>45784</v>
      </c>
      <c r="D66" t="inlineStr">
        <is>
          <t>VÄSTRA GÖTALANDS LÄN</t>
        </is>
      </c>
      <c r="E66" t="inlineStr">
        <is>
          <t>ALE</t>
        </is>
      </c>
      <c r="G66" t="n">
        <v>3.5</v>
      </c>
      <c r="H66" t="n">
        <v>0</v>
      </c>
      <c r="I66" t="n">
        <v>0</v>
      </c>
      <c r="J66" t="n">
        <v>0</v>
      </c>
      <c r="K66" t="n">
        <v>0</v>
      </c>
      <c r="L66" t="n">
        <v>0</v>
      </c>
      <c r="M66" t="n">
        <v>0</v>
      </c>
      <c r="N66" t="n">
        <v>0</v>
      </c>
      <c r="O66" t="n">
        <v>0</v>
      </c>
      <c r="P66" t="n">
        <v>0</v>
      </c>
      <c r="Q66" t="n">
        <v>0</v>
      </c>
      <c r="R66" s="2" t="inlineStr"/>
    </row>
    <row r="67" ht="15" customHeight="1">
      <c r="A67" t="inlineStr">
        <is>
          <t>A 29258-2020</t>
        </is>
      </c>
      <c r="B67" s="1" t="n">
        <v>44004</v>
      </c>
      <c r="C67" s="1" t="n">
        <v>45784</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31247-2020</t>
        </is>
      </c>
      <c r="B68" s="1" t="n">
        <v>44012</v>
      </c>
      <c r="C68" s="1" t="n">
        <v>45784</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52839-2020</t>
        </is>
      </c>
      <c r="B69" s="1" t="n">
        <v>44118</v>
      </c>
      <c r="C69" s="1" t="n">
        <v>45784</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58099-2020</t>
        </is>
      </c>
      <c r="B70" s="1" t="n">
        <v>44144</v>
      </c>
      <c r="C70" s="1" t="n">
        <v>45784</v>
      </c>
      <c r="D70" t="inlineStr">
        <is>
          <t>VÄSTRA GÖTALANDS LÄN</t>
        </is>
      </c>
      <c r="E70" t="inlineStr">
        <is>
          <t>ALE</t>
        </is>
      </c>
      <c r="G70" t="n">
        <v>4.6</v>
      </c>
      <c r="H70" t="n">
        <v>0</v>
      </c>
      <c r="I70" t="n">
        <v>0</v>
      </c>
      <c r="J70" t="n">
        <v>0</v>
      </c>
      <c r="K70" t="n">
        <v>0</v>
      </c>
      <c r="L70" t="n">
        <v>0</v>
      </c>
      <c r="M70" t="n">
        <v>0</v>
      </c>
      <c r="N70" t="n">
        <v>0</v>
      </c>
      <c r="O70" t="n">
        <v>0</v>
      </c>
      <c r="P70" t="n">
        <v>0</v>
      </c>
      <c r="Q70" t="n">
        <v>0</v>
      </c>
      <c r="R70" s="2" t="inlineStr"/>
    </row>
    <row r="71" ht="15" customHeight="1">
      <c r="A71" t="inlineStr">
        <is>
          <t>A 66466-2020</t>
        </is>
      </c>
      <c r="B71" s="1" t="n">
        <v>44176</v>
      </c>
      <c r="C71" s="1" t="n">
        <v>45784</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66467-2020</t>
        </is>
      </c>
      <c r="B72" s="1" t="n">
        <v>44176</v>
      </c>
      <c r="C72" s="1" t="n">
        <v>45784</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66551-2020</t>
        </is>
      </c>
      <c r="B73" s="1" t="n">
        <v>44179</v>
      </c>
      <c r="C73" s="1" t="n">
        <v>45784</v>
      </c>
      <c r="D73" t="inlineStr">
        <is>
          <t>VÄSTRA GÖTALANDS LÄN</t>
        </is>
      </c>
      <c r="E73" t="inlineStr">
        <is>
          <t>ALE</t>
        </is>
      </c>
      <c r="G73" t="n">
        <v>4.5</v>
      </c>
      <c r="H73" t="n">
        <v>0</v>
      </c>
      <c r="I73" t="n">
        <v>0</v>
      </c>
      <c r="J73" t="n">
        <v>0</v>
      </c>
      <c r="K73" t="n">
        <v>0</v>
      </c>
      <c r="L73" t="n">
        <v>0</v>
      </c>
      <c r="M73" t="n">
        <v>0</v>
      </c>
      <c r="N73" t="n">
        <v>0</v>
      </c>
      <c r="O73" t="n">
        <v>0</v>
      </c>
      <c r="P73" t="n">
        <v>0</v>
      </c>
      <c r="Q73" t="n">
        <v>0</v>
      </c>
      <c r="R73" s="2" t="inlineStr"/>
    </row>
    <row r="74" ht="15" customHeight="1">
      <c r="A74" t="inlineStr">
        <is>
          <t>A 69325-2020</t>
        </is>
      </c>
      <c r="B74" s="1" t="n">
        <v>44193</v>
      </c>
      <c r="C74" s="1" t="n">
        <v>45784</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69359-2020</t>
        </is>
      </c>
      <c r="B75" s="1" t="n">
        <v>44193</v>
      </c>
      <c r="C75" s="1" t="n">
        <v>45784</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2003-2021</t>
        </is>
      </c>
      <c r="B76" s="1" t="n">
        <v>44210</v>
      </c>
      <c r="C76" s="1" t="n">
        <v>45784</v>
      </c>
      <c r="D76" t="inlineStr">
        <is>
          <t>VÄSTRA GÖTALANDS LÄN</t>
        </is>
      </c>
      <c r="E76" t="inlineStr">
        <is>
          <t>ALE</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3293-2021</t>
        </is>
      </c>
      <c r="B77" s="1" t="n">
        <v>44217</v>
      </c>
      <c r="C77" s="1" t="n">
        <v>45784</v>
      </c>
      <c r="D77" t="inlineStr">
        <is>
          <t>VÄSTRA GÖTALANDS LÄN</t>
        </is>
      </c>
      <c r="E77" t="inlineStr">
        <is>
          <t>ALE</t>
        </is>
      </c>
      <c r="G77" t="n">
        <v>4.2</v>
      </c>
      <c r="H77" t="n">
        <v>0</v>
      </c>
      <c r="I77" t="n">
        <v>0</v>
      </c>
      <c r="J77" t="n">
        <v>0</v>
      </c>
      <c r="K77" t="n">
        <v>0</v>
      </c>
      <c r="L77" t="n">
        <v>0</v>
      </c>
      <c r="M77" t="n">
        <v>0</v>
      </c>
      <c r="N77" t="n">
        <v>0</v>
      </c>
      <c r="O77" t="n">
        <v>0</v>
      </c>
      <c r="P77" t="n">
        <v>0</v>
      </c>
      <c r="Q77" t="n">
        <v>0</v>
      </c>
      <c r="R77" s="2" t="inlineStr"/>
    </row>
    <row r="78" ht="15" customHeight="1">
      <c r="A78" t="inlineStr">
        <is>
          <t>A 13462-2021</t>
        </is>
      </c>
      <c r="B78" s="1" t="n">
        <v>44273</v>
      </c>
      <c r="C78" s="1" t="n">
        <v>45784</v>
      </c>
      <c r="D78" t="inlineStr">
        <is>
          <t>VÄSTRA GÖTALANDS LÄN</t>
        </is>
      </c>
      <c r="E78" t="inlineStr">
        <is>
          <t>ALE</t>
        </is>
      </c>
      <c r="G78" t="n">
        <v>7.4</v>
      </c>
      <c r="H78" t="n">
        <v>0</v>
      </c>
      <c r="I78" t="n">
        <v>0</v>
      </c>
      <c r="J78" t="n">
        <v>0</v>
      </c>
      <c r="K78" t="n">
        <v>0</v>
      </c>
      <c r="L78" t="n">
        <v>0</v>
      </c>
      <c r="M78" t="n">
        <v>0</v>
      </c>
      <c r="N78" t="n">
        <v>0</v>
      </c>
      <c r="O78" t="n">
        <v>0</v>
      </c>
      <c r="P78" t="n">
        <v>0</v>
      </c>
      <c r="Q78" t="n">
        <v>0</v>
      </c>
      <c r="R78" s="2" t="inlineStr"/>
    </row>
    <row r="79" ht="15" customHeight="1">
      <c r="A79" t="inlineStr">
        <is>
          <t>A 14517-2021</t>
        </is>
      </c>
      <c r="B79" s="1" t="n">
        <v>44279</v>
      </c>
      <c r="C79" s="1" t="n">
        <v>45784</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17283-2021</t>
        </is>
      </c>
      <c r="B80" s="1" t="n">
        <v>44298</v>
      </c>
      <c r="C80" s="1" t="n">
        <v>45784</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17286-2021</t>
        </is>
      </c>
      <c r="B81" s="1" t="n">
        <v>44298</v>
      </c>
      <c r="C81" s="1" t="n">
        <v>45784</v>
      </c>
      <c r="D81" t="inlineStr">
        <is>
          <t>VÄSTRA GÖTALANDS LÄN</t>
        </is>
      </c>
      <c r="E81" t="inlineStr">
        <is>
          <t>ALE</t>
        </is>
      </c>
      <c r="G81" t="n">
        <v>3.3</v>
      </c>
      <c r="H81" t="n">
        <v>0</v>
      </c>
      <c r="I81" t="n">
        <v>0</v>
      </c>
      <c r="J81" t="n">
        <v>0</v>
      </c>
      <c r="K81" t="n">
        <v>0</v>
      </c>
      <c r="L81" t="n">
        <v>0</v>
      </c>
      <c r="M81" t="n">
        <v>0</v>
      </c>
      <c r="N81" t="n">
        <v>0</v>
      </c>
      <c r="O81" t="n">
        <v>0</v>
      </c>
      <c r="P81" t="n">
        <v>0</v>
      </c>
      <c r="Q81" t="n">
        <v>0</v>
      </c>
      <c r="R81" s="2" t="inlineStr"/>
    </row>
    <row r="82" ht="15" customHeight="1">
      <c r="A82" t="inlineStr">
        <is>
          <t>A 18999-2021</t>
        </is>
      </c>
      <c r="B82" s="1" t="n">
        <v>44308</v>
      </c>
      <c r="C82" s="1" t="n">
        <v>45784</v>
      </c>
      <c r="D82" t="inlineStr">
        <is>
          <t>VÄSTRA GÖTALANDS LÄN</t>
        </is>
      </c>
      <c r="E82" t="inlineStr">
        <is>
          <t>ALE</t>
        </is>
      </c>
      <c r="G82" t="n">
        <v>3.7</v>
      </c>
      <c r="H82" t="n">
        <v>0</v>
      </c>
      <c r="I82" t="n">
        <v>0</v>
      </c>
      <c r="J82" t="n">
        <v>0</v>
      </c>
      <c r="K82" t="n">
        <v>0</v>
      </c>
      <c r="L82" t="n">
        <v>0</v>
      </c>
      <c r="M82" t="n">
        <v>0</v>
      </c>
      <c r="N82" t="n">
        <v>0</v>
      </c>
      <c r="O82" t="n">
        <v>0</v>
      </c>
      <c r="P82" t="n">
        <v>0</v>
      </c>
      <c r="Q82" t="n">
        <v>0</v>
      </c>
      <c r="R82" s="2" t="inlineStr"/>
    </row>
    <row r="83" ht="15" customHeight="1">
      <c r="A83" t="inlineStr">
        <is>
          <t>A 21026-2021</t>
        </is>
      </c>
      <c r="B83" s="1" t="n">
        <v>44319</v>
      </c>
      <c r="C83" s="1" t="n">
        <v>45784</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21281-2021</t>
        </is>
      </c>
      <c r="B84" s="1" t="n">
        <v>44320</v>
      </c>
      <c r="C84" s="1" t="n">
        <v>45784</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22138-2021</t>
        </is>
      </c>
      <c r="B85" s="1" t="n">
        <v>44324</v>
      </c>
      <c r="C85" s="1" t="n">
        <v>45784</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25632-2021</t>
        </is>
      </c>
      <c r="B86" s="1" t="n">
        <v>44343</v>
      </c>
      <c r="C86" s="1" t="n">
        <v>45784</v>
      </c>
      <c r="D86" t="inlineStr">
        <is>
          <t>VÄSTRA GÖTALANDS LÄN</t>
        </is>
      </c>
      <c r="E86" t="inlineStr">
        <is>
          <t>ALE</t>
        </is>
      </c>
      <c r="G86" t="n">
        <v>3.2</v>
      </c>
      <c r="H86" t="n">
        <v>0</v>
      </c>
      <c r="I86" t="n">
        <v>0</v>
      </c>
      <c r="J86" t="n">
        <v>0</v>
      </c>
      <c r="K86" t="n">
        <v>0</v>
      </c>
      <c r="L86" t="n">
        <v>0</v>
      </c>
      <c r="M86" t="n">
        <v>0</v>
      </c>
      <c r="N86" t="n">
        <v>0</v>
      </c>
      <c r="O86" t="n">
        <v>0</v>
      </c>
      <c r="P86" t="n">
        <v>0</v>
      </c>
      <c r="Q86" t="n">
        <v>0</v>
      </c>
      <c r="R86" s="2" t="inlineStr"/>
    </row>
    <row r="87" ht="15" customHeight="1">
      <c r="A87" t="inlineStr">
        <is>
          <t>A 27314-2021</t>
        </is>
      </c>
      <c r="B87" s="1" t="n">
        <v>44351</v>
      </c>
      <c r="C87" s="1" t="n">
        <v>45784</v>
      </c>
      <c r="D87" t="inlineStr">
        <is>
          <t>VÄSTRA GÖTALANDS LÄN</t>
        </is>
      </c>
      <c r="E87" t="inlineStr">
        <is>
          <t>ALE</t>
        </is>
      </c>
      <c r="G87" t="n">
        <v>11.3</v>
      </c>
      <c r="H87" t="n">
        <v>0</v>
      </c>
      <c r="I87" t="n">
        <v>0</v>
      </c>
      <c r="J87" t="n">
        <v>0</v>
      </c>
      <c r="K87" t="n">
        <v>0</v>
      </c>
      <c r="L87" t="n">
        <v>0</v>
      </c>
      <c r="M87" t="n">
        <v>0</v>
      </c>
      <c r="N87" t="n">
        <v>0</v>
      </c>
      <c r="O87" t="n">
        <v>0</v>
      </c>
      <c r="P87" t="n">
        <v>0</v>
      </c>
      <c r="Q87" t="n">
        <v>0</v>
      </c>
      <c r="R87" s="2" t="inlineStr"/>
    </row>
    <row r="88" ht="15" customHeight="1">
      <c r="A88" t="inlineStr">
        <is>
          <t>A 31566-2021</t>
        </is>
      </c>
      <c r="B88" s="1" t="n">
        <v>44369</v>
      </c>
      <c r="C88" s="1" t="n">
        <v>45784</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31568-2021</t>
        </is>
      </c>
      <c r="B89" s="1" t="n">
        <v>44369</v>
      </c>
      <c r="C89" s="1" t="n">
        <v>45784</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35148-2021</t>
        </is>
      </c>
      <c r="B90" s="1" t="n">
        <v>44384</v>
      </c>
      <c r="C90" s="1" t="n">
        <v>45784</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36394-2021</t>
        </is>
      </c>
      <c r="B91" s="1" t="n">
        <v>44389</v>
      </c>
      <c r="C91" s="1" t="n">
        <v>45784</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45986-2021</t>
        </is>
      </c>
      <c r="B92" s="1" t="n">
        <v>44441</v>
      </c>
      <c r="C92" s="1" t="n">
        <v>45784</v>
      </c>
      <c r="D92" t="inlineStr">
        <is>
          <t>VÄSTRA GÖTALANDS LÄN</t>
        </is>
      </c>
      <c r="E92" t="inlineStr">
        <is>
          <t>ALE</t>
        </is>
      </c>
      <c r="G92" t="n">
        <v>1.4</v>
      </c>
      <c r="H92" t="n">
        <v>0</v>
      </c>
      <c r="I92" t="n">
        <v>0</v>
      </c>
      <c r="J92" t="n">
        <v>0</v>
      </c>
      <c r="K92" t="n">
        <v>0</v>
      </c>
      <c r="L92" t="n">
        <v>0</v>
      </c>
      <c r="M92" t="n">
        <v>0</v>
      </c>
      <c r="N92" t="n">
        <v>0</v>
      </c>
      <c r="O92" t="n">
        <v>0</v>
      </c>
      <c r="P92" t="n">
        <v>0</v>
      </c>
      <c r="Q92" t="n">
        <v>0</v>
      </c>
      <c r="R92" s="2" t="inlineStr"/>
    </row>
    <row r="93" ht="15" customHeight="1">
      <c r="A93" t="inlineStr">
        <is>
          <t>A 45988-2021</t>
        </is>
      </c>
      <c r="B93" s="1" t="n">
        <v>44441</v>
      </c>
      <c r="C93" s="1" t="n">
        <v>45784</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46391-2021</t>
        </is>
      </c>
      <c r="B94" s="1" t="n">
        <v>44443</v>
      </c>
      <c r="C94" s="1" t="n">
        <v>45784</v>
      </c>
      <c r="D94" t="inlineStr">
        <is>
          <t>VÄSTRA GÖTALANDS LÄN</t>
        </is>
      </c>
      <c r="E94" t="inlineStr">
        <is>
          <t>ALE</t>
        </is>
      </c>
      <c r="G94" t="n">
        <v>1.3</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45784</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53144-2021</t>
        </is>
      </c>
      <c r="B96" s="1" t="n">
        <v>44468</v>
      </c>
      <c r="C96" s="1" t="n">
        <v>45784</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55405-2021</t>
        </is>
      </c>
      <c r="B97" s="1" t="n">
        <v>44475</v>
      </c>
      <c r="C97" s="1" t="n">
        <v>45784</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56493-2021</t>
        </is>
      </c>
      <c r="B98" s="1" t="n">
        <v>44480</v>
      </c>
      <c r="C98" s="1" t="n">
        <v>45784</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62855-2021</t>
        </is>
      </c>
      <c r="B99" s="1" t="n">
        <v>44504</v>
      </c>
      <c r="C99" s="1" t="n">
        <v>45784</v>
      </c>
      <c r="D99" t="inlineStr">
        <is>
          <t>VÄSTRA GÖTALANDS LÄN</t>
        </is>
      </c>
      <c r="E99" t="inlineStr">
        <is>
          <t>ALE</t>
        </is>
      </c>
      <c r="G99" t="n">
        <v>5.6</v>
      </c>
      <c r="H99" t="n">
        <v>0</v>
      </c>
      <c r="I99" t="n">
        <v>0</v>
      </c>
      <c r="J99" t="n">
        <v>0</v>
      </c>
      <c r="K99" t="n">
        <v>0</v>
      </c>
      <c r="L99" t="n">
        <v>0</v>
      </c>
      <c r="M99" t="n">
        <v>0</v>
      </c>
      <c r="N99" t="n">
        <v>0</v>
      </c>
      <c r="O99" t="n">
        <v>0</v>
      </c>
      <c r="P99" t="n">
        <v>0</v>
      </c>
      <c r="Q99" t="n">
        <v>0</v>
      </c>
      <c r="R99" s="2" t="inlineStr"/>
    </row>
    <row r="100" ht="15" customHeight="1">
      <c r="A100" t="inlineStr">
        <is>
          <t>A 64199-2021</t>
        </is>
      </c>
      <c r="B100" s="1" t="n">
        <v>44510</v>
      </c>
      <c r="C100" s="1" t="n">
        <v>45784</v>
      </c>
      <c r="D100" t="inlineStr">
        <is>
          <t>VÄSTRA GÖTALANDS LÄN</t>
        </is>
      </c>
      <c r="E100" t="inlineStr">
        <is>
          <t>ALE</t>
        </is>
      </c>
      <c r="G100" t="n">
        <v>5.7</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45784</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65222-2021</t>
        </is>
      </c>
      <c r="B102" s="1" t="n">
        <v>44515</v>
      </c>
      <c r="C102" s="1" t="n">
        <v>45784</v>
      </c>
      <c r="D102" t="inlineStr">
        <is>
          <t>VÄSTRA GÖTALANDS LÄN</t>
        </is>
      </c>
      <c r="E102" t="inlineStr">
        <is>
          <t>ALE</t>
        </is>
      </c>
      <c r="G102" t="n">
        <v>1.2</v>
      </c>
      <c r="H102" t="n">
        <v>0</v>
      </c>
      <c r="I102" t="n">
        <v>0</v>
      </c>
      <c r="J102" t="n">
        <v>0</v>
      </c>
      <c r="K102" t="n">
        <v>0</v>
      </c>
      <c r="L102" t="n">
        <v>0</v>
      </c>
      <c r="M102" t="n">
        <v>0</v>
      </c>
      <c r="N102" t="n">
        <v>0</v>
      </c>
      <c r="O102" t="n">
        <v>0</v>
      </c>
      <c r="P102" t="n">
        <v>0</v>
      </c>
      <c r="Q102" t="n">
        <v>0</v>
      </c>
      <c r="R102" s="2" t="inlineStr"/>
    </row>
    <row r="103" ht="15" customHeight="1">
      <c r="A103" t="inlineStr">
        <is>
          <t>A 66893-2021</t>
        </is>
      </c>
      <c r="B103" s="1" t="n">
        <v>44522</v>
      </c>
      <c r="C103" s="1" t="n">
        <v>45784</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67165-2021</t>
        </is>
      </c>
      <c r="B104" s="1" t="n">
        <v>44523</v>
      </c>
      <c r="C104" s="1" t="n">
        <v>45784</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67160-2021</t>
        </is>
      </c>
      <c r="B105" s="1" t="n">
        <v>44523</v>
      </c>
      <c r="C105" s="1" t="n">
        <v>45784</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45784</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200-2022</t>
        </is>
      </c>
      <c r="B107" s="1" t="n">
        <v>44564</v>
      </c>
      <c r="C107" s="1" t="n">
        <v>45784</v>
      </c>
      <c r="D107" t="inlineStr">
        <is>
          <t>VÄSTRA GÖTALANDS LÄN</t>
        </is>
      </c>
      <c r="E107" t="inlineStr">
        <is>
          <t>ALE</t>
        </is>
      </c>
      <c r="G107" t="n">
        <v>6.8</v>
      </c>
      <c r="H107" t="n">
        <v>0</v>
      </c>
      <c r="I107" t="n">
        <v>0</v>
      </c>
      <c r="J107" t="n">
        <v>0</v>
      </c>
      <c r="K107" t="n">
        <v>0</v>
      </c>
      <c r="L107" t="n">
        <v>0</v>
      </c>
      <c r="M107" t="n">
        <v>0</v>
      </c>
      <c r="N107" t="n">
        <v>0</v>
      </c>
      <c r="O107" t="n">
        <v>0</v>
      </c>
      <c r="P107" t="n">
        <v>0</v>
      </c>
      <c r="Q107" t="n">
        <v>0</v>
      </c>
      <c r="R107" s="2" t="inlineStr"/>
    </row>
    <row r="108" ht="15" customHeight="1">
      <c r="A108" t="inlineStr">
        <is>
          <t>A 1566-2022</t>
        </is>
      </c>
      <c r="B108" s="1" t="n">
        <v>44573</v>
      </c>
      <c r="C108" s="1" t="n">
        <v>45784</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2563-2022</t>
        </is>
      </c>
      <c r="B109" s="1" t="n">
        <v>44580</v>
      </c>
      <c r="C109" s="1" t="n">
        <v>45784</v>
      </c>
      <c r="D109" t="inlineStr">
        <is>
          <t>VÄSTRA GÖTALANDS LÄN</t>
        </is>
      </c>
      <c r="E109" t="inlineStr">
        <is>
          <t>ALE</t>
        </is>
      </c>
      <c r="G109" t="n">
        <v>2.6</v>
      </c>
      <c r="H109" t="n">
        <v>0</v>
      </c>
      <c r="I109" t="n">
        <v>0</v>
      </c>
      <c r="J109" t="n">
        <v>0</v>
      </c>
      <c r="K109" t="n">
        <v>0</v>
      </c>
      <c r="L109" t="n">
        <v>0</v>
      </c>
      <c r="M109" t="n">
        <v>0</v>
      </c>
      <c r="N109" t="n">
        <v>0</v>
      </c>
      <c r="O109" t="n">
        <v>0</v>
      </c>
      <c r="P109" t="n">
        <v>0</v>
      </c>
      <c r="Q109" t="n">
        <v>0</v>
      </c>
      <c r="R109" s="2" t="inlineStr"/>
    </row>
    <row r="110" ht="15" customHeight="1">
      <c r="A110" t="inlineStr">
        <is>
          <t>A 3179-2022</t>
        </is>
      </c>
      <c r="B110" s="1" t="n">
        <v>44582</v>
      </c>
      <c r="C110" s="1" t="n">
        <v>45784</v>
      </c>
      <c r="D110" t="inlineStr">
        <is>
          <t>VÄSTRA GÖTALANDS LÄN</t>
        </is>
      </c>
      <c r="E110" t="inlineStr">
        <is>
          <t>ALE</t>
        </is>
      </c>
      <c r="G110" t="n">
        <v>2.9</v>
      </c>
      <c r="H110" t="n">
        <v>0</v>
      </c>
      <c r="I110" t="n">
        <v>0</v>
      </c>
      <c r="J110" t="n">
        <v>0</v>
      </c>
      <c r="K110" t="n">
        <v>0</v>
      </c>
      <c r="L110" t="n">
        <v>0</v>
      </c>
      <c r="M110" t="n">
        <v>0</v>
      </c>
      <c r="N110" t="n">
        <v>0</v>
      </c>
      <c r="O110" t="n">
        <v>0</v>
      </c>
      <c r="P110" t="n">
        <v>0</v>
      </c>
      <c r="Q110" t="n">
        <v>0</v>
      </c>
      <c r="R110" s="2" t="inlineStr"/>
    </row>
    <row r="111" ht="15" customHeight="1">
      <c r="A111" t="inlineStr">
        <is>
          <t>A 3457-2022</t>
        </is>
      </c>
      <c r="B111" s="1" t="n">
        <v>44585</v>
      </c>
      <c r="C111" s="1" t="n">
        <v>45784</v>
      </c>
      <c r="D111" t="inlineStr">
        <is>
          <t>VÄSTRA GÖTALANDS LÄN</t>
        </is>
      </c>
      <c r="E111" t="inlineStr">
        <is>
          <t>ALE</t>
        </is>
      </c>
      <c r="G111" t="n">
        <v>5.1</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v>
      </c>
      <c r="C112" s="1" t="n">
        <v>45784</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8609-2022</t>
        </is>
      </c>
      <c r="B113" s="1" t="n">
        <v>44613</v>
      </c>
      <c r="C113" s="1" t="n">
        <v>45784</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45784</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45784</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14736-2022</t>
        </is>
      </c>
      <c r="B116" s="1" t="n">
        <v>44656</v>
      </c>
      <c r="C116" s="1" t="n">
        <v>45784</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14751-2022</t>
        </is>
      </c>
      <c r="B117" s="1" t="n">
        <v>44656</v>
      </c>
      <c r="C117" s="1" t="n">
        <v>45784</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14731-2022</t>
        </is>
      </c>
      <c r="B118" s="1" t="n">
        <v>44656</v>
      </c>
      <c r="C118" s="1" t="n">
        <v>45784</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15499-2022</t>
        </is>
      </c>
      <c r="B119" s="1" t="n">
        <v>44662</v>
      </c>
      <c r="C119" s="1" t="n">
        <v>45784</v>
      </c>
      <c r="D119" t="inlineStr">
        <is>
          <t>VÄSTRA GÖTALANDS LÄN</t>
        </is>
      </c>
      <c r="E119" t="inlineStr">
        <is>
          <t>ALE</t>
        </is>
      </c>
      <c r="G119" t="n">
        <v>4.7</v>
      </c>
      <c r="H119" t="n">
        <v>0</v>
      </c>
      <c r="I119" t="n">
        <v>0</v>
      </c>
      <c r="J119" t="n">
        <v>0</v>
      </c>
      <c r="K119" t="n">
        <v>0</v>
      </c>
      <c r="L119" t="n">
        <v>0</v>
      </c>
      <c r="M119" t="n">
        <v>0</v>
      </c>
      <c r="N119" t="n">
        <v>0</v>
      </c>
      <c r="O119" t="n">
        <v>0</v>
      </c>
      <c r="P119" t="n">
        <v>0</v>
      </c>
      <c r="Q119" t="n">
        <v>0</v>
      </c>
      <c r="R119" s="2" t="inlineStr"/>
    </row>
    <row r="120" ht="15" customHeight="1">
      <c r="A120" t="inlineStr">
        <is>
          <t>A 15508-2022</t>
        </is>
      </c>
      <c r="B120" s="1" t="n">
        <v>44662</v>
      </c>
      <c r="C120" s="1" t="n">
        <v>45784</v>
      </c>
      <c r="D120" t="inlineStr">
        <is>
          <t>VÄSTRA GÖTALANDS LÄN</t>
        </is>
      </c>
      <c r="E120" t="inlineStr">
        <is>
          <t>ALE</t>
        </is>
      </c>
      <c r="G120" t="n">
        <v>0.4</v>
      </c>
      <c r="H120" t="n">
        <v>0</v>
      </c>
      <c r="I120" t="n">
        <v>0</v>
      </c>
      <c r="J120" t="n">
        <v>0</v>
      </c>
      <c r="K120" t="n">
        <v>0</v>
      </c>
      <c r="L120" t="n">
        <v>0</v>
      </c>
      <c r="M120" t="n">
        <v>0</v>
      </c>
      <c r="N120" t="n">
        <v>0</v>
      </c>
      <c r="O120" t="n">
        <v>0</v>
      </c>
      <c r="P120" t="n">
        <v>0</v>
      </c>
      <c r="Q120" t="n">
        <v>0</v>
      </c>
      <c r="R120" s="2" t="inlineStr"/>
    </row>
    <row r="121" ht="15" customHeight="1">
      <c r="A121" t="inlineStr">
        <is>
          <t>A 20285-2022</t>
        </is>
      </c>
      <c r="B121" s="1" t="n">
        <v>44698</v>
      </c>
      <c r="C121" s="1" t="n">
        <v>45784</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22358-2022</t>
        </is>
      </c>
      <c r="B122" s="1" t="n">
        <v>44712</v>
      </c>
      <c r="C122" s="1" t="n">
        <v>45784</v>
      </c>
      <c r="D122" t="inlineStr">
        <is>
          <t>VÄSTRA GÖTALANDS LÄN</t>
        </is>
      </c>
      <c r="E122" t="inlineStr">
        <is>
          <t>ALE</t>
        </is>
      </c>
      <c r="G122" t="n">
        <v>1.5</v>
      </c>
      <c r="H122" t="n">
        <v>0</v>
      </c>
      <c r="I122" t="n">
        <v>0</v>
      </c>
      <c r="J122" t="n">
        <v>0</v>
      </c>
      <c r="K122" t="n">
        <v>0</v>
      </c>
      <c r="L122" t="n">
        <v>0</v>
      </c>
      <c r="M122" t="n">
        <v>0</v>
      </c>
      <c r="N122" t="n">
        <v>0</v>
      </c>
      <c r="O122" t="n">
        <v>0</v>
      </c>
      <c r="P122" t="n">
        <v>0</v>
      </c>
      <c r="Q122" t="n">
        <v>0</v>
      </c>
      <c r="R122" s="2" t="inlineStr"/>
    </row>
    <row r="123" ht="15" customHeight="1">
      <c r="A123" t="inlineStr">
        <is>
          <t>A 24644-2022</t>
        </is>
      </c>
      <c r="B123" s="1" t="n">
        <v>44727</v>
      </c>
      <c r="C123" s="1" t="n">
        <v>45784</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24642-2022</t>
        </is>
      </c>
      <c r="B124" s="1" t="n">
        <v>44727</v>
      </c>
      <c r="C124" s="1" t="n">
        <v>45784</v>
      </c>
      <c r="D124" t="inlineStr">
        <is>
          <t>VÄSTRA GÖTALANDS LÄN</t>
        </is>
      </c>
      <c r="E124" t="inlineStr">
        <is>
          <t>ALE</t>
        </is>
      </c>
      <c r="G124" t="n">
        <v>10</v>
      </c>
      <c r="H124" t="n">
        <v>0</v>
      </c>
      <c r="I124" t="n">
        <v>0</v>
      </c>
      <c r="J124" t="n">
        <v>0</v>
      </c>
      <c r="K124" t="n">
        <v>0</v>
      </c>
      <c r="L124" t="n">
        <v>0</v>
      </c>
      <c r="M124" t="n">
        <v>0</v>
      </c>
      <c r="N124" t="n">
        <v>0</v>
      </c>
      <c r="O124" t="n">
        <v>0</v>
      </c>
      <c r="P124" t="n">
        <v>0</v>
      </c>
      <c r="Q124" t="n">
        <v>0</v>
      </c>
      <c r="R124" s="2" t="inlineStr"/>
    </row>
    <row r="125" ht="15" customHeight="1">
      <c r="A125" t="inlineStr">
        <is>
          <t>A 24649-2022</t>
        </is>
      </c>
      <c r="B125" s="1" t="n">
        <v>44727</v>
      </c>
      <c r="C125" s="1" t="n">
        <v>45784</v>
      </c>
      <c r="D125" t="inlineStr">
        <is>
          <t>VÄSTRA GÖTALANDS LÄN</t>
        </is>
      </c>
      <c r="E125" t="inlineStr">
        <is>
          <t>ALE</t>
        </is>
      </c>
      <c r="G125" t="n">
        <v>10</v>
      </c>
      <c r="H125" t="n">
        <v>0</v>
      </c>
      <c r="I125" t="n">
        <v>0</v>
      </c>
      <c r="J125" t="n">
        <v>0</v>
      </c>
      <c r="K125" t="n">
        <v>0</v>
      </c>
      <c r="L125" t="n">
        <v>0</v>
      </c>
      <c r="M125" t="n">
        <v>0</v>
      </c>
      <c r="N125" t="n">
        <v>0</v>
      </c>
      <c r="O125" t="n">
        <v>0</v>
      </c>
      <c r="P125" t="n">
        <v>0</v>
      </c>
      <c r="Q125" t="n">
        <v>0</v>
      </c>
      <c r="R125" s="2" t="inlineStr"/>
    </row>
    <row r="126" ht="15" customHeight="1">
      <c r="A126" t="inlineStr">
        <is>
          <t>A 26983-2022</t>
        </is>
      </c>
      <c r="B126" s="1" t="n">
        <v>44740</v>
      </c>
      <c r="C126" s="1" t="n">
        <v>45784</v>
      </c>
      <c r="D126" t="inlineStr">
        <is>
          <t>VÄSTRA GÖTALANDS LÄN</t>
        </is>
      </c>
      <c r="E126" t="inlineStr">
        <is>
          <t>ALE</t>
        </is>
      </c>
      <c r="F126" t="inlineStr">
        <is>
          <t>Kommuner</t>
        </is>
      </c>
      <c r="G126" t="n">
        <v>0.5</v>
      </c>
      <c r="H126" t="n">
        <v>0</v>
      </c>
      <c r="I126" t="n">
        <v>0</v>
      </c>
      <c r="J126" t="n">
        <v>0</v>
      </c>
      <c r="K126" t="n">
        <v>0</v>
      </c>
      <c r="L126" t="n">
        <v>0</v>
      </c>
      <c r="M126" t="n">
        <v>0</v>
      </c>
      <c r="N126" t="n">
        <v>0</v>
      </c>
      <c r="O126" t="n">
        <v>0</v>
      </c>
      <c r="P126" t="n">
        <v>0</v>
      </c>
      <c r="Q126" t="n">
        <v>0</v>
      </c>
      <c r="R126" s="2" t="inlineStr"/>
    </row>
    <row r="127" ht="15" customHeight="1">
      <c r="A127" t="inlineStr">
        <is>
          <t>A 26987-2022</t>
        </is>
      </c>
      <c r="B127" s="1" t="n">
        <v>44740</v>
      </c>
      <c r="C127" s="1" t="n">
        <v>45784</v>
      </c>
      <c r="D127" t="inlineStr">
        <is>
          <t>VÄSTRA GÖTALANDS LÄN</t>
        </is>
      </c>
      <c r="E127" t="inlineStr">
        <is>
          <t>ALE</t>
        </is>
      </c>
      <c r="F127" t="inlineStr">
        <is>
          <t>Kommuner</t>
        </is>
      </c>
      <c r="G127" t="n">
        <v>5.8</v>
      </c>
      <c r="H127" t="n">
        <v>0</v>
      </c>
      <c r="I127" t="n">
        <v>0</v>
      </c>
      <c r="J127" t="n">
        <v>0</v>
      </c>
      <c r="K127" t="n">
        <v>0</v>
      </c>
      <c r="L127" t="n">
        <v>0</v>
      </c>
      <c r="M127" t="n">
        <v>0</v>
      </c>
      <c r="N127" t="n">
        <v>0</v>
      </c>
      <c r="O127" t="n">
        <v>0</v>
      </c>
      <c r="P127" t="n">
        <v>0</v>
      </c>
      <c r="Q127" t="n">
        <v>0</v>
      </c>
      <c r="R127" s="2" t="inlineStr"/>
    </row>
    <row r="128" ht="15" customHeight="1">
      <c r="A128" t="inlineStr">
        <is>
          <t>A 35959-2022</t>
        </is>
      </c>
      <c r="B128" s="1" t="n">
        <v>44802</v>
      </c>
      <c r="C128" s="1" t="n">
        <v>45784</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36763-2022</t>
        </is>
      </c>
      <c r="B129" s="1" t="n">
        <v>44805</v>
      </c>
      <c r="C129" s="1" t="n">
        <v>45784</v>
      </c>
      <c r="D129" t="inlineStr">
        <is>
          <t>VÄSTRA GÖTALANDS LÄN</t>
        </is>
      </c>
      <c r="E129" t="inlineStr">
        <is>
          <t>ALE</t>
        </is>
      </c>
      <c r="G129" t="n">
        <v>6.1</v>
      </c>
      <c r="H129" t="n">
        <v>0</v>
      </c>
      <c r="I129" t="n">
        <v>0</v>
      </c>
      <c r="J129" t="n">
        <v>0</v>
      </c>
      <c r="K129" t="n">
        <v>0</v>
      </c>
      <c r="L129" t="n">
        <v>0</v>
      </c>
      <c r="M129" t="n">
        <v>0</v>
      </c>
      <c r="N129" t="n">
        <v>0</v>
      </c>
      <c r="O129" t="n">
        <v>0</v>
      </c>
      <c r="P129" t="n">
        <v>0</v>
      </c>
      <c r="Q129" t="n">
        <v>0</v>
      </c>
      <c r="R129" s="2" t="inlineStr"/>
    </row>
    <row r="130" ht="15" customHeight="1">
      <c r="A130" t="inlineStr">
        <is>
          <t>A 41607-2022</t>
        </is>
      </c>
      <c r="B130" s="1" t="n">
        <v>44827</v>
      </c>
      <c r="C130" s="1" t="n">
        <v>45784</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41613-2022</t>
        </is>
      </c>
      <c r="B131" s="1" t="n">
        <v>44827</v>
      </c>
      <c r="C131" s="1" t="n">
        <v>45784</v>
      </c>
      <c r="D131" t="inlineStr">
        <is>
          <t>VÄSTRA GÖTALANDS LÄN</t>
        </is>
      </c>
      <c r="E131" t="inlineStr">
        <is>
          <t>ALE</t>
        </is>
      </c>
      <c r="G131" t="n">
        <v>2.7</v>
      </c>
      <c r="H131" t="n">
        <v>0</v>
      </c>
      <c r="I131" t="n">
        <v>0</v>
      </c>
      <c r="J131" t="n">
        <v>0</v>
      </c>
      <c r="K131" t="n">
        <v>0</v>
      </c>
      <c r="L131" t="n">
        <v>0</v>
      </c>
      <c r="M131" t="n">
        <v>0</v>
      </c>
      <c r="N131" t="n">
        <v>0</v>
      </c>
      <c r="O131" t="n">
        <v>0</v>
      </c>
      <c r="P131" t="n">
        <v>0</v>
      </c>
      <c r="Q131" t="n">
        <v>0</v>
      </c>
      <c r="R131" s="2" t="inlineStr"/>
    </row>
    <row r="132" ht="15" customHeight="1">
      <c r="A132" t="inlineStr">
        <is>
          <t>A 41598-2022</t>
        </is>
      </c>
      <c r="B132" s="1" t="n">
        <v>44827</v>
      </c>
      <c r="C132" s="1" t="n">
        <v>45784</v>
      </c>
      <c r="D132" t="inlineStr">
        <is>
          <t>VÄSTRA GÖTALANDS LÄN</t>
        </is>
      </c>
      <c r="E132" t="inlineStr">
        <is>
          <t>ALE</t>
        </is>
      </c>
      <c r="G132" t="n">
        <v>2</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v>
      </c>
      <c r="C133" s="1" t="n">
        <v>45784</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45784</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57476-2022</t>
        </is>
      </c>
      <c r="B135" s="1" t="n">
        <v>44896</v>
      </c>
      <c r="C135" s="1" t="n">
        <v>45784</v>
      </c>
      <c r="D135" t="inlineStr">
        <is>
          <t>VÄSTRA GÖTALANDS LÄN</t>
        </is>
      </c>
      <c r="E135" t="inlineStr">
        <is>
          <t>ALE</t>
        </is>
      </c>
      <c r="G135" t="n">
        <v>1.3</v>
      </c>
      <c r="H135" t="n">
        <v>0</v>
      </c>
      <c r="I135" t="n">
        <v>0</v>
      </c>
      <c r="J135" t="n">
        <v>0</v>
      </c>
      <c r="K135" t="n">
        <v>0</v>
      </c>
      <c r="L135" t="n">
        <v>0</v>
      </c>
      <c r="M135" t="n">
        <v>0</v>
      </c>
      <c r="N135" t="n">
        <v>0</v>
      </c>
      <c r="O135" t="n">
        <v>0</v>
      </c>
      <c r="P135" t="n">
        <v>0</v>
      </c>
      <c r="Q135" t="n">
        <v>0</v>
      </c>
      <c r="R135" s="2" t="inlineStr"/>
    </row>
    <row r="136" ht="15" customHeight="1">
      <c r="A136" t="inlineStr">
        <is>
          <t>A 57473-2022</t>
        </is>
      </c>
      <c r="B136" s="1" t="n">
        <v>44896</v>
      </c>
      <c r="C136" s="1" t="n">
        <v>45784</v>
      </c>
      <c r="D136" t="inlineStr">
        <is>
          <t>VÄSTRA GÖTALANDS LÄN</t>
        </is>
      </c>
      <c r="E136" t="inlineStr">
        <is>
          <t>ALE</t>
        </is>
      </c>
      <c r="G136" t="n">
        <v>0.7</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45784</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3407-2023</t>
        </is>
      </c>
      <c r="B138" s="1" t="n">
        <v>44949</v>
      </c>
      <c r="C138" s="1" t="n">
        <v>45784</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3418-2023</t>
        </is>
      </c>
      <c r="B139" s="1" t="n">
        <v>44949</v>
      </c>
      <c r="C139" s="1" t="n">
        <v>45784</v>
      </c>
      <c r="D139" t="inlineStr">
        <is>
          <t>VÄSTRA GÖTALANDS LÄN</t>
        </is>
      </c>
      <c r="E139" t="inlineStr">
        <is>
          <t>ALE</t>
        </is>
      </c>
      <c r="G139" t="n">
        <v>1.1</v>
      </c>
      <c r="H139" t="n">
        <v>0</v>
      </c>
      <c r="I139" t="n">
        <v>0</v>
      </c>
      <c r="J139" t="n">
        <v>0</v>
      </c>
      <c r="K139" t="n">
        <v>0</v>
      </c>
      <c r="L139" t="n">
        <v>0</v>
      </c>
      <c r="M139" t="n">
        <v>0</v>
      </c>
      <c r="N139" t="n">
        <v>0</v>
      </c>
      <c r="O139" t="n">
        <v>0</v>
      </c>
      <c r="P139" t="n">
        <v>0</v>
      </c>
      <c r="Q139" t="n">
        <v>0</v>
      </c>
      <c r="R139" s="2" t="inlineStr"/>
    </row>
    <row r="140" ht="15" customHeight="1">
      <c r="A140" t="inlineStr">
        <is>
          <t>A 4665-2023</t>
        </is>
      </c>
      <c r="B140" s="1" t="n">
        <v>44957</v>
      </c>
      <c r="C140" s="1" t="n">
        <v>45784</v>
      </c>
      <c r="D140" t="inlineStr">
        <is>
          <t>VÄSTRA GÖTALANDS LÄN</t>
        </is>
      </c>
      <c r="E140" t="inlineStr">
        <is>
          <t>ALE</t>
        </is>
      </c>
      <c r="G140" t="n">
        <v>3.8</v>
      </c>
      <c r="H140" t="n">
        <v>0</v>
      </c>
      <c r="I140" t="n">
        <v>0</v>
      </c>
      <c r="J140" t="n">
        <v>0</v>
      </c>
      <c r="K140" t="n">
        <v>0</v>
      </c>
      <c r="L140" t="n">
        <v>0</v>
      </c>
      <c r="M140" t="n">
        <v>0</v>
      </c>
      <c r="N140" t="n">
        <v>0</v>
      </c>
      <c r="O140" t="n">
        <v>0</v>
      </c>
      <c r="P140" t="n">
        <v>0</v>
      </c>
      <c r="Q140" t="n">
        <v>0</v>
      </c>
      <c r="R140" s="2" t="inlineStr"/>
    </row>
    <row r="141" ht="15" customHeight="1">
      <c r="A141" t="inlineStr">
        <is>
          <t>A 5867-2023</t>
        </is>
      </c>
      <c r="B141" s="1" t="n">
        <v>44963</v>
      </c>
      <c r="C141" s="1" t="n">
        <v>45784</v>
      </c>
      <c r="D141" t="inlineStr">
        <is>
          <t>VÄSTRA GÖTALANDS LÄN</t>
        </is>
      </c>
      <c r="E141" t="inlineStr">
        <is>
          <t>ALE</t>
        </is>
      </c>
      <c r="G141" t="n">
        <v>3.8</v>
      </c>
      <c r="H141" t="n">
        <v>0</v>
      </c>
      <c r="I141" t="n">
        <v>0</v>
      </c>
      <c r="J141" t="n">
        <v>0</v>
      </c>
      <c r="K141" t="n">
        <v>0</v>
      </c>
      <c r="L141" t="n">
        <v>0</v>
      </c>
      <c r="M141" t="n">
        <v>0</v>
      </c>
      <c r="N141" t="n">
        <v>0</v>
      </c>
      <c r="O141" t="n">
        <v>0</v>
      </c>
      <c r="P141" t="n">
        <v>0</v>
      </c>
      <c r="Q141" t="n">
        <v>0</v>
      </c>
      <c r="R141" s="2" t="inlineStr"/>
    </row>
    <row r="142" ht="15" customHeight="1">
      <c r="A142" t="inlineStr">
        <is>
          <t>A 5875-2023</t>
        </is>
      </c>
      <c r="B142" s="1" t="n">
        <v>44963</v>
      </c>
      <c r="C142" s="1" t="n">
        <v>45784</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45784</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6916-2023</t>
        </is>
      </c>
      <c r="B144" s="1" t="n">
        <v>44967</v>
      </c>
      <c r="C144" s="1" t="n">
        <v>45784</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45784</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9630-2023</t>
        </is>
      </c>
      <c r="B146" s="1" t="n">
        <v>44984</v>
      </c>
      <c r="C146" s="1" t="n">
        <v>45784</v>
      </c>
      <c r="D146" t="inlineStr">
        <is>
          <t>VÄSTRA GÖTALANDS LÄN</t>
        </is>
      </c>
      <c r="E146" t="inlineStr">
        <is>
          <t>ALE</t>
        </is>
      </c>
      <c r="G146" t="n">
        <v>5.4</v>
      </c>
      <c r="H146" t="n">
        <v>0</v>
      </c>
      <c r="I146" t="n">
        <v>0</v>
      </c>
      <c r="J146" t="n">
        <v>0</v>
      </c>
      <c r="K146" t="n">
        <v>0</v>
      </c>
      <c r="L146" t="n">
        <v>0</v>
      </c>
      <c r="M146" t="n">
        <v>0</v>
      </c>
      <c r="N146" t="n">
        <v>0</v>
      </c>
      <c r="O146" t="n">
        <v>0</v>
      </c>
      <c r="P146" t="n">
        <v>0</v>
      </c>
      <c r="Q146" t="n">
        <v>0</v>
      </c>
      <c r="R146" s="2" t="inlineStr"/>
    </row>
    <row r="147" ht="15" customHeight="1">
      <c r="A147" t="inlineStr">
        <is>
          <t>A 9891-2023</t>
        </is>
      </c>
      <c r="B147" s="1" t="n">
        <v>44985</v>
      </c>
      <c r="C147" s="1" t="n">
        <v>45784</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9886-2023</t>
        </is>
      </c>
      <c r="B148" s="1" t="n">
        <v>44985</v>
      </c>
      <c r="C148" s="1" t="n">
        <v>45784</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9896-2023</t>
        </is>
      </c>
      <c r="B149" s="1" t="n">
        <v>44985</v>
      </c>
      <c r="C149" s="1" t="n">
        <v>45784</v>
      </c>
      <c r="D149" t="inlineStr">
        <is>
          <t>VÄSTRA GÖTALANDS LÄN</t>
        </is>
      </c>
      <c r="E149" t="inlineStr">
        <is>
          <t>ALE</t>
        </is>
      </c>
      <c r="G149" t="n">
        <v>2.5</v>
      </c>
      <c r="H149" t="n">
        <v>0</v>
      </c>
      <c r="I149" t="n">
        <v>0</v>
      </c>
      <c r="J149" t="n">
        <v>0</v>
      </c>
      <c r="K149" t="n">
        <v>0</v>
      </c>
      <c r="L149" t="n">
        <v>0</v>
      </c>
      <c r="M149" t="n">
        <v>0</v>
      </c>
      <c r="N149" t="n">
        <v>0</v>
      </c>
      <c r="O149" t="n">
        <v>0</v>
      </c>
      <c r="P149" t="n">
        <v>0</v>
      </c>
      <c r="Q149" t="n">
        <v>0</v>
      </c>
      <c r="R149" s="2" t="inlineStr"/>
    </row>
    <row r="150" ht="15" customHeight="1">
      <c r="A150" t="inlineStr">
        <is>
          <t>A 16344-2023</t>
        </is>
      </c>
      <c r="B150" s="1" t="n">
        <v>45028</v>
      </c>
      <c r="C150" s="1" t="n">
        <v>45784</v>
      </c>
      <c r="D150" t="inlineStr">
        <is>
          <t>VÄSTRA GÖTALANDS LÄN</t>
        </is>
      </c>
      <c r="E150" t="inlineStr">
        <is>
          <t>ALE</t>
        </is>
      </c>
      <c r="G150" t="n">
        <v>6.6</v>
      </c>
      <c r="H150" t="n">
        <v>0</v>
      </c>
      <c r="I150" t="n">
        <v>0</v>
      </c>
      <c r="J150" t="n">
        <v>0</v>
      </c>
      <c r="K150" t="n">
        <v>0</v>
      </c>
      <c r="L150" t="n">
        <v>0</v>
      </c>
      <c r="M150" t="n">
        <v>0</v>
      </c>
      <c r="N150" t="n">
        <v>0</v>
      </c>
      <c r="O150" t="n">
        <v>0</v>
      </c>
      <c r="P150" t="n">
        <v>0</v>
      </c>
      <c r="Q150" t="n">
        <v>0</v>
      </c>
      <c r="R150" s="2" t="inlineStr"/>
    </row>
    <row r="151" ht="15" customHeight="1">
      <c r="A151" t="inlineStr">
        <is>
          <t>A 16389-2023</t>
        </is>
      </c>
      <c r="B151" s="1" t="n">
        <v>45029</v>
      </c>
      <c r="C151" s="1" t="n">
        <v>45784</v>
      </c>
      <c r="D151" t="inlineStr">
        <is>
          <t>VÄSTRA GÖTALANDS LÄN</t>
        </is>
      </c>
      <c r="E151" t="inlineStr">
        <is>
          <t>ALE</t>
        </is>
      </c>
      <c r="G151" t="n">
        <v>2.8</v>
      </c>
      <c r="H151" t="n">
        <v>0</v>
      </c>
      <c r="I151" t="n">
        <v>0</v>
      </c>
      <c r="J151" t="n">
        <v>0</v>
      </c>
      <c r="K151" t="n">
        <v>0</v>
      </c>
      <c r="L151" t="n">
        <v>0</v>
      </c>
      <c r="M151" t="n">
        <v>0</v>
      </c>
      <c r="N151" t="n">
        <v>0</v>
      </c>
      <c r="O151" t="n">
        <v>0</v>
      </c>
      <c r="P151" t="n">
        <v>0</v>
      </c>
      <c r="Q151" t="n">
        <v>0</v>
      </c>
      <c r="R151" s="2" t="inlineStr"/>
    </row>
    <row r="152" ht="15" customHeight="1">
      <c r="A152" t="inlineStr">
        <is>
          <t>A 16876-2023</t>
        </is>
      </c>
      <c r="B152" s="1" t="n">
        <v>45033</v>
      </c>
      <c r="C152" s="1" t="n">
        <v>45784</v>
      </c>
      <c r="D152" t="inlineStr">
        <is>
          <t>VÄSTRA GÖTALANDS LÄN</t>
        </is>
      </c>
      <c r="E152" t="inlineStr">
        <is>
          <t>ALE</t>
        </is>
      </c>
      <c r="G152" t="n">
        <v>0.9</v>
      </c>
      <c r="H152" t="n">
        <v>0</v>
      </c>
      <c r="I152" t="n">
        <v>0</v>
      </c>
      <c r="J152" t="n">
        <v>0</v>
      </c>
      <c r="K152" t="n">
        <v>0</v>
      </c>
      <c r="L152" t="n">
        <v>0</v>
      </c>
      <c r="M152" t="n">
        <v>0</v>
      </c>
      <c r="N152" t="n">
        <v>0</v>
      </c>
      <c r="O152" t="n">
        <v>0</v>
      </c>
      <c r="P152" t="n">
        <v>0</v>
      </c>
      <c r="Q152" t="n">
        <v>0</v>
      </c>
      <c r="R152" s="2" t="inlineStr"/>
    </row>
    <row r="153" ht="15" customHeight="1">
      <c r="A153" t="inlineStr">
        <is>
          <t>A 17534-2023</t>
        </is>
      </c>
      <c r="B153" s="1" t="n">
        <v>45036</v>
      </c>
      <c r="C153" s="1" t="n">
        <v>45784</v>
      </c>
      <c r="D153" t="inlineStr">
        <is>
          <t>VÄSTRA GÖTALANDS LÄN</t>
        </is>
      </c>
      <c r="E153" t="inlineStr">
        <is>
          <t>ALE</t>
        </is>
      </c>
      <c r="G153" t="n">
        <v>3.1</v>
      </c>
      <c r="H153" t="n">
        <v>0</v>
      </c>
      <c r="I153" t="n">
        <v>0</v>
      </c>
      <c r="J153" t="n">
        <v>0</v>
      </c>
      <c r="K153" t="n">
        <v>0</v>
      </c>
      <c r="L153" t="n">
        <v>0</v>
      </c>
      <c r="M153" t="n">
        <v>0</v>
      </c>
      <c r="N153" t="n">
        <v>0</v>
      </c>
      <c r="O153" t="n">
        <v>0</v>
      </c>
      <c r="P153" t="n">
        <v>0</v>
      </c>
      <c r="Q153" t="n">
        <v>0</v>
      </c>
      <c r="R153" s="2" t="inlineStr"/>
    </row>
    <row r="154" ht="15" customHeight="1">
      <c r="A154" t="inlineStr">
        <is>
          <t>A 18120-2023</t>
        </is>
      </c>
      <c r="B154" s="1" t="n">
        <v>45040</v>
      </c>
      <c r="C154" s="1" t="n">
        <v>45784</v>
      </c>
      <c r="D154" t="inlineStr">
        <is>
          <t>VÄSTRA GÖTALANDS LÄN</t>
        </is>
      </c>
      <c r="E154" t="inlineStr">
        <is>
          <t>ALE</t>
        </is>
      </c>
      <c r="G154" t="n">
        <v>3</v>
      </c>
      <c r="H154" t="n">
        <v>0</v>
      </c>
      <c r="I154" t="n">
        <v>0</v>
      </c>
      <c r="J154" t="n">
        <v>0</v>
      </c>
      <c r="K154" t="n">
        <v>0</v>
      </c>
      <c r="L154" t="n">
        <v>0</v>
      </c>
      <c r="M154" t="n">
        <v>0</v>
      </c>
      <c r="N154" t="n">
        <v>0</v>
      </c>
      <c r="O154" t="n">
        <v>0</v>
      </c>
      <c r="P154" t="n">
        <v>0</v>
      </c>
      <c r="Q154" t="n">
        <v>0</v>
      </c>
      <c r="R154" s="2" t="inlineStr"/>
    </row>
    <row r="155" ht="15" customHeight="1">
      <c r="A155" t="inlineStr">
        <is>
          <t>A 18637-2023</t>
        </is>
      </c>
      <c r="B155" s="1" t="n">
        <v>45043</v>
      </c>
      <c r="C155" s="1" t="n">
        <v>45784</v>
      </c>
      <c r="D155" t="inlineStr">
        <is>
          <t>VÄSTRA GÖTALANDS LÄN</t>
        </is>
      </c>
      <c r="E155" t="inlineStr">
        <is>
          <t>ALE</t>
        </is>
      </c>
      <c r="G155" t="n">
        <v>3.6</v>
      </c>
      <c r="H155" t="n">
        <v>0</v>
      </c>
      <c r="I155" t="n">
        <v>0</v>
      </c>
      <c r="J155" t="n">
        <v>0</v>
      </c>
      <c r="K155" t="n">
        <v>0</v>
      </c>
      <c r="L155" t="n">
        <v>0</v>
      </c>
      <c r="M155" t="n">
        <v>0</v>
      </c>
      <c r="N155" t="n">
        <v>0</v>
      </c>
      <c r="O155" t="n">
        <v>0</v>
      </c>
      <c r="P155" t="n">
        <v>0</v>
      </c>
      <c r="Q155" t="n">
        <v>0</v>
      </c>
      <c r="R155" s="2" t="inlineStr"/>
    </row>
    <row r="156" ht="15" customHeight="1">
      <c r="A156" t="inlineStr">
        <is>
          <t>A 20066-2023</t>
        </is>
      </c>
      <c r="B156" s="1" t="n">
        <v>45054</v>
      </c>
      <c r="C156" s="1" t="n">
        <v>45784</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20067-2023</t>
        </is>
      </c>
      <c r="B157" s="1" t="n">
        <v>45054</v>
      </c>
      <c r="C157" s="1" t="n">
        <v>45784</v>
      </c>
      <c r="D157" t="inlineStr">
        <is>
          <t>VÄSTRA GÖTALANDS LÄN</t>
        </is>
      </c>
      <c r="E157" t="inlineStr">
        <is>
          <t>ALE</t>
        </is>
      </c>
      <c r="G157" t="n">
        <v>0.4</v>
      </c>
      <c r="H157" t="n">
        <v>0</v>
      </c>
      <c r="I157" t="n">
        <v>0</v>
      </c>
      <c r="J157" t="n">
        <v>0</v>
      </c>
      <c r="K157" t="n">
        <v>0</v>
      </c>
      <c r="L157" t="n">
        <v>0</v>
      </c>
      <c r="M157" t="n">
        <v>0</v>
      </c>
      <c r="N157" t="n">
        <v>0</v>
      </c>
      <c r="O157" t="n">
        <v>0</v>
      </c>
      <c r="P157" t="n">
        <v>0</v>
      </c>
      <c r="Q157" t="n">
        <v>0</v>
      </c>
      <c r="R157" s="2" t="inlineStr"/>
    </row>
    <row r="158" ht="15" customHeight="1">
      <c r="A158" t="inlineStr">
        <is>
          <t>A 24207-2023</t>
        </is>
      </c>
      <c r="B158" s="1" t="n">
        <v>45079</v>
      </c>
      <c r="C158" s="1" t="n">
        <v>45784</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25471-2023</t>
        </is>
      </c>
      <c r="B159" s="1" t="n">
        <v>45089</v>
      </c>
      <c r="C159" s="1" t="n">
        <v>45784</v>
      </c>
      <c r="D159" t="inlineStr">
        <is>
          <t>VÄSTRA GÖTALANDS LÄN</t>
        </is>
      </c>
      <c r="E159" t="inlineStr">
        <is>
          <t>ALE</t>
        </is>
      </c>
      <c r="G159" t="n">
        <v>5.1</v>
      </c>
      <c r="H159" t="n">
        <v>0</v>
      </c>
      <c r="I159" t="n">
        <v>0</v>
      </c>
      <c r="J159" t="n">
        <v>0</v>
      </c>
      <c r="K159" t="n">
        <v>0</v>
      </c>
      <c r="L159" t="n">
        <v>0</v>
      </c>
      <c r="M159" t="n">
        <v>0</v>
      </c>
      <c r="N159" t="n">
        <v>0</v>
      </c>
      <c r="O159" t="n">
        <v>0</v>
      </c>
      <c r="P159" t="n">
        <v>0</v>
      </c>
      <c r="Q159" t="n">
        <v>0</v>
      </c>
      <c r="R159" s="2" t="inlineStr"/>
    </row>
    <row r="160" ht="15" customHeight="1">
      <c r="A160" t="inlineStr">
        <is>
          <t>A 26157-2023</t>
        </is>
      </c>
      <c r="B160" s="1" t="n">
        <v>45091</v>
      </c>
      <c r="C160" s="1" t="n">
        <v>45784</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26187-2023</t>
        </is>
      </c>
      <c r="B161" s="1" t="n">
        <v>45091</v>
      </c>
      <c r="C161" s="1" t="n">
        <v>45784</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26100-2023</t>
        </is>
      </c>
      <c r="B162" s="1" t="n">
        <v>45091</v>
      </c>
      <c r="C162" s="1" t="n">
        <v>45784</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26083-2023</t>
        </is>
      </c>
      <c r="B163" s="1" t="n">
        <v>45091</v>
      </c>
      <c r="C163" s="1" t="n">
        <v>45784</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30185-2023</t>
        </is>
      </c>
      <c r="B164" s="1" t="n">
        <v>45110</v>
      </c>
      <c r="C164" s="1" t="n">
        <v>45784</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32762-2023</t>
        </is>
      </c>
      <c r="B165" s="1" t="n">
        <v>45123</v>
      </c>
      <c r="C165" s="1" t="n">
        <v>45784</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ht="15" customHeight="1">
      <c r="A166" t="inlineStr">
        <is>
          <t>A 32833-2023</t>
        </is>
      </c>
      <c r="B166" s="1" t="n">
        <v>45124</v>
      </c>
      <c r="C166" s="1" t="n">
        <v>45784</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35132-2023</t>
        </is>
      </c>
      <c r="B167" s="1" t="n">
        <v>45145</v>
      </c>
      <c r="C167" s="1" t="n">
        <v>45784</v>
      </c>
      <c r="D167" t="inlineStr">
        <is>
          <t>VÄSTRA GÖTALANDS LÄN</t>
        </is>
      </c>
      <c r="E167" t="inlineStr">
        <is>
          <t>ALE</t>
        </is>
      </c>
      <c r="G167" t="n">
        <v>1.4</v>
      </c>
      <c r="H167" t="n">
        <v>0</v>
      </c>
      <c r="I167" t="n">
        <v>0</v>
      </c>
      <c r="J167" t="n">
        <v>0</v>
      </c>
      <c r="K167" t="n">
        <v>0</v>
      </c>
      <c r="L167" t="n">
        <v>0</v>
      </c>
      <c r="M167" t="n">
        <v>0</v>
      </c>
      <c r="N167" t="n">
        <v>0</v>
      </c>
      <c r="O167" t="n">
        <v>0</v>
      </c>
      <c r="P167" t="n">
        <v>0</v>
      </c>
      <c r="Q167" t="n">
        <v>0</v>
      </c>
      <c r="R167" s="2" t="inlineStr"/>
    </row>
    <row r="168" ht="15" customHeight="1">
      <c r="A168" t="inlineStr">
        <is>
          <t>A 37518-2023</t>
        </is>
      </c>
      <c r="B168" s="1" t="n">
        <v>45158</v>
      </c>
      <c r="C168" s="1" t="n">
        <v>45784</v>
      </c>
      <c r="D168" t="inlineStr">
        <is>
          <t>VÄSTRA GÖTALANDS LÄN</t>
        </is>
      </c>
      <c r="E168" t="inlineStr">
        <is>
          <t>ALE</t>
        </is>
      </c>
      <c r="G168" t="n">
        <v>1.1</v>
      </c>
      <c r="H168" t="n">
        <v>0</v>
      </c>
      <c r="I168" t="n">
        <v>0</v>
      </c>
      <c r="J168" t="n">
        <v>0</v>
      </c>
      <c r="K168" t="n">
        <v>0</v>
      </c>
      <c r="L168" t="n">
        <v>0</v>
      </c>
      <c r="M168" t="n">
        <v>0</v>
      </c>
      <c r="N168" t="n">
        <v>0</v>
      </c>
      <c r="O168" t="n">
        <v>0</v>
      </c>
      <c r="P168" t="n">
        <v>0</v>
      </c>
      <c r="Q168" t="n">
        <v>0</v>
      </c>
      <c r="R168" s="2" t="inlineStr"/>
    </row>
    <row r="169" ht="15" customHeight="1">
      <c r="A169" t="inlineStr">
        <is>
          <t>A 37519-2023</t>
        </is>
      </c>
      <c r="B169" s="1" t="n">
        <v>45158</v>
      </c>
      <c r="C169" s="1" t="n">
        <v>45784</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38614-2023</t>
        </is>
      </c>
      <c r="B170" s="1" t="n">
        <v>45162</v>
      </c>
      <c r="C170" s="1" t="n">
        <v>45784</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42446-2023</t>
        </is>
      </c>
      <c r="B171" s="1" t="n">
        <v>45180</v>
      </c>
      <c r="C171" s="1" t="n">
        <v>45784</v>
      </c>
      <c r="D171" t="inlineStr">
        <is>
          <t>VÄSTRA GÖTALANDS LÄN</t>
        </is>
      </c>
      <c r="E171" t="inlineStr">
        <is>
          <t>ALE</t>
        </is>
      </c>
      <c r="G171" t="n">
        <v>0.8</v>
      </c>
      <c r="H171" t="n">
        <v>0</v>
      </c>
      <c r="I171" t="n">
        <v>0</v>
      </c>
      <c r="J171" t="n">
        <v>0</v>
      </c>
      <c r="K171" t="n">
        <v>0</v>
      </c>
      <c r="L171" t="n">
        <v>0</v>
      </c>
      <c r="M171" t="n">
        <v>0</v>
      </c>
      <c r="N171" t="n">
        <v>0</v>
      </c>
      <c r="O171" t="n">
        <v>0</v>
      </c>
      <c r="P171" t="n">
        <v>0</v>
      </c>
      <c r="Q171" t="n">
        <v>0</v>
      </c>
      <c r="R171" s="2" t="inlineStr"/>
    </row>
    <row r="172" ht="15" customHeight="1">
      <c r="A172" t="inlineStr">
        <is>
          <t>A 44429-2023</t>
        </is>
      </c>
      <c r="B172" s="1" t="n">
        <v>45189</v>
      </c>
      <c r="C172" s="1" t="n">
        <v>45784</v>
      </c>
      <c r="D172" t="inlineStr">
        <is>
          <t>VÄSTRA GÖTALANDS LÄN</t>
        </is>
      </c>
      <c r="E172" t="inlineStr">
        <is>
          <t>ALE</t>
        </is>
      </c>
      <c r="G172" t="n">
        <v>0.1</v>
      </c>
      <c r="H172" t="n">
        <v>0</v>
      </c>
      <c r="I172" t="n">
        <v>0</v>
      </c>
      <c r="J172" t="n">
        <v>0</v>
      </c>
      <c r="K172" t="n">
        <v>0</v>
      </c>
      <c r="L172" t="n">
        <v>0</v>
      </c>
      <c r="M172" t="n">
        <v>0</v>
      </c>
      <c r="N172" t="n">
        <v>0</v>
      </c>
      <c r="O172" t="n">
        <v>0</v>
      </c>
      <c r="P172" t="n">
        <v>0</v>
      </c>
      <c r="Q172" t="n">
        <v>0</v>
      </c>
      <c r="R172" s="2" t="inlineStr"/>
    </row>
    <row r="173" ht="15" customHeight="1">
      <c r="A173" t="inlineStr">
        <is>
          <t>A 47087-2023</t>
        </is>
      </c>
      <c r="B173" s="1" t="n">
        <v>45196</v>
      </c>
      <c r="C173" s="1" t="n">
        <v>45784</v>
      </c>
      <c r="D173" t="inlineStr">
        <is>
          <t>VÄSTRA GÖTALANDS LÄN</t>
        </is>
      </c>
      <c r="E173" t="inlineStr">
        <is>
          <t>ALE</t>
        </is>
      </c>
      <c r="G173" t="n">
        <v>1.6</v>
      </c>
      <c r="H173" t="n">
        <v>0</v>
      </c>
      <c r="I173" t="n">
        <v>0</v>
      </c>
      <c r="J173" t="n">
        <v>0</v>
      </c>
      <c r="K173" t="n">
        <v>0</v>
      </c>
      <c r="L173" t="n">
        <v>0</v>
      </c>
      <c r="M173" t="n">
        <v>0</v>
      </c>
      <c r="N173" t="n">
        <v>0</v>
      </c>
      <c r="O173" t="n">
        <v>0</v>
      </c>
      <c r="P173" t="n">
        <v>0</v>
      </c>
      <c r="Q173" t="n">
        <v>0</v>
      </c>
      <c r="R173" s="2" t="inlineStr"/>
    </row>
    <row r="174" ht="15" customHeight="1">
      <c r="A174" t="inlineStr">
        <is>
          <t>A 48866-2023</t>
        </is>
      </c>
      <c r="B174" s="1" t="n">
        <v>45209</v>
      </c>
      <c r="C174" s="1" t="n">
        <v>45784</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51564-2023</t>
        </is>
      </c>
      <c r="B175" s="1" t="n">
        <v>45222</v>
      </c>
      <c r="C175" s="1" t="n">
        <v>45784</v>
      </c>
      <c r="D175" t="inlineStr">
        <is>
          <t>VÄSTRA GÖTALANDS LÄN</t>
        </is>
      </c>
      <c r="E175" t="inlineStr">
        <is>
          <t>ALE</t>
        </is>
      </c>
      <c r="G175" t="n">
        <v>1.5</v>
      </c>
      <c r="H175" t="n">
        <v>0</v>
      </c>
      <c r="I175" t="n">
        <v>0</v>
      </c>
      <c r="J175" t="n">
        <v>0</v>
      </c>
      <c r="K175" t="n">
        <v>0</v>
      </c>
      <c r="L175" t="n">
        <v>0</v>
      </c>
      <c r="M175" t="n">
        <v>0</v>
      </c>
      <c r="N175" t="n">
        <v>0</v>
      </c>
      <c r="O175" t="n">
        <v>0</v>
      </c>
      <c r="P175" t="n">
        <v>0</v>
      </c>
      <c r="Q175" t="n">
        <v>0</v>
      </c>
      <c r="R175" s="2" t="inlineStr"/>
    </row>
    <row r="176" ht="15" customHeight="1">
      <c r="A176" t="inlineStr">
        <is>
          <t>A 53476-2023</t>
        </is>
      </c>
      <c r="B176" s="1" t="n">
        <v>45230</v>
      </c>
      <c r="C176" s="1" t="n">
        <v>45784</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56842-2023</t>
        </is>
      </c>
      <c r="B177" s="1" t="n">
        <v>45244</v>
      </c>
      <c r="C177" s="1" t="n">
        <v>45784</v>
      </c>
      <c r="D177" t="inlineStr">
        <is>
          <t>VÄSTRA GÖTALANDS LÄN</t>
        </is>
      </c>
      <c r="E177" t="inlineStr">
        <is>
          <t>ALE</t>
        </is>
      </c>
      <c r="G177" t="n">
        <v>4.8</v>
      </c>
      <c r="H177" t="n">
        <v>0</v>
      </c>
      <c r="I177" t="n">
        <v>0</v>
      </c>
      <c r="J177" t="n">
        <v>0</v>
      </c>
      <c r="K177" t="n">
        <v>0</v>
      </c>
      <c r="L177" t="n">
        <v>0</v>
      </c>
      <c r="M177" t="n">
        <v>0</v>
      </c>
      <c r="N177" t="n">
        <v>0</v>
      </c>
      <c r="O177" t="n">
        <v>0</v>
      </c>
      <c r="P177" t="n">
        <v>0</v>
      </c>
      <c r="Q177" t="n">
        <v>0</v>
      </c>
      <c r="R177" s="2" t="inlineStr"/>
    </row>
    <row r="178" ht="15" customHeight="1">
      <c r="A178" t="inlineStr">
        <is>
          <t>A 59934-2023</t>
        </is>
      </c>
      <c r="B178" s="1" t="n">
        <v>45257</v>
      </c>
      <c r="C178" s="1" t="n">
        <v>45784</v>
      </c>
      <c r="D178" t="inlineStr">
        <is>
          <t>VÄSTRA GÖTALANDS LÄN</t>
        </is>
      </c>
      <c r="E178" t="inlineStr">
        <is>
          <t>ALE</t>
        </is>
      </c>
      <c r="G178" t="n">
        <v>2.6</v>
      </c>
      <c r="H178" t="n">
        <v>0</v>
      </c>
      <c r="I178" t="n">
        <v>0</v>
      </c>
      <c r="J178" t="n">
        <v>0</v>
      </c>
      <c r="K178" t="n">
        <v>0</v>
      </c>
      <c r="L178" t="n">
        <v>0</v>
      </c>
      <c r="M178" t="n">
        <v>0</v>
      </c>
      <c r="N178" t="n">
        <v>0</v>
      </c>
      <c r="O178" t="n">
        <v>0</v>
      </c>
      <c r="P178" t="n">
        <v>0</v>
      </c>
      <c r="Q178" t="n">
        <v>0</v>
      </c>
      <c r="R178" s="2" t="inlineStr"/>
    </row>
    <row r="179" ht="15" customHeight="1">
      <c r="A179" t="inlineStr">
        <is>
          <t>A 59933-2023</t>
        </is>
      </c>
      <c r="B179" s="1" t="n">
        <v>45257</v>
      </c>
      <c r="C179" s="1" t="n">
        <v>45784</v>
      </c>
      <c r="D179" t="inlineStr">
        <is>
          <t>VÄSTRA GÖTALANDS LÄN</t>
        </is>
      </c>
      <c r="E179" t="inlineStr">
        <is>
          <t>ALE</t>
        </is>
      </c>
      <c r="G179" t="n">
        <v>2.7</v>
      </c>
      <c r="H179" t="n">
        <v>0</v>
      </c>
      <c r="I179" t="n">
        <v>0</v>
      </c>
      <c r="J179" t="n">
        <v>0</v>
      </c>
      <c r="K179" t="n">
        <v>0</v>
      </c>
      <c r="L179" t="n">
        <v>0</v>
      </c>
      <c r="M179" t="n">
        <v>0</v>
      </c>
      <c r="N179" t="n">
        <v>0</v>
      </c>
      <c r="O179" t="n">
        <v>0</v>
      </c>
      <c r="P179" t="n">
        <v>0</v>
      </c>
      <c r="Q179" t="n">
        <v>0</v>
      </c>
      <c r="R179" s="2" t="inlineStr"/>
    </row>
    <row r="180" ht="15" customHeight="1">
      <c r="A180" t="inlineStr">
        <is>
          <t>A 63575-2023</t>
        </is>
      </c>
      <c r="B180" s="1" t="n">
        <v>45275</v>
      </c>
      <c r="C180" s="1" t="n">
        <v>45784</v>
      </c>
      <c r="D180" t="inlineStr">
        <is>
          <t>VÄSTRA GÖTALANDS LÄN</t>
        </is>
      </c>
      <c r="E180" t="inlineStr">
        <is>
          <t>ALE</t>
        </is>
      </c>
      <c r="G180" t="n">
        <v>1.2</v>
      </c>
      <c r="H180" t="n">
        <v>0</v>
      </c>
      <c r="I180" t="n">
        <v>0</v>
      </c>
      <c r="J180" t="n">
        <v>0</v>
      </c>
      <c r="K180" t="n">
        <v>0</v>
      </c>
      <c r="L180" t="n">
        <v>0</v>
      </c>
      <c r="M180" t="n">
        <v>0</v>
      </c>
      <c r="N180" t="n">
        <v>0</v>
      </c>
      <c r="O180" t="n">
        <v>0</v>
      </c>
      <c r="P180" t="n">
        <v>0</v>
      </c>
      <c r="Q180" t="n">
        <v>0</v>
      </c>
      <c r="R180" s="2" t="inlineStr"/>
    </row>
    <row r="181" ht="15" customHeight="1">
      <c r="A181" t="inlineStr">
        <is>
          <t>A 772-2024</t>
        </is>
      </c>
      <c r="B181" s="1" t="n">
        <v>45300</v>
      </c>
      <c r="C181" s="1" t="n">
        <v>45784</v>
      </c>
      <c r="D181" t="inlineStr">
        <is>
          <t>VÄSTRA GÖTALANDS LÄN</t>
        </is>
      </c>
      <c r="E181" t="inlineStr">
        <is>
          <t>ALE</t>
        </is>
      </c>
      <c r="G181" t="n">
        <v>2.2</v>
      </c>
      <c r="H181" t="n">
        <v>0</v>
      </c>
      <c r="I181" t="n">
        <v>0</v>
      </c>
      <c r="J181" t="n">
        <v>0</v>
      </c>
      <c r="K181" t="n">
        <v>0</v>
      </c>
      <c r="L181" t="n">
        <v>0</v>
      </c>
      <c r="M181" t="n">
        <v>0</v>
      </c>
      <c r="N181" t="n">
        <v>0</v>
      </c>
      <c r="O181" t="n">
        <v>0</v>
      </c>
      <c r="P181" t="n">
        <v>0</v>
      </c>
      <c r="Q181" t="n">
        <v>0</v>
      </c>
      <c r="R181" s="2" t="inlineStr"/>
    </row>
    <row r="182" ht="15" customHeight="1">
      <c r="A182" t="inlineStr">
        <is>
          <t>A 1500-2024</t>
        </is>
      </c>
      <c r="B182" s="1" t="n">
        <v>45306</v>
      </c>
      <c r="C182" s="1" t="n">
        <v>45784</v>
      </c>
      <c r="D182" t="inlineStr">
        <is>
          <t>VÄSTRA GÖTALANDS LÄN</t>
        </is>
      </c>
      <c r="E182" t="inlineStr">
        <is>
          <t>ALE</t>
        </is>
      </c>
      <c r="G182" t="n">
        <v>1.3</v>
      </c>
      <c r="H182" t="n">
        <v>0</v>
      </c>
      <c r="I182" t="n">
        <v>0</v>
      </c>
      <c r="J182" t="n">
        <v>0</v>
      </c>
      <c r="K182" t="n">
        <v>0</v>
      </c>
      <c r="L182" t="n">
        <v>0</v>
      </c>
      <c r="M182" t="n">
        <v>0</v>
      </c>
      <c r="N182" t="n">
        <v>0</v>
      </c>
      <c r="O182" t="n">
        <v>0</v>
      </c>
      <c r="P182" t="n">
        <v>0</v>
      </c>
      <c r="Q182" t="n">
        <v>0</v>
      </c>
      <c r="R182" s="2" t="inlineStr"/>
    </row>
    <row r="183" ht="15" customHeight="1">
      <c r="A183" t="inlineStr">
        <is>
          <t>A 1687-2024</t>
        </is>
      </c>
      <c r="B183" s="1" t="n">
        <v>45306</v>
      </c>
      <c r="C183" s="1" t="n">
        <v>45784</v>
      </c>
      <c r="D183" t="inlineStr">
        <is>
          <t>VÄSTRA GÖTALANDS LÄN</t>
        </is>
      </c>
      <c r="E183" t="inlineStr">
        <is>
          <t>ALE</t>
        </is>
      </c>
      <c r="G183" t="n">
        <v>3.4</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45784</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1822-2024</t>
        </is>
      </c>
      <c r="B185" s="1" t="n">
        <v>45307</v>
      </c>
      <c r="C185" s="1" t="n">
        <v>45784</v>
      </c>
      <c r="D185" t="inlineStr">
        <is>
          <t>VÄSTRA GÖTALANDS LÄN</t>
        </is>
      </c>
      <c r="E185" t="inlineStr">
        <is>
          <t>ALE</t>
        </is>
      </c>
      <c r="G185" t="n">
        <v>2</v>
      </c>
      <c r="H185" t="n">
        <v>0</v>
      </c>
      <c r="I185" t="n">
        <v>0</v>
      </c>
      <c r="J185" t="n">
        <v>0</v>
      </c>
      <c r="K185" t="n">
        <v>0</v>
      </c>
      <c r="L185" t="n">
        <v>0</v>
      </c>
      <c r="M185" t="n">
        <v>0</v>
      </c>
      <c r="N185" t="n">
        <v>0</v>
      </c>
      <c r="O185" t="n">
        <v>0</v>
      </c>
      <c r="P185" t="n">
        <v>0</v>
      </c>
      <c r="Q185" t="n">
        <v>0</v>
      </c>
      <c r="R185" s="2" t="inlineStr"/>
    </row>
    <row r="186" ht="15" customHeight="1">
      <c r="A186" t="inlineStr">
        <is>
          <t>A 1960-2024</t>
        </is>
      </c>
      <c r="B186" s="1" t="n">
        <v>45308</v>
      </c>
      <c r="C186" s="1" t="n">
        <v>45784</v>
      </c>
      <c r="D186" t="inlineStr">
        <is>
          <t>VÄSTRA GÖTALANDS LÄN</t>
        </is>
      </c>
      <c r="E186" t="inlineStr">
        <is>
          <t>ALE</t>
        </is>
      </c>
      <c r="G186" t="n">
        <v>1.9</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45784</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45784</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45784</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45784</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45784</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45784</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45784</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45784</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11430-2024</t>
        </is>
      </c>
      <c r="B195" s="1" t="n">
        <v>45372</v>
      </c>
      <c r="C195" s="1" t="n">
        <v>45784</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11659-2024</t>
        </is>
      </c>
      <c r="B196" s="1" t="n">
        <v>45373</v>
      </c>
      <c r="C196" s="1" t="n">
        <v>45784</v>
      </c>
      <c r="D196" t="inlineStr">
        <is>
          <t>VÄSTRA GÖTALANDS LÄN</t>
        </is>
      </c>
      <c r="E196" t="inlineStr">
        <is>
          <t>ALE</t>
        </is>
      </c>
      <c r="G196" t="n">
        <v>4.6</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45784</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45784</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45784</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45784</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45784</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45784</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45784</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45784</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45784</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45784</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45784</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45784</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45784</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45784</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45784</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45784</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45784</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45784</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45784</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45784</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45784</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45784</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45784</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45784</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45784</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45784</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45784</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45784</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45784</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45784</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45784</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45784</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45784</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45784</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45784</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45784</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45784</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45784</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45784</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45784</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ht="15" customHeight="1">
      <c r="A237" t="inlineStr">
        <is>
          <t>A 15582-2025</t>
        </is>
      </c>
      <c r="B237" s="1" t="n">
        <v>45747</v>
      </c>
      <c r="C237" s="1" t="n">
        <v>45784</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row r="238" ht="15" customHeight="1">
      <c r="A238" t="inlineStr">
        <is>
          <t>A 16601-2025</t>
        </is>
      </c>
      <c r="B238" s="1" t="n">
        <v>45753</v>
      </c>
      <c r="C238" s="1" t="n">
        <v>45784</v>
      </c>
      <c r="D238" t="inlineStr">
        <is>
          <t>VÄSTRA GÖTALANDS LÄN</t>
        </is>
      </c>
      <c r="E238" t="inlineStr">
        <is>
          <t>ALE</t>
        </is>
      </c>
      <c r="G238" t="n">
        <v>1.7</v>
      </c>
      <c r="H238" t="n">
        <v>0</v>
      </c>
      <c r="I238" t="n">
        <v>0</v>
      </c>
      <c r="J238" t="n">
        <v>0</v>
      </c>
      <c r="K238" t="n">
        <v>0</v>
      </c>
      <c r="L238" t="n">
        <v>0</v>
      </c>
      <c r="M238" t="n">
        <v>0</v>
      </c>
      <c r="N238" t="n">
        <v>0</v>
      </c>
      <c r="O238" t="n">
        <v>0</v>
      </c>
      <c r="P238" t="n">
        <v>0</v>
      </c>
      <c r="Q238" t="n">
        <v>0</v>
      </c>
      <c r="R238" s="2" t="inlineStr"/>
    </row>
    <row r="239">
      <c r="A239" t="inlineStr">
        <is>
          <t>A 17044-2025</t>
        </is>
      </c>
      <c r="B239" s="1" t="n">
        <v>45755</v>
      </c>
      <c r="C239" s="1" t="n">
        <v>45784</v>
      </c>
      <c r="D239" t="inlineStr">
        <is>
          <t>VÄSTRA GÖTALANDS LÄN</t>
        </is>
      </c>
      <c r="E239" t="inlineStr">
        <is>
          <t>ALE</t>
        </is>
      </c>
      <c r="G239" t="n">
        <v>1.5</v>
      </c>
      <c r="H239" t="n">
        <v>0</v>
      </c>
      <c r="I239" t="n">
        <v>0</v>
      </c>
      <c r="J239" t="n">
        <v>0</v>
      </c>
      <c r="K239" t="n">
        <v>0</v>
      </c>
      <c r="L239" t="n">
        <v>0</v>
      </c>
      <c r="M239" t="n">
        <v>0</v>
      </c>
      <c r="N239" t="n">
        <v>0</v>
      </c>
      <c r="O239" t="n">
        <v>0</v>
      </c>
      <c r="P239" t="n">
        <v>0</v>
      </c>
      <c r="Q239" t="n">
        <v>0</v>
      </c>
      <c r="R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2025-05-07T17:21:23Z</dcterms:created>
  <dcterms:modified xmlns:dcterms="http://purl.org/dc/terms/" xmlns:xsi="http://www.w3.org/2001/XMLSchema-instance" xsi:type="dcterms:W3CDTF">2025-05-07T17:21:23Z</dcterms:modified>
</cp:coreProperties>
</file>