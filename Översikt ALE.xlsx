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45981</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45981</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45981</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45981</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45981</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45981</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45981</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45981</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45981</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45981</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45981</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19934-2025</t>
        </is>
      </c>
      <c r="B21" s="1" t="n">
        <v>45771</v>
      </c>
      <c r="C21" s="1" t="n">
        <v>45981</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45981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45981</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45981</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45981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63569-2023</t>
        </is>
      </c>
      <c r="B26" s="1" t="n">
        <v>45275</v>
      </c>
      <c r="C26" s="1" t="n">
        <v>45981</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45306.35041666667</v>
      </c>
      <c r="C27" s="1" t="n">
        <v>45981</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2270-2025</t>
        </is>
      </c>
      <c r="B28" s="1" t="n">
        <v>45673.54403935185</v>
      </c>
      <c r="C28" s="1" t="n">
        <v>45981</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13380-2025</t>
        </is>
      </c>
      <c r="B29" s="1" t="n">
        <v>45735.6765162037</v>
      </c>
      <c r="C29" s="1" t="n">
        <v>45981</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42660-2024</t>
        </is>
      </c>
      <c r="B30" s="1" t="n">
        <v>45566.33841435185</v>
      </c>
      <c r="C30" s="1" t="n">
        <v>45981</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58954-2022</t>
        </is>
      </c>
      <c r="B31" s="1" t="n">
        <v>44903</v>
      </c>
      <c r="C31" s="1" t="n">
        <v>45981</v>
      </c>
      <c r="D31" t="inlineStr">
        <is>
          <t>VÄSTRA GÖTALANDS LÄN</t>
        </is>
      </c>
      <c r="E31" t="inlineStr">
        <is>
          <t>ALE</t>
        </is>
      </c>
      <c r="G31" t="n">
        <v>2.3</v>
      </c>
      <c r="H31" t="n">
        <v>1</v>
      </c>
      <c r="I31" t="n">
        <v>1</v>
      </c>
      <c r="J31" t="n">
        <v>1</v>
      </c>
      <c r="K31" t="n">
        <v>0</v>
      </c>
      <c r="L31" t="n">
        <v>0</v>
      </c>
      <c r="M31" t="n">
        <v>0</v>
      </c>
      <c r="N31" t="n">
        <v>0</v>
      </c>
      <c r="O31" t="n">
        <v>1</v>
      </c>
      <c r="P31" t="n">
        <v>0</v>
      </c>
      <c r="Q31" t="n">
        <v>2</v>
      </c>
      <c r="R31" s="2" t="inlineStr">
        <is>
          <t>Spillkråka
Västlig hakmossa</t>
        </is>
      </c>
      <c r="S31">
        <f>HYPERLINK("https://klasma.github.io/Logging_1440/artfynd/A 58954-2022 artfynd.xlsx", "A 58954-2022")</f>
        <v/>
      </c>
      <c r="T31">
        <f>HYPERLINK("https://klasma.github.io/Logging_1440/kartor/A 58954-2022 karta.png", "A 58954-2022")</f>
        <v/>
      </c>
      <c r="V31">
        <f>HYPERLINK("https://klasma.github.io/Logging_1440/klagomål/A 58954-2022 FSC-klagomål.docx", "A 58954-2022")</f>
        <v/>
      </c>
      <c r="W31">
        <f>HYPERLINK("https://klasma.github.io/Logging_1440/klagomålsmail/A 58954-2022 FSC-klagomål mail.docx", "A 58954-2022")</f>
        <v/>
      </c>
      <c r="X31">
        <f>HYPERLINK("https://klasma.github.io/Logging_1440/tillsyn/A 58954-2022 tillsynsbegäran.docx", "A 58954-2022")</f>
        <v/>
      </c>
      <c r="Y31">
        <f>HYPERLINK("https://klasma.github.io/Logging_1440/tillsynsmail/A 58954-2022 tillsynsbegäran mail.docx", "A 58954-2022")</f>
        <v/>
      </c>
      <c r="Z31">
        <f>HYPERLINK("https://klasma.github.io/Logging_1440/fåglar/A 58954-2022 prioriterade fågelarter.docx", "A 58954-2022")</f>
        <v/>
      </c>
    </row>
    <row r="32" ht="15" customHeight="1">
      <c r="A32" t="inlineStr">
        <is>
          <t>A 16534-2025</t>
        </is>
      </c>
      <c r="B32" s="1" t="n">
        <v>45751.65315972222</v>
      </c>
      <c r="C32" s="1" t="n">
        <v>45981</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16534-2025 artfynd.xlsx", "A 16534-2025")</f>
        <v/>
      </c>
      <c r="T32">
        <f>HYPERLINK("https://klasma.github.io/Logging_1440/kartor/A 16534-2025 karta.png", "A 16534-2025")</f>
        <v/>
      </c>
      <c r="V32">
        <f>HYPERLINK("https://klasma.github.io/Logging_1440/klagomål/A 16534-2025 FSC-klagomål.docx", "A 16534-2025")</f>
        <v/>
      </c>
      <c r="W32">
        <f>HYPERLINK("https://klasma.github.io/Logging_1440/klagomålsmail/A 16534-2025 FSC-klagomål mail.docx", "A 16534-2025")</f>
        <v/>
      </c>
      <c r="X32">
        <f>HYPERLINK("https://klasma.github.io/Logging_1440/tillsyn/A 16534-2025 tillsynsbegäran.docx", "A 16534-2025")</f>
        <v/>
      </c>
      <c r="Y32">
        <f>HYPERLINK("https://klasma.github.io/Logging_1440/tillsynsmail/A 16534-2025 tillsynsbegäran mail.docx", "A 16534-2025")</f>
        <v/>
      </c>
      <c r="Z32">
        <f>HYPERLINK("https://klasma.github.io/Logging_1440/fåglar/A 16534-2025 prioriterade fågelarter.docx", "A 16534-2025")</f>
        <v/>
      </c>
    </row>
    <row r="33" ht="15" customHeight="1">
      <c r="A33" t="inlineStr">
        <is>
          <t>A 20586-2023</t>
        </is>
      </c>
      <c r="B33" s="1" t="n">
        <v>45057</v>
      </c>
      <c r="C33" s="1" t="n">
        <v>45981</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380-2025</t>
        </is>
      </c>
      <c r="B34" s="1" t="n">
        <v>45662.43456018518</v>
      </c>
      <c r="C34" s="1" t="n">
        <v>45981</v>
      </c>
      <c r="D34" t="inlineStr">
        <is>
          <t>VÄSTRA GÖTALANDS LÄN</t>
        </is>
      </c>
      <c r="E34" t="inlineStr">
        <is>
          <t>ALE</t>
        </is>
      </c>
      <c r="G34" t="n">
        <v>8.6</v>
      </c>
      <c r="H34" t="n">
        <v>1</v>
      </c>
      <c r="I34" t="n">
        <v>1</v>
      </c>
      <c r="J34" t="n">
        <v>1</v>
      </c>
      <c r="K34" t="n">
        <v>0</v>
      </c>
      <c r="L34" t="n">
        <v>0</v>
      </c>
      <c r="M34" t="n">
        <v>0</v>
      </c>
      <c r="N34" t="n">
        <v>0</v>
      </c>
      <c r="O34" t="n">
        <v>1</v>
      </c>
      <c r="P34" t="n">
        <v>0</v>
      </c>
      <c r="Q34" t="n">
        <v>2</v>
      </c>
      <c r="R34" s="2" t="inlineStr">
        <is>
          <t>Spillkråka
Blåmossa</t>
        </is>
      </c>
      <c r="S34">
        <f>HYPERLINK("https://klasma.github.io/Logging_1440/artfynd/A 380-2025 artfynd.xlsx", "A 380-2025")</f>
        <v/>
      </c>
      <c r="T34">
        <f>HYPERLINK("https://klasma.github.io/Logging_1440/kartor/A 380-2025 karta.png", "A 380-2025")</f>
        <v/>
      </c>
      <c r="V34">
        <f>HYPERLINK("https://klasma.github.io/Logging_1440/klagomål/A 380-2025 FSC-klagomål.docx", "A 380-2025")</f>
        <v/>
      </c>
      <c r="W34">
        <f>HYPERLINK("https://klasma.github.io/Logging_1440/klagomålsmail/A 380-2025 FSC-klagomål mail.docx", "A 380-2025")</f>
        <v/>
      </c>
      <c r="X34">
        <f>HYPERLINK("https://klasma.github.io/Logging_1440/tillsyn/A 380-2025 tillsynsbegäran.docx", "A 380-2025")</f>
        <v/>
      </c>
      <c r="Y34">
        <f>HYPERLINK("https://klasma.github.io/Logging_1440/tillsynsmail/A 380-2025 tillsynsbegäran mail.docx", "A 380-2025")</f>
        <v/>
      </c>
      <c r="Z34">
        <f>HYPERLINK("https://klasma.github.io/Logging_1440/fåglar/A 380-2025 prioriterade fågelarter.docx", "A 380-2025")</f>
        <v/>
      </c>
    </row>
    <row r="35" ht="15" customHeight="1">
      <c r="A35" t="inlineStr">
        <is>
          <t>A 8955-2025</t>
        </is>
      </c>
      <c r="B35" s="1" t="n">
        <v>45713.46528935185</v>
      </c>
      <c r="C35" s="1" t="n">
        <v>45981</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12084-2025</t>
        </is>
      </c>
      <c r="B36" s="1" t="n">
        <v>45728.95387731482</v>
      </c>
      <c r="C36" s="1" t="n">
        <v>45981</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45981</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26677-2025</t>
        </is>
      </c>
      <c r="B38" s="1" t="n">
        <v>45810.42446759259</v>
      </c>
      <c r="C38" s="1" t="n">
        <v>45981</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45981</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45981</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45981</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45981</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45981</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45981</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45981</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45981</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45981</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45981</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45981</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45981</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45981</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45981</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45981</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45981</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45981</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45981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45981</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44429-2023</t>
        </is>
      </c>
      <c r="B62" s="1" t="n">
        <v>45189.35101851852</v>
      </c>
      <c r="C62" s="1" t="n">
        <v>45981</v>
      </c>
      <c r="D62" t="inlineStr">
        <is>
          <t>VÄSTRA GÖTALANDS LÄN</t>
        </is>
      </c>
      <c r="E62" t="inlineStr">
        <is>
          <t>ALE</t>
        </is>
      </c>
      <c r="G62" t="n">
        <v>0.1</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45981</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35148-2021</t>
        </is>
      </c>
      <c r="B64" s="1" t="n">
        <v>44384</v>
      </c>
      <c r="C64" s="1" t="n">
        <v>45981</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45981</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6947-2024</t>
        </is>
      </c>
      <c r="B66" s="1" t="n">
        <v>45343</v>
      </c>
      <c r="C66" s="1" t="n">
        <v>45981</v>
      </c>
      <c r="D66" t="inlineStr">
        <is>
          <t>VÄSTRA GÖTALANDS LÄN</t>
        </is>
      </c>
      <c r="E66" t="inlineStr">
        <is>
          <t>ALE</t>
        </is>
      </c>
      <c r="G66" t="n">
        <v>3.7</v>
      </c>
      <c r="H66" t="n">
        <v>0</v>
      </c>
      <c r="I66" t="n">
        <v>0</v>
      </c>
      <c r="J66" t="n">
        <v>0</v>
      </c>
      <c r="K66" t="n">
        <v>0</v>
      </c>
      <c r="L66" t="n">
        <v>0</v>
      </c>
      <c r="M66" t="n">
        <v>0</v>
      </c>
      <c r="N66" t="n">
        <v>0</v>
      </c>
      <c r="O66" t="n">
        <v>0</v>
      </c>
      <c r="P66" t="n">
        <v>0</v>
      </c>
      <c r="Q66" t="n">
        <v>0</v>
      </c>
      <c r="R66" s="2" t="inlineStr"/>
    </row>
    <row r="67" ht="15" customHeight="1">
      <c r="A67" t="inlineStr">
        <is>
          <t>A 4444-2024</t>
        </is>
      </c>
      <c r="B67" s="1" t="n">
        <v>45327</v>
      </c>
      <c r="C67" s="1" t="n">
        <v>45981</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6916-2023</t>
        </is>
      </c>
      <c r="B68" s="1" t="n">
        <v>44967.53349537037</v>
      </c>
      <c r="C68" s="1" t="n">
        <v>45981</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50451-2024</t>
        </is>
      </c>
      <c r="B69" s="1" t="n">
        <v>45601.44248842593</v>
      </c>
      <c r="C69" s="1" t="n">
        <v>45981</v>
      </c>
      <c r="D69" t="inlineStr">
        <is>
          <t>VÄSTRA GÖTALANDS LÄN</t>
        </is>
      </c>
      <c r="E69" t="inlineStr">
        <is>
          <t>ALE</t>
        </is>
      </c>
      <c r="G69" t="n">
        <v>2.9</v>
      </c>
      <c r="H69" t="n">
        <v>0</v>
      </c>
      <c r="I69" t="n">
        <v>0</v>
      </c>
      <c r="J69" t="n">
        <v>0</v>
      </c>
      <c r="K69" t="n">
        <v>0</v>
      </c>
      <c r="L69" t="n">
        <v>0</v>
      </c>
      <c r="M69" t="n">
        <v>0</v>
      </c>
      <c r="N69" t="n">
        <v>0</v>
      </c>
      <c r="O69" t="n">
        <v>0</v>
      </c>
      <c r="P69" t="n">
        <v>0</v>
      </c>
      <c r="Q69" t="n">
        <v>0</v>
      </c>
      <c r="R69" s="2" t="inlineStr"/>
    </row>
    <row r="70" ht="15" customHeight="1">
      <c r="A70" t="inlineStr">
        <is>
          <t>A 72801-2021</t>
        </is>
      </c>
      <c r="B70" s="1" t="n">
        <v>44546</v>
      </c>
      <c r="C70" s="1" t="n">
        <v>45981</v>
      </c>
      <c r="D70" t="inlineStr">
        <is>
          <t>VÄSTRA GÖTALANDS LÄN</t>
        </is>
      </c>
      <c r="E70" t="inlineStr">
        <is>
          <t>ALE</t>
        </is>
      </c>
      <c r="F70" t="inlineStr">
        <is>
          <t>Naturvårdsverket</t>
        </is>
      </c>
      <c r="G70" t="n">
        <v>1.4</v>
      </c>
      <c r="H70" t="n">
        <v>0</v>
      </c>
      <c r="I70" t="n">
        <v>0</v>
      </c>
      <c r="J70" t="n">
        <v>0</v>
      </c>
      <c r="K70" t="n">
        <v>0</v>
      </c>
      <c r="L70" t="n">
        <v>0</v>
      </c>
      <c r="M70" t="n">
        <v>0</v>
      </c>
      <c r="N70" t="n">
        <v>0</v>
      </c>
      <c r="O70" t="n">
        <v>0</v>
      </c>
      <c r="P70" t="n">
        <v>0</v>
      </c>
      <c r="Q70" t="n">
        <v>0</v>
      </c>
      <c r="R70" s="2" t="inlineStr"/>
    </row>
    <row r="71" ht="15" customHeight="1">
      <c r="A71" t="inlineStr">
        <is>
          <t>A 49955-2021</t>
        </is>
      </c>
      <c r="B71" s="1" t="n">
        <v>44456</v>
      </c>
      <c r="C71" s="1" t="n">
        <v>45981</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26083-2023</t>
        </is>
      </c>
      <c r="B72" s="1" t="n">
        <v>45091</v>
      </c>
      <c r="C72" s="1" t="n">
        <v>45981</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1822-2024</t>
        </is>
      </c>
      <c r="B73" s="1" t="n">
        <v>45307.6205787037</v>
      </c>
      <c r="C73" s="1" t="n">
        <v>45981</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45981</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3418-2023</t>
        </is>
      </c>
      <c r="B75" s="1" t="n">
        <v>44949.56182870371</v>
      </c>
      <c r="C75" s="1" t="n">
        <v>45981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45981</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16344-2023</t>
        </is>
      </c>
      <c r="B77" s="1" t="n">
        <v>45028</v>
      </c>
      <c r="C77" s="1" t="n">
        <v>45981</v>
      </c>
      <c r="D77" t="inlineStr">
        <is>
          <t>VÄSTRA GÖTALANDS LÄN</t>
        </is>
      </c>
      <c r="E77" t="inlineStr">
        <is>
          <t>ALE</t>
        </is>
      </c>
      <c r="G77" t="n">
        <v>6.6</v>
      </c>
      <c r="H77" t="n">
        <v>0</v>
      </c>
      <c r="I77" t="n">
        <v>0</v>
      </c>
      <c r="J77" t="n">
        <v>0</v>
      </c>
      <c r="K77" t="n">
        <v>0</v>
      </c>
      <c r="L77" t="n">
        <v>0</v>
      </c>
      <c r="M77" t="n">
        <v>0</v>
      </c>
      <c r="N77" t="n">
        <v>0</v>
      </c>
      <c r="O77" t="n">
        <v>0</v>
      </c>
      <c r="P77" t="n">
        <v>0</v>
      </c>
      <c r="Q77" t="n">
        <v>0</v>
      </c>
      <c r="R77" s="2" t="inlineStr"/>
    </row>
    <row r="78" ht="15" customHeight="1">
      <c r="A78" t="inlineStr">
        <is>
          <t>A 4363-2024</t>
        </is>
      </c>
      <c r="B78" s="1" t="n">
        <v>45325</v>
      </c>
      <c r="C78" s="1" t="n">
        <v>45981</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45988-2021</t>
        </is>
      </c>
      <c r="B79" s="1" t="n">
        <v>44441</v>
      </c>
      <c r="C79" s="1" t="n">
        <v>45981</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50189-2025</t>
        </is>
      </c>
      <c r="B80" s="1" t="n">
        <v>45943.63476851852</v>
      </c>
      <c r="C80" s="1" t="n">
        <v>45981</v>
      </c>
      <c r="D80" t="inlineStr">
        <is>
          <t>VÄSTRA GÖTALANDS LÄN</t>
        </is>
      </c>
      <c r="E80" t="inlineStr">
        <is>
          <t>ALE</t>
        </is>
      </c>
      <c r="G80" t="n">
        <v>3</v>
      </c>
      <c r="H80" t="n">
        <v>0</v>
      </c>
      <c r="I80" t="n">
        <v>0</v>
      </c>
      <c r="J80" t="n">
        <v>0</v>
      </c>
      <c r="K80" t="n">
        <v>0</v>
      </c>
      <c r="L80" t="n">
        <v>0</v>
      </c>
      <c r="M80" t="n">
        <v>0</v>
      </c>
      <c r="N80" t="n">
        <v>0</v>
      </c>
      <c r="O80" t="n">
        <v>0</v>
      </c>
      <c r="P80" t="n">
        <v>0</v>
      </c>
      <c r="Q80" t="n">
        <v>0</v>
      </c>
      <c r="R80" s="2" t="inlineStr"/>
    </row>
    <row r="81" ht="15" customHeight="1">
      <c r="A81" t="inlineStr">
        <is>
          <t>A 20067-2023</t>
        </is>
      </c>
      <c r="B81" s="1" t="n">
        <v>45054</v>
      </c>
      <c r="C81" s="1" t="n">
        <v>45981</v>
      </c>
      <c r="D81" t="inlineStr">
        <is>
          <t>VÄSTRA GÖTALANDS LÄN</t>
        </is>
      </c>
      <c r="E81" t="inlineStr">
        <is>
          <t>ALE</t>
        </is>
      </c>
      <c r="G81" t="n">
        <v>0.4</v>
      </c>
      <c r="H81" t="n">
        <v>0</v>
      </c>
      <c r="I81" t="n">
        <v>0</v>
      </c>
      <c r="J81" t="n">
        <v>0</v>
      </c>
      <c r="K81" t="n">
        <v>0</v>
      </c>
      <c r="L81" t="n">
        <v>0</v>
      </c>
      <c r="M81" t="n">
        <v>0</v>
      </c>
      <c r="N81" t="n">
        <v>0</v>
      </c>
      <c r="O81" t="n">
        <v>0</v>
      </c>
      <c r="P81" t="n">
        <v>0</v>
      </c>
      <c r="Q81" t="n">
        <v>0</v>
      </c>
      <c r="R81" s="2" t="inlineStr"/>
    </row>
    <row r="82" ht="15" customHeight="1">
      <c r="A82" t="inlineStr">
        <is>
          <t>A 66551-2020</t>
        </is>
      </c>
      <c r="B82" s="1" t="n">
        <v>44179</v>
      </c>
      <c r="C82" s="1" t="n">
        <v>45981</v>
      </c>
      <c r="D82" t="inlineStr">
        <is>
          <t>VÄSTRA GÖTALANDS LÄN</t>
        </is>
      </c>
      <c r="E82" t="inlineStr">
        <is>
          <t>ALE</t>
        </is>
      </c>
      <c r="G82" t="n">
        <v>4.5</v>
      </c>
      <c r="H82" t="n">
        <v>0</v>
      </c>
      <c r="I82" t="n">
        <v>0</v>
      </c>
      <c r="J82" t="n">
        <v>0</v>
      </c>
      <c r="K82" t="n">
        <v>0</v>
      </c>
      <c r="L82" t="n">
        <v>0</v>
      </c>
      <c r="M82" t="n">
        <v>0</v>
      </c>
      <c r="N82" t="n">
        <v>0</v>
      </c>
      <c r="O82" t="n">
        <v>0</v>
      </c>
      <c r="P82" t="n">
        <v>0</v>
      </c>
      <c r="Q82" t="n">
        <v>0</v>
      </c>
      <c r="R82" s="2" t="inlineStr"/>
    </row>
    <row r="83" ht="15" customHeight="1">
      <c r="A83" t="inlineStr">
        <is>
          <t>A 4971-2024</t>
        </is>
      </c>
      <c r="B83" s="1" t="n">
        <v>45329</v>
      </c>
      <c r="C83" s="1" t="n">
        <v>45981</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22946-2025</t>
        </is>
      </c>
      <c r="B84" s="1" t="n">
        <v>45790.48229166667</v>
      </c>
      <c r="C84" s="1" t="n">
        <v>45981</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1960-2024</t>
        </is>
      </c>
      <c r="B85" s="1" t="n">
        <v>45308.50962962963</v>
      </c>
      <c r="C85" s="1" t="n">
        <v>45981</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41607-2022</t>
        </is>
      </c>
      <c r="B86" s="1" t="n">
        <v>44827.46658564815</v>
      </c>
      <c r="C86" s="1" t="n">
        <v>45981</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15499-2022</t>
        </is>
      </c>
      <c r="B87" s="1" t="n">
        <v>44662</v>
      </c>
      <c r="C87" s="1" t="n">
        <v>45981</v>
      </c>
      <c r="D87" t="inlineStr">
        <is>
          <t>VÄSTRA GÖTALANDS LÄN</t>
        </is>
      </c>
      <c r="E87" t="inlineStr">
        <is>
          <t>ALE</t>
        </is>
      </c>
      <c r="G87" t="n">
        <v>4.7</v>
      </c>
      <c r="H87" t="n">
        <v>0</v>
      </c>
      <c r="I87" t="n">
        <v>0</v>
      </c>
      <c r="J87" t="n">
        <v>0</v>
      </c>
      <c r="K87" t="n">
        <v>0</v>
      </c>
      <c r="L87" t="n">
        <v>0</v>
      </c>
      <c r="M87" t="n">
        <v>0</v>
      </c>
      <c r="N87" t="n">
        <v>0</v>
      </c>
      <c r="O87" t="n">
        <v>0</v>
      </c>
      <c r="P87" t="n">
        <v>0</v>
      </c>
      <c r="Q87" t="n">
        <v>0</v>
      </c>
      <c r="R87" s="2" t="inlineStr"/>
    </row>
    <row r="88" ht="15" customHeight="1">
      <c r="A88" t="inlineStr">
        <is>
          <t>A 53476-2023</t>
        </is>
      </c>
      <c r="B88" s="1" t="n">
        <v>45230.33737268519</v>
      </c>
      <c r="C88" s="1" t="n">
        <v>45981</v>
      </c>
      <c r="D88" t="inlineStr">
        <is>
          <t>VÄSTRA GÖTALANDS LÄN</t>
        </is>
      </c>
      <c r="E88" t="inlineStr">
        <is>
          <t>ALE</t>
        </is>
      </c>
      <c r="G88" t="n">
        <v>1.9</v>
      </c>
      <c r="H88" t="n">
        <v>0</v>
      </c>
      <c r="I88" t="n">
        <v>0</v>
      </c>
      <c r="J88" t="n">
        <v>0</v>
      </c>
      <c r="K88" t="n">
        <v>0</v>
      </c>
      <c r="L88" t="n">
        <v>0</v>
      </c>
      <c r="M88" t="n">
        <v>0</v>
      </c>
      <c r="N88" t="n">
        <v>0</v>
      </c>
      <c r="O88" t="n">
        <v>0</v>
      </c>
      <c r="P88" t="n">
        <v>0</v>
      </c>
      <c r="Q88" t="n">
        <v>0</v>
      </c>
      <c r="R88" s="2" t="inlineStr"/>
    </row>
    <row r="89" ht="15" customHeight="1">
      <c r="A89" t="inlineStr">
        <is>
          <t>A 37461-2024</t>
        </is>
      </c>
      <c r="B89" s="1" t="n">
        <v>45540.72516203704</v>
      </c>
      <c r="C89" s="1" t="n">
        <v>45981</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50973-2025</t>
        </is>
      </c>
      <c r="B90" s="1" t="n">
        <v>45947.31263888889</v>
      </c>
      <c r="C90" s="1" t="n">
        <v>45981</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55405-2021</t>
        </is>
      </c>
      <c r="B91" s="1" t="n">
        <v>44475.53733796296</v>
      </c>
      <c r="C91" s="1" t="n">
        <v>45981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51164-2024</t>
        </is>
      </c>
      <c r="B92" s="1" t="n">
        <v>45603.5830787037</v>
      </c>
      <c r="C92" s="1" t="n">
        <v>45981</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48257-2022</t>
        </is>
      </c>
      <c r="B93" s="1" t="n">
        <v>44858.47591435185</v>
      </c>
      <c r="C93" s="1" t="n">
        <v>45981</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13426-2025</t>
        </is>
      </c>
      <c r="B94" s="1" t="n">
        <v>45736.32780092592</v>
      </c>
      <c r="C94" s="1" t="n">
        <v>45981</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56493-2021</t>
        </is>
      </c>
      <c r="B95" s="1" t="n">
        <v>44480.57173611111</v>
      </c>
      <c r="C95" s="1" t="n">
        <v>45981</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41309-2024</t>
        </is>
      </c>
      <c r="B96" s="1" t="n">
        <v>45559</v>
      </c>
      <c r="C96" s="1" t="n">
        <v>45981</v>
      </c>
      <c r="D96" t="inlineStr">
        <is>
          <t>VÄSTRA GÖTALANDS LÄN</t>
        </is>
      </c>
      <c r="E96" t="inlineStr">
        <is>
          <t>ALE</t>
        </is>
      </c>
      <c r="G96" t="n">
        <v>8.4</v>
      </c>
      <c r="H96" t="n">
        <v>0</v>
      </c>
      <c r="I96" t="n">
        <v>0</v>
      </c>
      <c r="J96" t="n">
        <v>0</v>
      </c>
      <c r="K96" t="n">
        <v>0</v>
      </c>
      <c r="L96" t="n">
        <v>0</v>
      </c>
      <c r="M96" t="n">
        <v>0</v>
      </c>
      <c r="N96" t="n">
        <v>0</v>
      </c>
      <c r="O96" t="n">
        <v>0</v>
      </c>
      <c r="P96" t="n">
        <v>0</v>
      </c>
      <c r="Q96" t="n">
        <v>0</v>
      </c>
      <c r="R96" s="2" t="inlineStr"/>
    </row>
    <row r="97" ht="15" customHeight="1">
      <c r="A97" t="inlineStr">
        <is>
          <t>A 51976-2025</t>
        </is>
      </c>
      <c r="B97" s="1" t="n">
        <v>45952.56412037037</v>
      </c>
      <c r="C97" s="1" t="n">
        <v>45981</v>
      </c>
      <c r="D97" t="inlineStr">
        <is>
          <t>VÄSTRA GÖTALANDS LÄN</t>
        </is>
      </c>
      <c r="E97" t="inlineStr">
        <is>
          <t>ALE</t>
        </is>
      </c>
      <c r="G97" t="n">
        <v>5.2</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45981</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7807-2023</t>
        </is>
      </c>
      <c r="B99" s="1" t="n">
        <v>44973</v>
      </c>
      <c r="C99" s="1" t="n">
        <v>45981</v>
      </c>
      <c r="D99" t="inlineStr">
        <is>
          <t>VÄSTRA GÖTALANDS LÄN</t>
        </is>
      </c>
      <c r="E99" t="inlineStr">
        <is>
          <t>ALE</t>
        </is>
      </c>
      <c r="G99" t="n">
        <v>10.5</v>
      </c>
      <c r="H99" t="n">
        <v>0</v>
      </c>
      <c r="I99" t="n">
        <v>0</v>
      </c>
      <c r="J99" t="n">
        <v>0</v>
      </c>
      <c r="K99" t="n">
        <v>0</v>
      </c>
      <c r="L99" t="n">
        <v>0</v>
      </c>
      <c r="M99" t="n">
        <v>0</v>
      </c>
      <c r="N99" t="n">
        <v>0</v>
      </c>
      <c r="O99" t="n">
        <v>0</v>
      </c>
      <c r="P99" t="n">
        <v>0</v>
      </c>
      <c r="Q99" t="n">
        <v>0</v>
      </c>
      <c r="R99" s="2" t="inlineStr"/>
    </row>
    <row r="100" ht="15" customHeight="1">
      <c r="A100" t="inlineStr">
        <is>
          <t>A 52423-2025</t>
        </is>
      </c>
      <c r="B100" s="1" t="n">
        <v>45954.37650462963</v>
      </c>
      <c r="C100" s="1" t="n">
        <v>45981</v>
      </c>
      <c r="D100" t="inlineStr">
        <is>
          <t>VÄSTRA GÖTALANDS LÄN</t>
        </is>
      </c>
      <c r="E100" t="inlineStr">
        <is>
          <t>ALE</t>
        </is>
      </c>
      <c r="G100" t="n">
        <v>4.1</v>
      </c>
      <c r="H100" t="n">
        <v>0</v>
      </c>
      <c r="I100" t="n">
        <v>0</v>
      </c>
      <c r="J100" t="n">
        <v>0</v>
      </c>
      <c r="K100" t="n">
        <v>0</v>
      </c>
      <c r="L100" t="n">
        <v>0</v>
      </c>
      <c r="M100" t="n">
        <v>0</v>
      </c>
      <c r="N100" t="n">
        <v>0</v>
      </c>
      <c r="O100" t="n">
        <v>0</v>
      </c>
      <c r="P100" t="n">
        <v>0</v>
      </c>
      <c r="Q100" t="n">
        <v>0</v>
      </c>
      <c r="R100" s="2" t="inlineStr"/>
    </row>
    <row r="101" ht="15" customHeight="1">
      <c r="A101" t="inlineStr">
        <is>
          <t>A 32762-2023</t>
        </is>
      </c>
      <c r="B101" s="1" t="n">
        <v>45123.46649305556</v>
      </c>
      <c r="C101" s="1" t="n">
        <v>45981</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52391-2025</t>
        </is>
      </c>
      <c r="B102" s="1" t="n">
        <v>45954.34305555555</v>
      </c>
      <c r="C102" s="1" t="n">
        <v>45981</v>
      </c>
      <c r="D102" t="inlineStr">
        <is>
          <t>VÄSTRA GÖTALANDS LÄN</t>
        </is>
      </c>
      <c r="E102" t="inlineStr">
        <is>
          <t>ALE</t>
        </is>
      </c>
      <c r="G102" t="n">
        <v>10.6</v>
      </c>
      <c r="H102" t="n">
        <v>0</v>
      </c>
      <c r="I102" t="n">
        <v>0</v>
      </c>
      <c r="J102" t="n">
        <v>0</v>
      </c>
      <c r="K102" t="n">
        <v>0</v>
      </c>
      <c r="L102" t="n">
        <v>0</v>
      </c>
      <c r="M102" t="n">
        <v>0</v>
      </c>
      <c r="N102" t="n">
        <v>0</v>
      </c>
      <c r="O102" t="n">
        <v>0</v>
      </c>
      <c r="P102" t="n">
        <v>0</v>
      </c>
      <c r="Q102" t="n">
        <v>0</v>
      </c>
      <c r="R102" s="2" t="inlineStr"/>
    </row>
    <row r="103" ht="15" customHeight="1">
      <c r="A103" t="inlineStr">
        <is>
          <t>A 3413-2023</t>
        </is>
      </c>
      <c r="B103" s="1" t="n">
        <v>44949</v>
      </c>
      <c r="C103" s="1" t="n">
        <v>45981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25849-2025</t>
        </is>
      </c>
      <c r="B104" s="1" t="n">
        <v>45804</v>
      </c>
      <c r="C104" s="1" t="n">
        <v>45981</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25848-2025</t>
        </is>
      </c>
      <c r="B105" s="1" t="n">
        <v>45804</v>
      </c>
      <c r="C105" s="1" t="n">
        <v>45981</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51564-2023</t>
        </is>
      </c>
      <c r="B106" s="1" t="n">
        <v>45222</v>
      </c>
      <c r="C106" s="1" t="n">
        <v>45981</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25840-2025</t>
        </is>
      </c>
      <c r="B107" s="1" t="n">
        <v>45804</v>
      </c>
      <c r="C107" s="1" t="n">
        <v>45981</v>
      </c>
      <c r="D107" t="inlineStr">
        <is>
          <t>VÄSTRA GÖTALANDS LÄN</t>
        </is>
      </c>
      <c r="E107" t="inlineStr">
        <is>
          <t>ALE</t>
        </is>
      </c>
      <c r="G107" t="n">
        <v>3.8</v>
      </c>
      <c r="H107" t="n">
        <v>0</v>
      </c>
      <c r="I107" t="n">
        <v>0</v>
      </c>
      <c r="J107" t="n">
        <v>0</v>
      </c>
      <c r="K107" t="n">
        <v>0</v>
      </c>
      <c r="L107" t="n">
        <v>0</v>
      </c>
      <c r="M107" t="n">
        <v>0</v>
      </c>
      <c r="N107" t="n">
        <v>0</v>
      </c>
      <c r="O107" t="n">
        <v>0</v>
      </c>
      <c r="P107" t="n">
        <v>0</v>
      </c>
      <c r="Q107" t="n">
        <v>0</v>
      </c>
      <c r="R107" s="2" t="inlineStr"/>
    </row>
    <row r="108" ht="15" customHeight="1">
      <c r="A108" t="inlineStr">
        <is>
          <t>A 46226-2025</t>
        </is>
      </c>
      <c r="B108" s="1" t="n">
        <v>45924</v>
      </c>
      <c r="C108" s="1" t="n">
        <v>45981</v>
      </c>
      <c r="D108" t="inlineStr">
        <is>
          <t>VÄSTRA GÖTALANDS LÄN</t>
        </is>
      </c>
      <c r="E108" t="inlineStr">
        <is>
          <t>ALE</t>
        </is>
      </c>
      <c r="G108" t="n">
        <v>2.3</v>
      </c>
      <c r="H108" t="n">
        <v>0</v>
      </c>
      <c r="I108" t="n">
        <v>0</v>
      </c>
      <c r="J108" t="n">
        <v>0</v>
      </c>
      <c r="K108" t="n">
        <v>0</v>
      </c>
      <c r="L108" t="n">
        <v>0</v>
      </c>
      <c r="M108" t="n">
        <v>0</v>
      </c>
      <c r="N108" t="n">
        <v>0</v>
      </c>
      <c r="O108" t="n">
        <v>0</v>
      </c>
      <c r="P108" t="n">
        <v>0</v>
      </c>
      <c r="Q108" t="n">
        <v>0</v>
      </c>
      <c r="R108" s="2" t="inlineStr"/>
    </row>
    <row r="109" ht="15" customHeight="1">
      <c r="A109" t="inlineStr">
        <is>
          <t>A 46227-2025</t>
        </is>
      </c>
      <c r="B109" s="1" t="n">
        <v>45924.90386574074</v>
      </c>
      <c r="C109" s="1" t="n">
        <v>45981</v>
      </c>
      <c r="D109" t="inlineStr">
        <is>
          <t>VÄSTRA GÖTALANDS LÄN</t>
        </is>
      </c>
      <c r="E109" t="inlineStr">
        <is>
          <t>ALE</t>
        </is>
      </c>
      <c r="G109" t="n">
        <v>0.3</v>
      </c>
      <c r="H109" t="n">
        <v>0</v>
      </c>
      <c r="I109" t="n">
        <v>0</v>
      </c>
      <c r="J109" t="n">
        <v>0</v>
      </c>
      <c r="K109" t="n">
        <v>0</v>
      </c>
      <c r="L109" t="n">
        <v>0</v>
      </c>
      <c r="M109" t="n">
        <v>0</v>
      </c>
      <c r="N109" t="n">
        <v>0</v>
      </c>
      <c r="O109" t="n">
        <v>0</v>
      </c>
      <c r="P109" t="n">
        <v>0</v>
      </c>
      <c r="Q109" t="n">
        <v>0</v>
      </c>
      <c r="R109" s="2" t="inlineStr"/>
    </row>
    <row r="110" ht="15" customHeight="1">
      <c r="A110" t="inlineStr">
        <is>
          <t>A 26157-2023</t>
        </is>
      </c>
      <c r="B110" s="1" t="n">
        <v>45091.50479166667</v>
      </c>
      <c r="C110" s="1" t="n">
        <v>45981</v>
      </c>
      <c r="D110" t="inlineStr">
        <is>
          <t>VÄSTRA GÖTALANDS LÄN</t>
        </is>
      </c>
      <c r="E110" t="inlineStr">
        <is>
          <t>ALE</t>
        </is>
      </c>
      <c r="G110" t="n">
        <v>2.6</v>
      </c>
      <c r="H110" t="n">
        <v>0</v>
      </c>
      <c r="I110" t="n">
        <v>0</v>
      </c>
      <c r="J110" t="n">
        <v>0</v>
      </c>
      <c r="K110" t="n">
        <v>0</v>
      </c>
      <c r="L110" t="n">
        <v>0</v>
      </c>
      <c r="M110" t="n">
        <v>0</v>
      </c>
      <c r="N110" t="n">
        <v>0</v>
      </c>
      <c r="O110" t="n">
        <v>0</v>
      </c>
      <c r="P110" t="n">
        <v>0</v>
      </c>
      <c r="Q110" t="n">
        <v>0</v>
      </c>
      <c r="R110" s="2" t="inlineStr"/>
    </row>
    <row r="111" ht="15" customHeight="1">
      <c r="A111" t="inlineStr">
        <is>
          <t>A 35959-2022</t>
        </is>
      </c>
      <c r="B111" s="1" t="n">
        <v>44802.57002314815</v>
      </c>
      <c r="C111" s="1" t="n">
        <v>45981</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18637-2023</t>
        </is>
      </c>
      <c r="B112" s="1" t="n">
        <v>45043</v>
      </c>
      <c r="C112" s="1" t="n">
        <v>45981</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59933-2023</t>
        </is>
      </c>
      <c r="B113" s="1" t="n">
        <v>45257</v>
      </c>
      <c r="C113" s="1" t="n">
        <v>45981</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14493-2024</t>
        </is>
      </c>
      <c r="B114" s="1" t="n">
        <v>45394.58491898148</v>
      </c>
      <c r="C114" s="1" t="n">
        <v>45981</v>
      </c>
      <c r="D114" t="inlineStr">
        <is>
          <t>VÄSTRA GÖTALANDS LÄN</t>
        </is>
      </c>
      <c r="E114" t="inlineStr">
        <is>
          <t>ALE</t>
        </is>
      </c>
      <c r="G114" t="n">
        <v>2.3</v>
      </c>
      <c r="H114" t="n">
        <v>0</v>
      </c>
      <c r="I114" t="n">
        <v>0</v>
      </c>
      <c r="J114" t="n">
        <v>0</v>
      </c>
      <c r="K114" t="n">
        <v>0</v>
      </c>
      <c r="L114" t="n">
        <v>0</v>
      </c>
      <c r="M114" t="n">
        <v>0</v>
      </c>
      <c r="N114" t="n">
        <v>0</v>
      </c>
      <c r="O114" t="n">
        <v>0</v>
      </c>
      <c r="P114" t="n">
        <v>0</v>
      </c>
      <c r="Q114" t="n">
        <v>0</v>
      </c>
      <c r="R114" s="2" t="inlineStr"/>
    </row>
    <row r="115" ht="15" customHeight="1">
      <c r="A115" t="inlineStr">
        <is>
          <t>A 47087-2023</t>
        </is>
      </c>
      <c r="B115" s="1" t="n">
        <v>45196</v>
      </c>
      <c r="C115" s="1" t="n">
        <v>45981</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1500-2024</t>
        </is>
      </c>
      <c r="B116" s="1" t="n">
        <v>45306</v>
      </c>
      <c r="C116" s="1" t="n">
        <v>45981</v>
      </c>
      <c r="D116" t="inlineStr">
        <is>
          <t>VÄSTRA GÖTALANDS LÄN</t>
        </is>
      </c>
      <c r="E116" t="inlineStr">
        <is>
          <t>ALE</t>
        </is>
      </c>
      <c r="G116" t="n">
        <v>1.3</v>
      </c>
      <c r="H116" t="n">
        <v>0</v>
      </c>
      <c r="I116" t="n">
        <v>0</v>
      </c>
      <c r="J116" t="n">
        <v>0</v>
      </c>
      <c r="K116" t="n">
        <v>0</v>
      </c>
      <c r="L116" t="n">
        <v>0</v>
      </c>
      <c r="M116" t="n">
        <v>0</v>
      </c>
      <c r="N116" t="n">
        <v>0</v>
      </c>
      <c r="O116" t="n">
        <v>0</v>
      </c>
      <c r="P116" t="n">
        <v>0</v>
      </c>
      <c r="Q116" t="n">
        <v>0</v>
      </c>
      <c r="R116" s="2" t="inlineStr"/>
    </row>
    <row r="117" ht="15" customHeight="1">
      <c r="A117" t="inlineStr">
        <is>
          <t>A 1687-2024</t>
        </is>
      </c>
      <c r="B117" s="1" t="n">
        <v>45306</v>
      </c>
      <c r="C117" s="1" t="n">
        <v>45981</v>
      </c>
      <c r="D117" t="inlineStr">
        <is>
          <t>VÄSTRA GÖTALANDS LÄN</t>
        </is>
      </c>
      <c r="E117" t="inlineStr">
        <is>
          <t>ALE</t>
        </is>
      </c>
      <c r="G117" t="n">
        <v>3.4</v>
      </c>
      <c r="H117" t="n">
        <v>0</v>
      </c>
      <c r="I117" t="n">
        <v>0</v>
      </c>
      <c r="J117" t="n">
        <v>0</v>
      </c>
      <c r="K117" t="n">
        <v>0</v>
      </c>
      <c r="L117" t="n">
        <v>0</v>
      </c>
      <c r="M117" t="n">
        <v>0</v>
      </c>
      <c r="N117" t="n">
        <v>0</v>
      </c>
      <c r="O117" t="n">
        <v>0</v>
      </c>
      <c r="P117" t="n">
        <v>0</v>
      </c>
      <c r="Q117" t="n">
        <v>0</v>
      </c>
      <c r="R117" s="2" t="inlineStr"/>
    </row>
    <row r="118" ht="15" customHeight="1">
      <c r="A118" t="inlineStr">
        <is>
          <t>A 27314-2021</t>
        </is>
      </c>
      <c r="B118" s="1" t="n">
        <v>44351.36537037037</v>
      </c>
      <c r="C118" s="1" t="n">
        <v>45981</v>
      </c>
      <c r="D118" t="inlineStr">
        <is>
          <t>VÄSTRA GÖTALANDS LÄN</t>
        </is>
      </c>
      <c r="E118" t="inlineStr">
        <is>
          <t>ALE</t>
        </is>
      </c>
      <c r="G118" t="n">
        <v>11.3</v>
      </c>
      <c r="H118" t="n">
        <v>0</v>
      </c>
      <c r="I118" t="n">
        <v>0</v>
      </c>
      <c r="J118" t="n">
        <v>0</v>
      </c>
      <c r="K118" t="n">
        <v>0</v>
      </c>
      <c r="L118" t="n">
        <v>0</v>
      </c>
      <c r="M118" t="n">
        <v>0</v>
      </c>
      <c r="N118" t="n">
        <v>0</v>
      </c>
      <c r="O118" t="n">
        <v>0</v>
      </c>
      <c r="P118" t="n">
        <v>0</v>
      </c>
      <c r="Q118" t="n">
        <v>0</v>
      </c>
      <c r="R118" s="2" t="inlineStr"/>
    </row>
    <row r="119" ht="15" customHeight="1">
      <c r="A119" t="inlineStr">
        <is>
          <t>A 47592-2025</t>
        </is>
      </c>
      <c r="B119" s="1" t="n">
        <v>45931.44649305556</v>
      </c>
      <c r="C119" s="1" t="n">
        <v>45981</v>
      </c>
      <c r="D119" t="inlineStr">
        <is>
          <t>VÄSTRA GÖTALANDS LÄN</t>
        </is>
      </c>
      <c r="E119" t="inlineStr">
        <is>
          <t>ALE</t>
        </is>
      </c>
      <c r="G119" t="n">
        <v>0.6</v>
      </c>
      <c r="H119" t="n">
        <v>0</v>
      </c>
      <c r="I119" t="n">
        <v>0</v>
      </c>
      <c r="J119" t="n">
        <v>0</v>
      </c>
      <c r="K119" t="n">
        <v>0</v>
      </c>
      <c r="L119" t="n">
        <v>0</v>
      </c>
      <c r="M119" t="n">
        <v>0</v>
      </c>
      <c r="N119" t="n">
        <v>0</v>
      </c>
      <c r="O119" t="n">
        <v>0</v>
      </c>
      <c r="P119" t="n">
        <v>0</v>
      </c>
      <c r="Q119" t="n">
        <v>0</v>
      </c>
      <c r="R119" s="2" t="inlineStr"/>
    </row>
    <row r="120" ht="15" customHeight="1">
      <c r="A120" t="inlineStr">
        <is>
          <t>A 47330-2025</t>
        </is>
      </c>
      <c r="B120" s="1" t="n">
        <v>45930.56170138889</v>
      </c>
      <c r="C120" s="1" t="n">
        <v>45981</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47593-2025</t>
        </is>
      </c>
      <c r="B121" s="1" t="n">
        <v>45931.4480787037</v>
      </c>
      <c r="C121" s="1" t="n">
        <v>45981</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8659-2025</t>
        </is>
      </c>
      <c r="B122" s="1" t="n">
        <v>45712</v>
      </c>
      <c r="C122" s="1" t="n">
        <v>45981</v>
      </c>
      <c r="D122" t="inlineStr">
        <is>
          <t>VÄSTRA GÖTALANDS LÄN</t>
        </is>
      </c>
      <c r="E122" t="inlineStr">
        <is>
          <t>ALE</t>
        </is>
      </c>
      <c r="G122" t="n">
        <v>5.7</v>
      </c>
      <c r="H122" t="n">
        <v>0</v>
      </c>
      <c r="I122" t="n">
        <v>0</v>
      </c>
      <c r="J122" t="n">
        <v>0</v>
      </c>
      <c r="K122" t="n">
        <v>0</v>
      </c>
      <c r="L122" t="n">
        <v>0</v>
      </c>
      <c r="M122" t="n">
        <v>0</v>
      </c>
      <c r="N122" t="n">
        <v>0</v>
      </c>
      <c r="O122" t="n">
        <v>0</v>
      </c>
      <c r="P122" t="n">
        <v>0</v>
      </c>
      <c r="Q122" t="n">
        <v>0</v>
      </c>
      <c r="R122" s="2" t="inlineStr"/>
    </row>
    <row r="123" ht="15" customHeight="1">
      <c r="A123" t="inlineStr">
        <is>
          <t>A 5344-2024</t>
        </is>
      </c>
      <c r="B123" s="1" t="n">
        <v>45331</v>
      </c>
      <c r="C123" s="1" t="n">
        <v>45981</v>
      </c>
      <c r="D123" t="inlineStr">
        <is>
          <t>VÄSTRA GÖTALANDS LÄN</t>
        </is>
      </c>
      <c r="E123" t="inlineStr">
        <is>
          <t>ALE</t>
        </is>
      </c>
      <c r="G123" t="n">
        <v>2.5</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45981</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64199-2021</t>
        </is>
      </c>
      <c r="B125" s="1" t="n">
        <v>44510</v>
      </c>
      <c r="C125" s="1" t="n">
        <v>45981</v>
      </c>
      <c r="D125" t="inlineStr">
        <is>
          <t>VÄSTRA GÖTALANDS LÄN</t>
        </is>
      </c>
      <c r="E125" t="inlineStr">
        <is>
          <t>ALE</t>
        </is>
      </c>
      <c r="G125" t="n">
        <v>5.7</v>
      </c>
      <c r="H125" t="n">
        <v>0</v>
      </c>
      <c r="I125" t="n">
        <v>0</v>
      </c>
      <c r="J125" t="n">
        <v>0</v>
      </c>
      <c r="K125" t="n">
        <v>0</v>
      </c>
      <c r="L125" t="n">
        <v>0</v>
      </c>
      <c r="M125" t="n">
        <v>0</v>
      </c>
      <c r="N125" t="n">
        <v>0</v>
      </c>
      <c r="O125" t="n">
        <v>0</v>
      </c>
      <c r="P125" t="n">
        <v>0</v>
      </c>
      <c r="Q125" t="n">
        <v>0</v>
      </c>
      <c r="R125" s="2" t="inlineStr"/>
    </row>
    <row r="126" ht="15" customHeight="1">
      <c r="A126" t="inlineStr">
        <is>
          <t>A 47728-2025</t>
        </is>
      </c>
      <c r="B126" s="1" t="n">
        <v>45931.63186342592</v>
      </c>
      <c r="C126" s="1" t="n">
        <v>45981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1566-2022</t>
        </is>
      </c>
      <c r="B127" s="1" t="n">
        <v>44573</v>
      </c>
      <c r="C127" s="1" t="n">
        <v>45981</v>
      </c>
      <c r="D127" t="inlineStr">
        <is>
          <t>VÄSTRA GÖTALANDS LÄN</t>
        </is>
      </c>
      <c r="E127" t="inlineStr">
        <is>
          <t>ALE</t>
        </is>
      </c>
      <c r="G127" t="n">
        <v>3</v>
      </c>
      <c r="H127" t="n">
        <v>0</v>
      </c>
      <c r="I127" t="n">
        <v>0</v>
      </c>
      <c r="J127" t="n">
        <v>0</v>
      </c>
      <c r="K127" t="n">
        <v>0</v>
      </c>
      <c r="L127" t="n">
        <v>0</v>
      </c>
      <c r="M127" t="n">
        <v>0</v>
      </c>
      <c r="N127" t="n">
        <v>0</v>
      </c>
      <c r="O127" t="n">
        <v>0</v>
      </c>
      <c r="P127" t="n">
        <v>0</v>
      </c>
      <c r="Q127" t="n">
        <v>0</v>
      </c>
      <c r="R127" s="2" t="inlineStr"/>
    </row>
    <row r="128" ht="15" customHeight="1">
      <c r="A128" t="inlineStr">
        <is>
          <t>A 12445-2022</t>
        </is>
      </c>
      <c r="B128" s="1" t="n">
        <v>44638</v>
      </c>
      <c r="C128" s="1" t="n">
        <v>45981</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14458-2024</t>
        </is>
      </c>
      <c r="B129" s="1" t="n">
        <v>45394</v>
      </c>
      <c r="C129" s="1" t="n">
        <v>45981</v>
      </c>
      <c r="D129" t="inlineStr">
        <is>
          <t>VÄSTRA GÖTALANDS LÄN</t>
        </is>
      </c>
      <c r="E129" t="inlineStr">
        <is>
          <t>ALE</t>
        </is>
      </c>
      <c r="G129" t="n">
        <v>0.5</v>
      </c>
      <c r="H129" t="n">
        <v>0</v>
      </c>
      <c r="I129" t="n">
        <v>0</v>
      </c>
      <c r="J129" t="n">
        <v>0</v>
      </c>
      <c r="K129" t="n">
        <v>0</v>
      </c>
      <c r="L129" t="n">
        <v>0</v>
      </c>
      <c r="M129" t="n">
        <v>0</v>
      </c>
      <c r="N129" t="n">
        <v>0</v>
      </c>
      <c r="O129" t="n">
        <v>0</v>
      </c>
      <c r="P129" t="n">
        <v>0</v>
      </c>
      <c r="Q129" t="n">
        <v>0</v>
      </c>
      <c r="R129" s="2" t="inlineStr"/>
    </row>
    <row r="130" ht="15" customHeight="1">
      <c r="A130" t="inlineStr">
        <is>
          <t>A 57473-2022</t>
        </is>
      </c>
      <c r="B130" s="1" t="n">
        <v>44896</v>
      </c>
      <c r="C130" s="1" t="n">
        <v>45981</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67160-2021</t>
        </is>
      </c>
      <c r="B131" s="1" t="n">
        <v>44523</v>
      </c>
      <c r="C131" s="1" t="n">
        <v>45981</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42446-2023</t>
        </is>
      </c>
      <c r="B132" s="1" t="n">
        <v>45180</v>
      </c>
      <c r="C132" s="1" t="n">
        <v>45981</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48213-2025</t>
        </is>
      </c>
      <c r="B133" s="1" t="n">
        <v>45933</v>
      </c>
      <c r="C133" s="1" t="n">
        <v>45981</v>
      </c>
      <c r="D133" t="inlineStr">
        <is>
          <t>VÄSTRA GÖTALANDS LÄN</t>
        </is>
      </c>
      <c r="E133" t="inlineStr">
        <is>
          <t>ALE</t>
        </is>
      </c>
      <c r="G133" t="n">
        <v>3.3</v>
      </c>
      <c r="H133" t="n">
        <v>0</v>
      </c>
      <c r="I133" t="n">
        <v>0</v>
      </c>
      <c r="J133" t="n">
        <v>0</v>
      </c>
      <c r="K133" t="n">
        <v>0</v>
      </c>
      <c r="L133" t="n">
        <v>0</v>
      </c>
      <c r="M133" t="n">
        <v>0</v>
      </c>
      <c r="N133" t="n">
        <v>0</v>
      </c>
      <c r="O133" t="n">
        <v>0</v>
      </c>
      <c r="P133" t="n">
        <v>0</v>
      </c>
      <c r="Q133" t="n">
        <v>0</v>
      </c>
      <c r="R133" s="2" t="inlineStr"/>
    </row>
    <row r="134" ht="15" customHeight="1">
      <c r="A134" t="inlineStr">
        <is>
          <t>A 48218-2025</t>
        </is>
      </c>
      <c r="B134" s="1" t="n">
        <v>45933</v>
      </c>
      <c r="C134" s="1" t="n">
        <v>45981</v>
      </c>
      <c r="D134" t="inlineStr">
        <is>
          <t>VÄSTRA GÖTALANDS LÄN</t>
        </is>
      </c>
      <c r="E134" t="inlineStr">
        <is>
          <t>ALE</t>
        </is>
      </c>
      <c r="G134" t="n">
        <v>1.4</v>
      </c>
      <c r="H134" t="n">
        <v>0</v>
      </c>
      <c r="I134" t="n">
        <v>0</v>
      </c>
      <c r="J134" t="n">
        <v>0</v>
      </c>
      <c r="K134" t="n">
        <v>0</v>
      </c>
      <c r="L134" t="n">
        <v>0</v>
      </c>
      <c r="M134" t="n">
        <v>0</v>
      </c>
      <c r="N134" t="n">
        <v>0</v>
      </c>
      <c r="O134" t="n">
        <v>0</v>
      </c>
      <c r="P134" t="n">
        <v>0</v>
      </c>
      <c r="Q134" t="n">
        <v>0</v>
      </c>
      <c r="R134" s="2" t="inlineStr"/>
    </row>
    <row r="135" ht="15" customHeight="1">
      <c r="A135" t="inlineStr">
        <is>
          <t>A 29373-2025</t>
        </is>
      </c>
      <c r="B135" s="1" t="n">
        <v>45824.579375</v>
      </c>
      <c r="C135" s="1" t="n">
        <v>45981</v>
      </c>
      <c r="D135" t="inlineStr">
        <is>
          <t>VÄSTRA GÖTALANDS LÄN</t>
        </is>
      </c>
      <c r="E135" t="inlineStr">
        <is>
          <t>ALE</t>
        </is>
      </c>
      <c r="G135" t="n">
        <v>4.6</v>
      </c>
      <c r="H135" t="n">
        <v>0</v>
      </c>
      <c r="I135" t="n">
        <v>0</v>
      </c>
      <c r="J135" t="n">
        <v>0</v>
      </c>
      <c r="K135" t="n">
        <v>0</v>
      </c>
      <c r="L135" t="n">
        <v>0</v>
      </c>
      <c r="M135" t="n">
        <v>0</v>
      </c>
      <c r="N135" t="n">
        <v>0</v>
      </c>
      <c r="O135" t="n">
        <v>0</v>
      </c>
      <c r="P135" t="n">
        <v>0</v>
      </c>
      <c r="Q135" t="n">
        <v>0</v>
      </c>
      <c r="R135" s="2" t="inlineStr"/>
    </row>
    <row r="136" ht="15" customHeight="1">
      <c r="A136" t="inlineStr">
        <is>
          <t>A 13382-2025</t>
        </is>
      </c>
      <c r="B136" s="1" t="n">
        <v>45735.67928240741</v>
      </c>
      <c r="C136" s="1" t="n">
        <v>45981</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56905-2025</t>
        </is>
      </c>
      <c r="B137" s="1" t="n">
        <v>45978.57502314815</v>
      </c>
      <c r="C137" s="1" t="n">
        <v>45981</v>
      </c>
      <c r="D137" t="inlineStr">
        <is>
          <t>VÄSTRA GÖTALANDS LÄN</t>
        </is>
      </c>
      <c r="E137" t="inlineStr">
        <is>
          <t>ALE</t>
        </is>
      </c>
      <c r="G137" t="n">
        <v>5.2</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45737.63481481482</v>
      </c>
      <c r="C138" s="1" t="n">
        <v>45981</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33237-2024</t>
        </is>
      </c>
      <c r="B139" s="1" t="n">
        <v>45518.59173611111</v>
      </c>
      <c r="C139" s="1" t="n">
        <v>45981</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12055-2022</t>
        </is>
      </c>
      <c r="B140" s="1" t="n">
        <v>44636</v>
      </c>
      <c r="C140" s="1" t="n">
        <v>45981</v>
      </c>
      <c r="D140" t="inlineStr">
        <is>
          <t>VÄSTRA GÖTALANDS LÄN</t>
        </is>
      </c>
      <c r="E140" t="inlineStr">
        <is>
          <t>ALE</t>
        </is>
      </c>
      <c r="G140" t="n">
        <v>0.2</v>
      </c>
      <c r="H140" t="n">
        <v>0</v>
      </c>
      <c r="I140" t="n">
        <v>0</v>
      </c>
      <c r="J140" t="n">
        <v>0</v>
      </c>
      <c r="K140" t="n">
        <v>0</v>
      </c>
      <c r="L140" t="n">
        <v>0</v>
      </c>
      <c r="M140" t="n">
        <v>0</v>
      </c>
      <c r="N140" t="n">
        <v>0</v>
      </c>
      <c r="O140" t="n">
        <v>0</v>
      </c>
      <c r="P140" t="n">
        <v>0</v>
      </c>
      <c r="Q140" t="n">
        <v>0</v>
      </c>
      <c r="R140" s="2" t="inlineStr"/>
    </row>
    <row r="141" ht="15" customHeight="1">
      <c r="A141" t="inlineStr">
        <is>
          <t>A 31407-2025</t>
        </is>
      </c>
      <c r="B141" s="1" t="n">
        <v>45833</v>
      </c>
      <c r="C141" s="1" t="n">
        <v>45981</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31409-2025</t>
        </is>
      </c>
      <c r="B142" s="1" t="n">
        <v>45833</v>
      </c>
      <c r="C142" s="1" t="n">
        <v>45981</v>
      </c>
      <c r="D142" t="inlineStr">
        <is>
          <t>VÄSTRA GÖTALANDS LÄN</t>
        </is>
      </c>
      <c r="E142" t="inlineStr">
        <is>
          <t>ALE</t>
        </is>
      </c>
      <c r="G142" t="n">
        <v>0.8</v>
      </c>
      <c r="H142" t="n">
        <v>0</v>
      </c>
      <c r="I142" t="n">
        <v>0</v>
      </c>
      <c r="J142" t="n">
        <v>0</v>
      </c>
      <c r="K142" t="n">
        <v>0</v>
      </c>
      <c r="L142" t="n">
        <v>0</v>
      </c>
      <c r="M142" t="n">
        <v>0</v>
      </c>
      <c r="N142" t="n">
        <v>0</v>
      </c>
      <c r="O142" t="n">
        <v>0</v>
      </c>
      <c r="P142" t="n">
        <v>0</v>
      </c>
      <c r="Q142" t="n">
        <v>0</v>
      </c>
      <c r="R142" s="2" t="inlineStr"/>
    </row>
    <row r="143" ht="15" customHeight="1">
      <c r="A143" t="inlineStr">
        <is>
          <t>A 31488-2025</t>
        </is>
      </c>
      <c r="B143" s="1" t="n">
        <v>45833</v>
      </c>
      <c r="C143" s="1" t="n">
        <v>45981</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3520-2022</t>
        </is>
      </c>
      <c r="B144" s="1" t="n">
        <v>44585.72818287037</v>
      </c>
      <c r="C144" s="1" t="n">
        <v>45981</v>
      </c>
      <c r="D144" t="inlineStr">
        <is>
          <t>VÄSTRA GÖTALANDS LÄN</t>
        </is>
      </c>
      <c r="E144" t="inlineStr">
        <is>
          <t>ALE</t>
        </is>
      </c>
      <c r="G144" t="n">
        <v>2.3</v>
      </c>
      <c r="H144" t="n">
        <v>0</v>
      </c>
      <c r="I144" t="n">
        <v>0</v>
      </c>
      <c r="J144" t="n">
        <v>0</v>
      </c>
      <c r="K144" t="n">
        <v>0</v>
      </c>
      <c r="L144" t="n">
        <v>0</v>
      </c>
      <c r="M144" t="n">
        <v>0</v>
      </c>
      <c r="N144" t="n">
        <v>0</v>
      </c>
      <c r="O144" t="n">
        <v>0</v>
      </c>
      <c r="P144" t="n">
        <v>0</v>
      </c>
      <c r="Q144" t="n">
        <v>0</v>
      </c>
      <c r="R144" s="2" t="inlineStr"/>
    </row>
    <row r="145" ht="15" customHeight="1">
      <c r="A145" t="inlineStr">
        <is>
          <t>A 31533-2025</t>
        </is>
      </c>
      <c r="B145" s="1" t="n">
        <v>45833</v>
      </c>
      <c r="C145" s="1" t="n">
        <v>45981</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65226-2021</t>
        </is>
      </c>
      <c r="B146" s="1" t="n">
        <v>44515</v>
      </c>
      <c r="C146" s="1" t="n">
        <v>45981</v>
      </c>
      <c r="D146" t="inlineStr">
        <is>
          <t>VÄSTRA GÖTALANDS LÄN</t>
        </is>
      </c>
      <c r="E146" t="inlineStr">
        <is>
          <t>ALE</t>
        </is>
      </c>
      <c r="G146" t="n">
        <v>0.7</v>
      </c>
      <c r="H146" t="n">
        <v>0</v>
      </c>
      <c r="I146" t="n">
        <v>0</v>
      </c>
      <c r="J146" t="n">
        <v>0</v>
      </c>
      <c r="K146" t="n">
        <v>0</v>
      </c>
      <c r="L146" t="n">
        <v>0</v>
      </c>
      <c r="M146" t="n">
        <v>0</v>
      </c>
      <c r="N146" t="n">
        <v>0</v>
      </c>
      <c r="O146" t="n">
        <v>0</v>
      </c>
      <c r="P146" t="n">
        <v>0</v>
      </c>
      <c r="Q146" t="n">
        <v>0</v>
      </c>
      <c r="R146" s="2" t="inlineStr"/>
    </row>
    <row r="147" ht="15" customHeight="1">
      <c r="A147" t="inlineStr">
        <is>
          <t>A 36763-2022</t>
        </is>
      </c>
      <c r="B147" s="1" t="n">
        <v>44805</v>
      </c>
      <c r="C147" s="1" t="n">
        <v>45981</v>
      </c>
      <c r="D147" t="inlineStr">
        <is>
          <t>VÄSTRA GÖTALANDS LÄN</t>
        </is>
      </c>
      <c r="E147" t="inlineStr">
        <is>
          <t>ALE</t>
        </is>
      </c>
      <c r="G147" t="n">
        <v>6.1</v>
      </c>
      <c r="H147" t="n">
        <v>0</v>
      </c>
      <c r="I147" t="n">
        <v>0</v>
      </c>
      <c r="J147" t="n">
        <v>0</v>
      </c>
      <c r="K147" t="n">
        <v>0</v>
      </c>
      <c r="L147" t="n">
        <v>0</v>
      </c>
      <c r="M147" t="n">
        <v>0</v>
      </c>
      <c r="N147" t="n">
        <v>0</v>
      </c>
      <c r="O147" t="n">
        <v>0</v>
      </c>
      <c r="P147" t="n">
        <v>0</v>
      </c>
      <c r="Q147" t="n">
        <v>0</v>
      </c>
      <c r="R147" s="2" t="inlineStr"/>
    </row>
    <row r="148" ht="15" customHeight="1">
      <c r="A148" t="inlineStr">
        <is>
          <t>A 3407-2023</t>
        </is>
      </c>
      <c r="B148" s="1" t="n">
        <v>44949.54909722223</v>
      </c>
      <c r="C148" s="1" t="n">
        <v>45981</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18999-2021</t>
        </is>
      </c>
      <c r="B149" s="1" t="n">
        <v>44308</v>
      </c>
      <c r="C149" s="1" t="n">
        <v>45981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15241-2025</t>
        </is>
      </c>
      <c r="B150" s="1" t="n">
        <v>45744.61255787037</v>
      </c>
      <c r="C150" s="1" t="n">
        <v>45981</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17044-2025</t>
        </is>
      </c>
      <c r="B151" s="1" t="n">
        <v>45755.58891203703</v>
      </c>
      <c r="C151" s="1" t="n">
        <v>45981</v>
      </c>
      <c r="D151" t="inlineStr">
        <is>
          <t>VÄSTRA GÖTALANDS LÄN</t>
        </is>
      </c>
      <c r="E151" t="inlineStr">
        <is>
          <t>ALE</t>
        </is>
      </c>
      <c r="G151" t="n">
        <v>1.5</v>
      </c>
      <c r="H151" t="n">
        <v>0</v>
      </c>
      <c r="I151" t="n">
        <v>0</v>
      </c>
      <c r="J151" t="n">
        <v>0</v>
      </c>
      <c r="K151" t="n">
        <v>0</v>
      </c>
      <c r="L151" t="n">
        <v>0</v>
      </c>
      <c r="M151" t="n">
        <v>0</v>
      </c>
      <c r="N151" t="n">
        <v>0</v>
      </c>
      <c r="O151" t="n">
        <v>0</v>
      </c>
      <c r="P151" t="n">
        <v>0</v>
      </c>
      <c r="Q151" t="n">
        <v>0</v>
      </c>
      <c r="R151" s="2" t="inlineStr"/>
    </row>
    <row r="152" ht="15" customHeight="1">
      <c r="A152" t="inlineStr">
        <is>
          <t>A 49680-2024</t>
        </is>
      </c>
      <c r="B152" s="1" t="n">
        <v>45596.66880787037</v>
      </c>
      <c r="C152" s="1" t="n">
        <v>45981</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55488-2022</t>
        </is>
      </c>
      <c r="B153" s="1" t="n">
        <v>44887</v>
      </c>
      <c r="C153" s="1" t="n">
        <v>45981</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34153-2024</t>
        </is>
      </c>
      <c r="B154" s="1" t="n">
        <v>45524.38400462963</v>
      </c>
      <c r="C154" s="1" t="n">
        <v>45981</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14731-2022</t>
        </is>
      </c>
      <c r="B155" s="1" t="n">
        <v>44656</v>
      </c>
      <c r="C155" s="1" t="n">
        <v>45981</v>
      </c>
      <c r="D155" t="inlineStr">
        <is>
          <t>VÄSTRA GÖTALANDS LÄN</t>
        </is>
      </c>
      <c r="E155" t="inlineStr">
        <is>
          <t>ALE</t>
        </is>
      </c>
      <c r="G155" t="n">
        <v>1.8</v>
      </c>
      <c r="H155" t="n">
        <v>0</v>
      </c>
      <c r="I155" t="n">
        <v>0</v>
      </c>
      <c r="J155" t="n">
        <v>0</v>
      </c>
      <c r="K155" t="n">
        <v>0</v>
      </c>
      <c r="L155" t="n">
        <v>0</v>
      </c>
      <c r="M155" t="n">
        <v>0</v>
      </c>
      <c r="N155" t="n">
        <v>0</v>
      </c>
      <c r="O155" t="n">
        <v>0</v>
      </c>
      <c r="P155" t="n">
        <v>0</v>
      </c>
      <c r="Q155" t="n">
        <v>0</v>
      </c>
      <c r="R155" s="2" t="inlineStr"/>
    </row>
    <row r="156" ht="15" customHeight="1">
      <c r="A156" t="inlineStr">
        <is>
          <t>A 16601-2025</t>
        </is>
      </c>
      <c r="B156" s="1" t="n">
        <v>45753.53189814815</v>
      </c>
      <c r="C156" s="1" t="n">
        <v>45981</v>
      </c>
      <c r="D156" t="inlineStr">
        <is>
          <t>VÄSTRA GÖTALANDS LÄN</t>
        </is>
      </c>
      <c r="E156" t="inlineStr">
        <is>
          <t>ALE</t>
        </is>
      </c>
      <c r="G156" t="n">
        <v>1.7</v>
      </c>
      <c r="H156" t="n">
        <v>0</v>
      </c>
      <c r="I156" t="n">
        <v>0</v>
      </c>
      <c r="J156" t="n">
        <v>0</v>
      </c>
      <c r="K156" t="n">
        <v>0</v>
      </c>
      <c r="L156" t="n">
        <v>0</v>
      </c>
      <c r="M156" t="n">
        <v>0</v>
      </c>
      <c r="N156" t="n">
        <v>0</v>
      </c>
      <c r="O156" t="n">
        <v>0</v>
      </c>
      <c r="P156" t="n">
        <v>0</v>
      </c>
      <c r="Q156" t="n">
        <v>0</v>
      </c>
      <c r="R156" s="2" t="inlineStr"/>
    </row>
    <row r="157" ht="15" customHeight="1">
      <c r="A157" t="inlineStr">
        <is>
          <t>A 36403-2024</t>
        </is>
      </c>
      <c r="B157" s="1" t="n">
        <v>45535.69445601852</v>
      </c>
      <c r="C157" s="1" t="n">
        <v>45981</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41598-2022</t>
        </is>
      </c>
      <c r="B158" s="1" t="n">
        <v>44827.4609837963</v>
      </c>
      <c r="C158" s="1" t="n">
        <v>45981</v>
      </c>
      <c r="D158" t="inlineStr">
        <is>
          <t>VÄSTRA GÖTALANDS LÄN</t>
        </is>
      </c>
      <c r="E158" t="inlineStr">
        <is>
          <t>ALE</t>
        </is>
      </c>
      <c r="G158" t="n">
        <v>2</v>
      </c>
      <c r="H158" t="n">
        <v>0</v>
      </c>
      <c r="I158" t="n">
        <v>0</v>
      </c>
      <c r="J158" t="n">
        <v>0</v>
      </c>
      <c r="K158" t="n">
        <v>0</v>
      </c>
      <c r="L158" t="n">
        <v>0</v>
      </c>
      <c r="M158" t="n">
        <v>0</v>
      </c>
      <c r="N158" t="n">
        <v>0</v>
      </c>
      <c r="O158" t="n">
        <v>0</v>
      </c>
      <c r="P158" t="n">
        <v>0</v>
      </c>
      <c r="Q158" t="n">
        <v>0</v>
      </c>
      <c r="R158" s="2" t="inlineStr"/>
    </row>
    <row r="159" ht="15" customHeight="1">
      <c r="A159" t="inlineStr">
        <is>
          <t>A 200-2022</t>
        </is>
      </c>
      <c r="B159" s="1" t="n">
        <v>44564</v>
      </c>
      <c r="C159" s="1" t="n">
        <v>45981</v>
      </c>
      <c r="D159" t="inlineStr">
        <is>
          <t>VÄSTRA GÖTALANDS LÄN</t>
        </is>
      </c>
      <c r="E159" t="inlineStr">
        <is>
          <t>ALE</t>
        </is>
      </c>
      <c r="G159" t="n">
        <v>6.8</v>
      </c>
      <c r="H159" t="n">
        <v>0</v>
      </c>
      <c r="I159" t="n">
        <v>0</v>
      </c>
      <c r="J159" t="n">
        <v>0</v>
      </c>
      <c r="K159" t="n">
        <v>0</v>
      </c>
      <c r="L159" t="n">
        <v>0</v>
      </c>
      <c r="M159" t="n">
        <v>0</v>
      </c>
      <c r="N159" t="n">
        <v>0</v>
      </c>
      <c r="O159" t="n">
        <v>0</v>
      </c>
      <c r="P159" t="n">
        <v>0</v>
      </c>
      <c r="Q159" t="n">
        <v>0</v>
      </c>
      <c r="R159" s="2" t="inlineStr"/>
    </row>
    <row r="160" ht="15" customHeight="1">
      <c r="A160" t="inlineStr">
        <is>
          <t>A 4642-2024</t>
        </is>
      </c>
      <c r="B160" s="1" t="n">
        <v>45328.43502314815</v>
      </c>
      <c r="C160" s="1" t="n">
        <v>45981</v>
      </c>
      <c r="D160" t="inlineStr">
        <is>
          <t>VÄSTRA GÖTALANDS LÄN</t>
        </is>
      </c>
      <c r="E160" t="inlineStr">
        <is>
          <t>ALE</t>
        </is>
      </c>
      <c r="G160" t="n">
        <v>7.1</v>
      </c>
      <c r="H160" t="n">
        <v>0</v>
      </c>
      <c r="I160" t="n">
        <v>0</v>
      </c>
      <c r="J160" t="n">
        <v>0</v>
      </c>
      <c r="K160" t="n">
        <v>0</v>
      </c>
      <c r="L160" t="n">
        <v>0</v>
      </c>
      <c r="M160" t="n">
        <v>0</v>
      </c>
      <c r="N160" t="n">
        <v>0</v>
      </c>
      <c r="O160" t="n">
        <v>0</v>
      </c>
      <c r="P160" t="n">
        <v>0</v>
      </c>
      <c r="Q160" t="n">
        <v>0</v>
      </c>
      <c r="R160" s="2" t="inlineStr"/>
    </row>
    <row r="161" ht="15" customHeight="1">
      <c r="A161" t="inlineStr">
        <is>
          <t>A 69325-2020</t>
        </is>
      </c>
      <c r="B161" s="1" t="n">
        <v>44193</v>
      </c>
      <c r="C161" s="1" t="n">
        <v>45981</v>
      </c>
      <c r="D161" t="inlineStr">
        <is>
          <t>VÄSTRA GÖTALANDS LÄN</t>
        </is>
      </c>
      <c r="E161" t="inlineStr">
        <is>
          <t>ALE</t>
        </is>
      </c>
      <c r="G161" t="n">
        <v>1</v>
      </c>
      <c r="H161" t="n">
        <v>0</v>
      </c>
      <c r="I161" t="n">
        <v>0</v>
      </c>
      <c r="J161" t="n">
        <v>0</v>
      </c>
      <c r="K161" t="n">
        <v>0</v>
      </c>
      <c r="L161" t="n">
        <v>0</v>
      </c>
      <c r="M161" t="n">
        <v>0</v>
      </c>
      <c r="N161" t="n">
        <v>0</v>
      </c>
      <c r="O161" t="n">
        <v>0</v>
      </c>
      <c r="P161" t="n">
        <v>0</v>
      </c>
      <c r="Q161" t="n">
        <v>0</v>
      </c>
      <c r="R161" s="2" t="inlineStr"/>
    </row>
    <row r="162" ht="15" customHeight="1">
      <c r="A162" t="inlineStr">
        <is>
          <t>A 15582-2025</t>
        </is>
      </c>
      <c r="B162" s="1" t="n">
        <v>45747.81394675926</v>
      </c>
      <c r="C162" s="1" t="n">
        <v>45981</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7892-2024</t>
        </is>
      </c>
      <c r="B163" s="1" t="n">
        <v>45350.40921296296</v>
      </c>
      <c r="C163" s="1" t="n">
        <v>45981</v>
      </c>
      <c r="D163" t="inlineStr">
        <is>
          <t>VÄSTRA GÖTALANDS LÄN</t>
        </is>
      </c>
      <c r="E163" t="inlineStr">
        <is>
          <t>ALE</t>
        </is>
      </c>
      <c r="G163" t="n">
        <v>3.6</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45981</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3457-2022</t>
        </is>
      </c>
      <c r="B165" s="1" t="n">
        <v>44585</v>
      </c>
      <c r="C165" s="1" t="n">
        <v>45981</v>
      </c>
      <c r="D165" t="inlineStr">
        <is>
          <t>VÄSTRA GÖTALANDS LÄN</t>
        </is>
      </c>
      <c r="E165" t="inlineStr">
        <is>
          <t>ALE</t>
        </is>
      </c>
      <c r="G165" t="n">
        <v>5.1</v>
      </c>
      <c r="H165" t="n">
        <v>0</v>
      </c>
      <c r="I165" t="n">
        <v>0</v>
      </c>
      <c r="J165" t="n">
        <v>0</v>
      </c>
      <c r="K165" t="n">
        <v>0</v>
      </c>
      <c r="L165" t="n">
        <v>0</v>
      </c>
      <c r="M165" t="n">
        <v>0</v>
      </c>
      <c r="N165" t="n">
        <v>0</v>
      </c>
      <c r="O165" t="n">
        <v>0</v>
      </c>
      <c r="P165" t="n">
        <v>0</v>
      </c>
      <c r="Q165" t="n">
        <v>0</v>
      </c>
      <c r="R165" s="2" t="inlineStr"/>
    </row>
    <row r="166">
      <c r="A166" t="inlineStr">
        <is>
          <t>A 8956-2025</t>
        </is>
      </c>
      <c r="B166" s="1" t="n">
        <v>45713.46825231481</v>
      </c>
      <c r="C166" s="1" t="n">
        <v>45981</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2025-11-20T17:01:07Z</dcterms:created>
  <dcterms:modified xmlns:dcterms="http://purl.org/dc/terms/" xmlns:xsi="http://www.w3.org/2001/XMLSchema-instance" xsi:type="dcterms:W3CDTF">2025-11-20T17:01:07Z</dcterms:modified>
</cp:coreProperties>
</file>