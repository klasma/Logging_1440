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46060</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46060</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46060</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46060</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46060</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32849-2023</t>
        </is>
      </c>
      <c r="B8" s="1" t="n">
        <v>45124</v>
      </c>
      <c r="C8" s="1" t="n">
        <v>46060</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22637-2025</t>
        </is>
      </c>
      <c r="B9" s="1" t="n">
        <v>45789</v>
      </c>
      <c r="C9" s="1" t="n">
        <v>46060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46060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46060</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v>
      </c>
      <c r="C12" s="1" t="n">
        <v>46060</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37005-2025</t>
        </is>
      </c>
      <c r="B13" s="1" t="n">
        <v>45874.69311342593</v>
      </c>
      <c r="C13" s="1" t="n">
        <v>46060</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46060</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46060</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v>
      </c>
      <c r="C16" s="1" t="n">
        <v>46060</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26491-2024</t>
        </is>
      </c>
      <c r="B17" s="1" t="n">
        <v>45469</v>
      </c>
      <c r="C17" s="1" t="n">
        <v>46060</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46060</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60293-2025</t>
        </is>
      </c>
      <c r="B19" s="1" t="n">
        <v>45994.65568287037</v>
      </c>
      <c r="C19" s="1" t="n">
        <v>46060</v>
      </c>
      <c r="D19" t="inlineStr">
        <is>
          <t>VÄSTRA GÖTALANDS LÄN</t>
        </is>
      </c>
      <c r="E19" t="inlineStr">
        <is>
          <t>ALE</t>
        </is>
      </c>
      <c r="G19" t="n">
        <v>1.9</v>
      </c>
      <c r="H19" t="n">
        <v>2</v>
      </c>
      <c r="I19" t="n">
        <v>2</v>
      </c>
      <c r="J19" t="n">
        <v>2</v>
      </c>
      <c r="K19" t="n">
        <v>0</v>
      </c>
      <c r="L19" t="n">
        <v>0</v>
      </c>
      <c r="M19" t="n">
        <v>0</v>
      </c>
      <c r="N19" t="n">
        <v>0</v>
      </c>
      <c r="O19" t="n">
        <v>2</v>
      </c>
      <c r="P19" t="n">
        <v>0</v>
      </c>
      <c r="Q19" t="n">
        <v>4</v>
      </c>
      <c r="R19" s="2" t="inlineStr">
        <is>
          <t>Entita
Rödvingetrast
Björksplintborre
Gulnål</t>
        </is>
      </c>
      <c r="S19">
        <f>HYPERLINK("https://klasma.github.io/Logging_1440/artfynd/A 60293-2025 artfynd.xlsx", "A 60293-2025")</f>
        <v/>
      </c>
      <c r="T19">
        <f>HYPERLINK("https://klasma.github.io/Logging_1440/kartor/A 60293-2025 karta.png", "A 60293-2025")</f>
        <v/>
      </c>
      <c r="V19">
        <f>HYPERLINK("https://klasma.github.io/Logging_1440/klagomål/A 60293-2025 FSC-klagomål.docx", "A 60293-2025")</f>
        <v/>
      </c>
      <c r="W19">
        <f>HYPERLINK("https://klasma.github.io/Logging_1440/klagomålsmail/A 60293-2025 FSC-klagomål mail.docx", "A 60293-2025")</f>
        <v/>
      </c>
      <c r="X19">
        <f>HYPERLINK("https://klasma.github.io/Logging_1440/tillsyn/A 60293-2025 tillsynsbegäran.docx", "A 60293-2025")</f>
        <v/>
      </c>
      <c r="Y19">
        <f>HYPERLINK("https://klasma.github.io/Logging_1440/tillsynsmail/A 60293-2025 tillsynsbegäran mail.docx", "A 60293-2025")</f>
        <v/>
      </c>
      <c r="Z19">
        <f>HYPERLINK("https://klasma.github.io/Logging_1440/fåglar/A 60293-2025 prioriterade fågelarter.docx", "A 60293-2025")</f>
        <v/>
      </c>
    </row>
    <row r="20" ht="15" customHeight="1">
      <c r="A20" t="inlineStr">
        <is>
          <t>A 19934-2025</t>
        </is>
      </c>
      <c r="B20" s="1" t="n">
        <v>45771</v>
      </c>
      <c r="C20" s="1" t="n">
        <v>46060</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63575-2023</t>
        </is>
      </c>
      <c r="B21" s="1" t="n">
        <v>45275.39715277778</v>
      </c>
      <c r="C21" s="1" t="n">
        <v>46060</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1503-2024</t>
        </is>
      </c>
      <c r="B22" s="1" t="n">
        <v>45306.35041666667</v>
      </c>
      <c r="C22" s="1" t="n">
        <v>46060</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63569-2023</t>
        </is>
      </c>
      <c r="B23" s="1" t="n">
        <v>45275</v>
      </c>
      <c r="C23" s="1" t="n">
        <v>46060</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2270-2025</t>
        </is>
      </c>
      <c r="B24" s="1" t="n">
        <v>45673.54403935185</v>
      </c>
      <c r="C24" s="1" t="n">
        <v>46060</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40931-2025</t>
        </is>
      </c>
      <c r="B25" s="1" t="n">
        <v>45897.64783564815</v>
      </c>
      <c r="C25" s="1" t="n">
        <v>46060</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13380-2025</t>
        </is>
      </c>
      <c r="B26" s="1" t="n">
        <v>45735.6765162037</v>
      </c>
      <c r="C26" s="1" t="n">
        <v>46060</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45751.65315972222</v>
      </c>
      <c r="C27" s="1" t="n">
        <v>46060</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46060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46060</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46060</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42660-2024</t>
        </is>
      </c>
      <c r="B31" s="1" t="n">
        <v>45566.33841435185</v>
      </c>
      <c r="C31" s="1" t="n">
        <v>46060</v>
      </c>
      <c r="D31" t="inlineStr">
        <is>
          <t>VÄSTRA GÖTALANDS LÄN</t>
        </is>
      </c>
      <c r="E31" t="inlineStr">
        <is>
          <t>ALE</t>
        </is>
      </c>
      <c r="G31" t="n">
        <v>2.5</v>
      </c>
      <c r="H31" t="n">
        <v>2</v>
      </c>
      <c r="I31" t="n">
        <v>0</v>
      </c>
      <c r="J31" t="n">
        <v>0</v>
      </c>
      <c r="K31" t="n">
        <v>0</v>
      </c>
      <c r="L31" t="n">
        <v>0</v>
      </c>
      <c r="M31" t="n">
        <v>0</v>
      </c>
      <c r="N31" t="n">
        <v>0</v>
      </c>
      <c r="O31" t="n">
        <v>0</v>
      </c>
      <c r="P31" t="n">
        <v>0</v>
      </c>
      <c r="Q31" t="n">
        <v>2</v>
      </c>
      <c r="R31" s="2" t="inlineStr">
        <is>
          <t>Mattlummer
Revlummer</t>
        </is>
      </c>
      <c r="S31">
        <f>HYPERLINK("https://klasma.github.io/Logging_1440/artfynd/A 42660-2024 artfynd.xlsx", "A 42660-2024")</f>
        <v/>
      </c>
      <c r="T31">
        <f>HYPERLINK("https://klasma.github.io/Logging_1440/kartor/A 42660-2024 karta.png", "A 42660-2024")</f>
        <v/>
      </c>
      <c r="V31">
        <f>HYPERLINK("https://klasma.github.io/Logging_1440/klagomål/A 42660-2024 FSC-klagomål.docx", "A 42660-2024")</f>
        <v/>
      </c>
      <c r="W31">
        <f>HYPERLINK("https://klasma.github.io/Logging_1440/klagomålsmail/A 42660-2024 FSC-klagomål mail.docx", "A 42660-2024")</f>
        <v/>
      </c>
      <c r="X31">
        <f>HYPERLINK("https://klasma.github.io/Logging_1440/tillsyn/A 42660-2024 tillsynsbegäran.docx", "A 42660-2024")</f>
        <v/>
      </c>
      <c r="Y31">
        <f>HYPERLINK("https://klasma.github.io/Logging_1440/tillsynsmail/A 42660-2024 tillsynsbegäran mail.docx", "A 42660-2024")</f>
        <v/>
      </c>
    </row>
    <row r="32" ht="15" customHeight="1">
      <c r="A32" t="inlineStr">
        <is>
          <t>A 58954-2022</t>
        </is>
      </c>
      <c r="B32" s="1" t="n">
        <v>44903</v>
      </c>
      <c r="C32" s="1" t="n">
        <v>46060</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26677-2025</t>
        </is>
      </c>
      <c r="B33" s="1" t="n">
        <v>45810.42446759259</v>
      </c>
      <c r="C33" s="1" t="n">
        <v>46060</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13902-2025</t>
        </is>
      </c>
      <c r="B34" s="1" t="n">
        <v>45737.63446759259</v>
      </c>
      <c r="C34" s="1" t="n">
        <v>46060</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47330-2025</t>
        </is>
      </c>
      <c r="B35" s="1" t="n">
        <v>45930.56170138889</v>
      </c>
      <c r="C35" s="1" t="n">
        <v>46060</v>
      </c>
      <c r="D35" t="inlineStr">
        <is>
          <t>VÄSTRA GÖTALANDS LÄN</t>
        </is>
      </c>
      <c r="E35" t="inlineStr">
        <is>
          <t>ALE</t>
        </is>
      </c>
      <c r="G35" t="n">
        <v>3.7</v>
      </c>
      <c r="H35" t="n">
        <v>1</v>
      </c>
      <c r="I35" t="n">
        <v>0</v>
      </c>
      <c r="J35" t="n">
        <v>1</v>
      </c>
      <c r="K35" t="n">
        <v>0</v>
      </c>
      <c r="L35" t="n">
        <v>0</v>
      </c>
      <c r="M35" t="n">
        <v>0</v>
      </c>
      <c r="N35" t="n">
        <v>0</v>
      </c>
      <c r="O35" t="n">
        <v>1</v>
      </c>
      <c r="P35" t="n">
        <v>0</v>
      </c>
      <c r="Q35" t="n">
        <v>1</v>
      </c>
      <c r="R35" s="2" t="inlineStr">
        <is>
          <t>Spillkråka</t>
        </is>
      </c>
      <c r="S35">
        <f>HYPERLINK("https://klasma.github.io/Logging_1440/artfynd/A 47330-2025 artfynd.xlsx", "A 47330-2025")</f>
        <v/>
      </c>
      <c r="T35">
        <f>HYPERLINK("https://klasma.github.io/Logging_1440/kartor/A 47330-2025 karta.png", "A 47330-2025")</f>
        <v/>
      </c>
      <c r="V35">
        <f>HYPERLINK("https://klasma.github.io/Logging_1440/klagomål/A 47330-2025 FSC-klagomål.docx", "A 47330-2025")</f>
        <v/>
      </c>
      <c r="W35">
        <f>HYPERLINK("https://klasma.github.io/Logging_1440/klagomålsmail/A 47330-2025 FSC-klagomål mail.docx", "A 47330-2025")</f>
        <v/>
      </c>
      <c r="X35">
        <f>HYPERLINK("https://klasma.github.io/Logging_1440/tillsyn/A 47330-2025 tillsynsbegäran.docx", "A 47330-2025")</f>
        <v/>
      </c>
      <c r="Y35">
        <f>HYPERLINK("https://klasma.github.io/Logging_1440/tillsynsmail/A 47330-2025 tillsynsbegäran mail.docx", "A 47330-2025")</f>
        <v/>
      </c>
      <c r="Z35">
        <f>HYPERLINK("https://klasma.github.io/Logging_1440/fåglar/A 47330-2025 prioriterade fågelarter.docx", "A 47330-2025")</f>
        <v/>
      </c>
    </row>
    <row r="36" ht="15" customHeight="1">
      <c r="A36" t="inlineStr">
        <is>
          <t>A 58412-2025</t>
        </is>
      </c>
      <c r="B36" s="1" t="n">
        <v>45985.57564814815</v>
      </c>
      <c r="C36" s="1" t="n">
        <v>46060</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62524-2025</t>
        </is>
      </c>
      <c r="B37" s="1" t="n">
        <v>46007.6247337963</v>
      </c>
      <c r="C37" s="1" t="n">
        <v>46060</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12084-2025</t>
        </is>
      </c>
      <c r="B38" s="1" t="n">
        <v>45728.95387731482</v>
      </c>
      <c r="C38" s="1" t="n">
        <v>46060</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46060</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46060</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46060</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46060</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46060</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46060</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46060</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46060</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46060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46060</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46060</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46060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46060</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46060</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46060</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46060</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46060</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46060</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46060</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46060</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46060</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46060</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46060</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46060</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46060</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1822-2024</t>
        </is>
      </c>
      <c r="B64" s="1" t="n">
        <v>45307.6205787037</v>
      </c>
      <c r="C64" s="1" t="n">
        <v>46060</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3418-2023</t>
        </is>
      </c>
      <c r="B65" s="1" t="n">
        <v>44949.56182870371</v>
      </c>
      <c r="C65" s="1" t="n">
        <v>46060</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1960-2024</t>
        </is>
      </c>
      <c r="B66" s="1" t="n">
        <v>45308.50962962963</v>
      </c>
      <c r="C66" s="1" t="n">
        <v>46060</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41607-2022</t>
        </is>
      </c>
      <c r="B67" s="1" t="n">
        <v>44827.46658564815</v>
      </c>
      <c r="C67" s="1" t="n">
        <v>46060</v>
      </c>
      <c r="D67" t="inlineStr">
        <is>
          <t>VÄSTRA GÖTALANDS LÄN</t>
        </is>
      </c>
      <c r="E67" t="inlineStr">
        <is>
          <t>ALE</t>
        </is>
      </c>
      <c r="G67" t="n">
        <v>3.6</v>
      </c>
      <c r="H67" t="n">
        <v>0</v>
      </c>
      <c r="I67" t="n">
        <v>0</v>
      </c>
      <c r="J67" t="n">
        <v>0</v>
      </c>
      <c r="K67" t="n">
        <v>0</v>
      </c>
      <c r="L67" t="n">
        <v>0</v>
      </c>
      <c r="M67" t="n">
        <v>0</v>
      </c>
      <c r="N67" t="n">
        <v>0</v>
      </c>
      <c r="O67" t="n">
        <v>0</v>
      </c>
      <c r="P67" t="n">
        <v>0</v>
      </c>
      <c r="Q67" t="n">
        <v>0</v>
      </c>
      <c r="R67" s="2" t="inlineStr"/>
    </row>
    <row r="68" ht="15" customHeight="1">
      <c r="A68" t="inlineStr">
        <is>
          <t>A 15499-2022</t>
        </is>
      </c>
      <c r="B68" s="1" t="n">
        <v>44662</v>
      </c>
      <c r="C68" s="1" t="n">
        <v>46060</v>
      </c>
      <c r="D68" t="inlineStr">
        <is>
          <t>VÄSTRA GÖTALANDS LÄN</t>
        </is>
      </c>
      <c r="E68" t="inlineStr">
        <is>
          <t>ALE</t>
        </is>
      </c>
      <c r="G68" t="n">
        <v>4.7</v>
      </c>
      <c r="H68" t="n">
        <v>0</v>
      </c>
      <c r="I68" t="n">
        <v>0</v>
      </c>
      <c r="J68" t="n">
        <v>0</v>
      </c>
      <c r="K68" t="n">
        <v>0</v>
      </c>
      <c r="L68" t="n">
        <v>0</v>
      </c>
      <c r="M68" t="n">
        <v>0</v>
      </c>
      <c r="N68" t="n">
        <v>0</v>
      </c>
      <c r="O68" t="n">
        <v>0</v>
      </c>
      <c r="P68" t="n">
        <v>0</v>
      </c>
      <c r="Q68" t="n">
        <v>0</v>
      </c>
      <c r="R68" s="2" t="inlineStr"/>
    </row>
    <row r="69" ht="15" customHeight="1">
      <c r="A69" t="inlineStr">
        <is>
          <t>A 53476-2023</t>
        </is>
      </c>
      <c r="B69" s="1" t="n">
        <v>45230.33737268519</v>
      </c>
      <c r="C69" s="1" t="n">
        <v>46060</v>
      </c>
      <c r="D69" t="inlineStr">
        <is>
          <t>VÄSTRA GÖTALANDS LÄN</t>
        </is>
      </c>
      <c r="E69" t="inlineStr">
        <is>
          <t>ALE</t>
        </is>
      </c>
      <c r="G69" t="n">
        <v>1.9</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46060</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55405-2021</t>
        </is>
      </c>
      <c r="B71" s="1" t="n">
        <v>44475.53733796296</v>
      </c>
      <c r="C71" s="1" t="n">
        <v>46060</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51164-2024</t>
        </is>
      </c>
      <c r="B72" s="1" t="n">
        <v>45603.5830787037</v>
      </c>
      <c r="C72" s="1" t="n">
        <v>46060</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25849-2025</t>
        </is>
      </c>
      <c r="B73" s="1" t="n">
        <v>45804</v>
      </c>
      <c r="C73" s="1" t="n">
        <v>46060</v>
      </c>
      <c r="D73" t="inlineStr">
        <is>
          <t>VÄSTRA GÖTALANDS LÄN</t>
        </is>
      </c>
      <c r="E73" t="inlineStr">
        <is>
          <t>ALE</t>
        </is>
      </c>
      <c r="G73" t="n">
        <v>0.8</v>
      </c>
      <c r="H73" t="n">
        <v>0</v>
      </c>
      <c r="I73" t="n">
        <v>0</v>
      </c>
      <c r="J73" t="n">
        <v>0</v>
      </c>
      <c r="K73" t="n">
        <v>0</v>
      </c>
      <c r="L73" t="n">
        <v>0</v>
      </c>
      <c r="M73" t="n">
        <v>0</v>
      </c>
      <c r="N73" t="n">
        <v>0</v>
      </c>
      <c r="O73" t="n">
        <v>0</v>
      </c>
      <c r="P73" t="n">
        <v>0</v>
      </c>
      <c r="Q73" t="n">
        <v>0</v>
      </c>
      <c r="R73" s="2" t="inlineStr"/>
    </row>
    <row r="74" ht="15" customHeight="1">
      <c r="A74" t="inlineStr">
        <is>
          <t>A 25848-2025</t>
        </is>
      </c>
      <c r="B74" s="1" t="n">
        <v>45804</v>
      </c>
      <c r="C74" s="1" t="n">
        <v>46060</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25840-2025</t>
        </is>
      </c>
      <c r="B75" s="1" t="n">
        <v>45804</v>
      </c>
      <c r="C75" s="1" t="n">
        <v>46060</v>
      </c>
      <c r="D75" t="inlineStr">
        <is>
          <t>VÄSTRA GÖTALANDS LÄN</t>
        </is>
      </c>
      <c r="E75" t="inlineStr">
        <is>
          <t>ALE</t>
        </is>
      </c>
      <c r="G75" t="n">
        <v>3.8</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46060</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24642-2022</t>
        </is>
      </c>
      <c r="B77" s="1" t="n">
        <v>44727.59578703704</v>
      </c>
      <c r="C77" s="1" t="n">
        <v>46060</v>
      </c>
      <c r="D77" t="inlineStr">
        <is>
          <t>VÄSTRA GÖTALANDS LÄN</t>
        </is>
      </c>
      <c r="E77" t="inlineStr">
        <is>
          <t>ALE</t>
        </is>
      </c>
      <c r="G77" t="n">
        <v>10</v>
      </c>
      <c r="H77" t="n">
        <v>0</v>
      </c>
      <c r="I77" t="n">
        <v>0</v>
      </c>
      <c r="J77" t="n">
        <v>0</v>
      </c>
      <c r="K77" t="n">
        <v>0</v>
      </c>
      <c r="L77" t="n">
        <v>0</v>
      </c>
      <c r="M77" t="n">
        <v>0</v>
      </c>
      <c r="N77" t="n">
        <v>0</v>
      </c>
      <c r="O77" t="n">
        <v>0</v>
      </c>
      <c r="P77" t="n">
        <v>0</v>
      </c>
      <c r="Q77" t="n">
        <v>0</v>
      </c>
      <c r="R77" s="2" t="inlineStr"/>
    </row>
    <row r="78" ht="15" customHeight="1">
      <c r="A78" t="inlineStr">
        <is>
          <t>A 18637-2023</t>
        </is>
      </c>
      <c r="B78" s="1" t="n">
        <v>45043</v>
      </c>
      <c r="C78" s="1" t="n">
        <v>46060</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40074-2025</t>
        </is>
      </c>
      <c r="B79" s="1" t="n">
        <v>45894.44685185186</v>
      </c>
      <c r="C79" s="1" t="n">
        <v>46060</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46060</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32762-2023</t>
        </is>
      </c>
      <c r="B81" s="1" t="n">
        <v>45123.46649305556</v>
      </c>
      <c r="C81" s="1" t="n">
        <v>46060</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46060</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51564-2023</t>
        </is>
      </c>
      <c r="B83" s="1" t="n">
        <v>45222</v>
      </c>
      <c r="C83" s="1" t="n">
        <v>46060</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46060</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46060</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13382-2025</t>
        </is>
      </c>
      <c r="B86" s="1" t="n">
        <v>45735.67928240741</v>
      </c>
      <c r="C86" s="1" t="n">
        <v>46060</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13903-2025</t>
        </is>
      </c>
      <c r="B87" s="1" t="n">
        <v>45737.63481481482</v>
      </c>
      <c r="C87" s="1" t="n">
        <v>46060</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31409-2025</t>
        </is>
      </c>
      <c r="B88" s="1" t="n">
        <v>45833</v>
      </c>
      <c r="C88" s="1" t="n">
        <v>46060</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46226-2025</t>
        </is>
      </c>
      <c r="B89" s="1" t="n">
        <v>45924</v>
      </c>
      <c r="C89" s="1" t="n">
        <v>46060</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46227-2025</t>
        </is>
      </c>
      <c r="B90" s="1" t="n">
        <v>45924.90386574074</v>
      </c>
      <c r="C90" s="1" t="n">
        <v>46060</v>
      </c>
      <c r="D90" t="inlineStr">
        <is>
          <t>VÄSTRA GÖTALANDS LÄN</t>
        </is>
      </c>
      <c r="E90" t="inlineStr">
        <is>
          <t>ALE</t>
        </is>
      </c>
      <c r="G90" t="n">
        <v>0.3</v>
      </c>
      <c r="H90" t="n">
        <v>0</v>
      </c>
      <c r="I90" t="n">
        <v>0</v>
      </c>
      <c r="J90" t="n">
        <v>0</v>
      </c>
      <c r="K90" t="n">
        <v>0</v>
      </c>
      <c r="L90" t="n">
        <v>0</v>
      </c>
      <c r="M90" t="n">
        <v>0</v>
      </c>
      <c r="N90" t="n">
        <v>0</v>
      </c>
      <c r="O90" t="n">
        <v>0</v>
      </c>
      <c r="P90" t="n">
        <v>0</v>
      </c>
      <c r="Q90" t="n">
        <v>0</v>
      </c>
      <c r="R90" s="2" t="inlineStr"/>
    </row>
    <row r="91" ht="15" customHeight="1">
      <c r="A91" t="inlineStr">
        <is>
          <t>A 26157-2023</t>
        </is>
      </c>
      <c r="B91" s="1" t="n">
        <v>45091.50479166667</v>
      </c>
      <c r="C91" s="1" t="n">
        <v>46060</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31488-2025</t>
        </is>
      </c>
      <c r="B92" s="1" t="n">
        <v>45833</v>
      </c>
      <c r="C92" s="1" t="n">
        <v>46060</v>
      </c>
      <c r="D92" t="inlineStr">
        <is>
          <t>VÄSTRA GÖTALANDS LÄN</t>
        </is>
      </c>
      <c r="E92" t="inlineStr">
        <is>
          <t>ALE</t>
        </is>
      </c>
      <c r="G92" t="n">
        <v>1.8</v>
      </c>
      <c r="H92" t="n">
        <v>0</v>
      </c>
      <c r="I92" t="n">
        <v>0</v>
      </c>
      <c r="J92" t="n">
        <v>0</v>
      </c>
      <c r="K92" t="n">
        <v>0</v>
      </c>
      <c r="L92" t="n">
        <v>0</v>
      </c>
      <c r="M92" t="n">
        <v>0</v>
      </c>
      <c r="N92" t="n">
        <v>0</v>
      </c>
      <c r="O92" t="n">
        <v>0</v>
      </c>
      <c r="P92" t="n">
        <v>0</v>
      </c>
      <c r="Q92" t="n">
        <v>0</v>
      </c>
      <c r="R92" s="2" t="inlineStr"/>
    </row>
    <row r="93" ht="15" customHeight="1">
      <c r="A93" t="inlineStr">
        <is>
          <t>A 31533-2025</t>
        </is>
      </c>
      <c r="B93" s="1" t="n">
        <v>45833</v>
      </c>
      <c r="C93" s="1" t="n">
        <v>46060</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47087-2023</t>
        </is>
      </c>
      <c r="B94" s="1" t="n">
        <v>45196</v>
      </c>
      <c r="C94" s="1" t="n">
        <v>46060</v>
      </c>
      <c r="D94" t="inlineStr">
        <is>
          <t>VÄSTRA GÖTALANDS LÄN</t>
        </is>
      </c>
      <c r="E94" t="inlineStr">
        <is>
          <t>ALE</t>
        </is>
      </c>
      <c r="G94" t="n">
        <v>1.6</v>
      </c>
      <c r="H94" t="n">
        <v>0</v>
      </c>
      <c r="I94" t="n">
        <v>0</v>
      </c>
      <c r="J94" t="n">
        <v>0</v>
      </c>
      <c r="K94" t="n">
        <v>0</v>
      </c>
      <c r="L94" t="n">
        <v>0</v>
      </c>
      <c r="M94" t="n">
        <v>0</v>
      </c>
      <c r="N94" t="n">
        <v>0</v>
      </c>
      <c r="O94" t="n">
        <v>0</v>
      </c>
      <c r="P94" t="n">
        <v>0</v>
      </c>
      <c r="Q94" t="n">
        <v>0</v>
      </c>
      <c r="R94" s="2" t="inlineStr"/>
    </row>
    <row r="95" ht="15" customHeight="1">
      <c r="A95" t="inlineStr">
        <is>
          <t>A 47592-2025</t>
        </is>
      </c>
      <c r="B95" s="1" t="n">
        <v>45931.44649305556</v>
      </c>
      <c r="C95" s="1" t="n">
        <v>46060</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47593-2025</t>
        </is>
      </c>
      <c r="B96" s="1" t="n">
        <v>45931.4480787037</v>
      </c>
      <c r="C96" s="1" t="n">
        <v>46060</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46060</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46060</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46060</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27314-2021</t>
        </is>
      </c>
      <c r="B100" s="1" t="n">
        <v>44351.36537037037</v>
      </c>
      <c r="C100" s="1" t="n">
        <v>46060</v>
      </c>
      <c r="D100" t="inlineStr">
        <is>
          <t>VÄSTRA GÖTALANDS LÄN</t>
        </is>
      </c>
      <c r="E100" t="inlineStr">
        <is>
          <t>ALE</t>
        </is>
      </c>
      <c r="G100" t="n">
        <v>11.3</v>
      </c>
      <c r="H100" t="n">
        <v>0</v>
      </c>
      <c r="I100" t="n">
        <v>0</v>
      </c>
      <c r="J100" t="n">
        <v>0</v>
      </c>
      <c r="K100" t="n">
        <v>0</v>
      </c>
      <c r="L100" t="n">
        <v>0</v>
      </c>
      <c r="M100" t="n">
        <v>0</v>
      </c>
      <c r="N100" t="n">
        <v>0</v>
      </c>
      <c r="O100" t="n">
        <v>0</v>
      </c>
      <c r="P100" t="n">
        <v>0</v>
      </c>
      <c r="Q100" t="n">
        <v>0</v>
      </c>
      <c r="R100" s="2" t="inlineStr"/>
    </row>
    <row r="101" ht="15" customHeight="1">
      <c r="A101" t="inlineStr">
        <is>
          <t>A 57473-2022</t>
        </is>
      </c>
      <c r="B101" s="1" t="n">
        <v>44896</v>
      </c>
      <c r="C101" s="1" t="n">
        <v>46060</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46060</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46060</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5875-2023</t>
        </is>
      </c>
      <c r="B104" s="1" t="n">
        <v>44963</v>
      </c>
      <c r="C104" s="1" t="n">
        <v>46060</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46060</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50189-2025</t>
        </is>
      </c>
      <c r="B106" s="1" t="n">
        <v>45943.63476851852</v>
      </c>
      <c r="C106" s="1" t="n">
        <v>46060</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67160-2021</t>
        </is>
      </c>
      <c r="B107" s="1" t="n">
        <v>44523</v>
      </c>
      <c r="C107" s="1" t="n">
        <v>46060</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50973-2025</t>
        </is>
      </c>
      <c r="B108" s="1" t="n">
        <v>45947.31263888889</v>
      </c>
      <c r="C108" s="1" t="n">
        <v>46060</v>
      </c>
      <c r="D108" t="inlineStr">
        <is>
          <t>VÄSTRA GÖTALANDS LÄN</t>
        </is>
      </c>
      <c r="E108" t="inlineStr">
        <is>
          <t>ALE</t>
        </is>
      </c>
      <c r="G108" t="n">
        <v>12</v>
      </c>
      <c r="H108" t="n">
        <v>0</v>
      </c>
      <c r="I108" t="n">
        <v>0</v>
      </c>
      <c r="J108" t="n">
        <v>0</v>
      </c>
      <c r="K108" t="n">
        <v>0</v>
      </c>
      <c r="L108" t="n">
        <v>0</v>
      </c>
      <c r="M108" t="n">
        <v>0</v>
      </c>
      <c r="N108" t="n">
        <v>0</v>
      </c>
      <c r="O108" t="n">
        <v>0</v>
      </c>
      <c r="P108" t="n">
        <v>0</v>
      </c>
      <c r="Q108" t="n">
        <v>0</v>
      </c>
      <c r="R108" s="2" t="inlineStr"/>
    </row>
    <row r="109" ht="15" customHeight="1">
      <c r="A109" t="inlineStr">
        <is>
          <t>A 51976-2025</t>
        </is>
      </c>
      <c r="B109" s="1" t="n">
        <v>45952.56412037037</v>
      </c>
      <c r="C109" s="1" t="n">
        <v>46060</v>
      </c>
      <c r="D109" t="inlineStr">
        <is>
          <t>VÄSTRA GÖTALANDS LÄN</t>
        </is>
      </c>
      <c r="E109" t="inlineStr">
        <is>
          <t>ALE</t>
        </is>
      </c>
      <c r="G109" t="n">
        <v>5.2</v>
      </c>
      <c r="H109" t="n">
        <v>0</v>
      </c>
      <c r="I109" t="n">
        <v>0</v>
      </c>
      <c r="J109" t="n">
        <v>0</v>
      </c>
      <c r="K109" t="n">
        <v>0</v>
      </c>
      <c r="L109" t="n">
        <v>0</v>
      </c>
      <c r="M109" t="n">
        <v>0</v>
      </c>
      <c r="N109" t="n">
        <v>0</v>
      </c>
      <c r="O109" t="n">
        <v>0</v>
      </c>
      <c r="P109" t="n">
        <v>0</v>
      </c>
      <c r="Q109" t="n">
        <v>0</v>
      </c>
      <c r="R109" s="2" t="inlineStr"/>
    </row>
    <row r="110" ht="15" customHeight="1">
      <c r="A110" t="inlineStr">
        <is>
          <t>A 52423-2025</t>
        </is>
      </c>
      <c r="B110" s="1" t="n">
        <v>45954.37650462963</v>
      </c>
      <c r="C110" s="1" t="n">
        <v>46060</v>
      </c>
      <c r="D110" t="inlineStr">
        <is>
          <t>VÄSTRA GÖTALANDS LÄN</t>
        </is>
      </c>
      <c r="E110" t="inlineStr">
        <is>
          <t>ALE</t>
        </is>
      </c>
      <c r="G110" t="n">
        <v>4.1</v>
      </c>
      <c r="H110" t="n">
        <v>0</v>
      </c>
      <c r="I110" t="n">
        <v>0</v>
      </c>
      <c r="J110" t="n">
        <v>0</v>
      </c>
      <c r="K110" t="n">
        <v>0</v>
      </c>
      <c r="L110" t="n">
        <v>0</v>
      </c>
      <c r="M110" t="n">
        <v>0</v>
      </c>
      <c r="N110" t="n">
        <v>0</v>
      </c>
      <c r="O110" t="n">
        <v>0</v>
      </c>
      <c r="P110" t="n">
        <v>0</v>
      </c>
      <c r="Q110" t="n">
        <v>0</v>
      </c>
      <c r="R110" s="2" t="inlineStr"/>
    </row>
    <row r="111" ht="15" customHeight="1">
      <c r="A111" t="inlineStr">
        <is>
          <t>A 52391-2025</t>
        </is>
      </c>
      <c r="B111" s="1" t="n">
        <v>45954.34305555555</v>
      </c>
      <c r="C111" s="1" t="n">
        <v>46060</v>
      </c>
      <c r="D111" t="inlineStr">
        <is>
          <t>VÄSTRA GÖTALANDS LÄN</t>
        </is>
      </c>
      <c r="E111" t="inlineStr">
        <is>
          <t>ALE</t>
        </is>
      </c>
      <c r="G111" t="n">
        <v>10.6</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44585.72818287037</v>
      </c>
      <c r="C112" s="1" t="n">
        <v>46060</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65226-2021</t>
        </is>
      </c>
      <c r="B113" s="1" t="n">
        <v>44515</v>
      </c>
      <c r="C113" s="1" t="n">
        <v>46060</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18999-2021</t>
        </is>
      </c>
      <c r="B114" s="1" t="n">
        <v>44308</v>
      </c>
      <c r="C114" s="1" t="n">
        <v>46060</v>
      </c>
      <c r="D114" t="inlineStr">
        <is>
          <t>VÄSTRA GÖTALANDS LÄN</t>
        </is>
      </c>
      <c r="E114" t="inlineStr">
        <is>
          <t>ALE</t>
        </is>
      </c>
      <c r="G114" t="n">
        <v>3.7</v>
      </c>
      <c r="H114" t="n">
        <v>0</v>
      </c>
      <c r="I114" t="n">
        <v>0</v>
      </c>
      <c r="J114" t="n">
        <v>0</v>
      </c>
      <c r="K114" t="n">
        <v>0</v>
      </c>
      <c r="L114" t="n">
        <v>0</v>
      </c>
      <c r="M114" t="n">
        <v>0</v>
      </c>
      <c r="N114" t="n">
        <v>0</v>
      </c>
      <c r="O114" t="n">
        <v>0</v>
      </c>
      <c r="P114" t="n">
        <v>0</v>
      </c>
      <c r="Q114" t="n">
        <v>0</v>
      </c>
      <c r="R114" s="2" t="inlineStr"/>
    </row>
    <row r="115" ht="15" customHeight="1">
      <c r="A115" t="inlineStr">
        <is>
          <t>A 17044-2025</t>
        </is>
      </c>
      <c r="B115" s="1" t="n">
        <v>45755.58891203703</v>
      </c>
      <c r="C115" s="1" t="n">
        <v>46060</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46060</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16601-2025</t>
        </is>
      </c>
      <c r="B117" s="1" t="n">
        <v>45753.53189814815</v>
      </c>
      <c r="C117" s="1" t="n">
        <v>46060</v>
      </c>
      <c r="D117" t="inlineStr">
        <is>
          <t>VÄSTRA GÖTALANDS LÄN</t>
        </is>
      </c>
      <c r="E117" t="inlineStr">
        <is>
          <t>ALE</t>
        </is>
      </c>
      <c r="G117" t="n">
        <v>1.7</v>
      </c>
      <c r="H117" t="n">
        <v>0</v>
      </c>
      <c r="I117" t="n">
        <v>0</v>
      </c>
      <c r="J117" t="n">
        <v>0</v>
      </c>
      <c r="K117" t="n">
        <v>0</v>
      </c>
      <c r="L117" t="n">
        <v>0</v>
      </c>
      <c r="M117" t="n">
        <v>0</v>
      </c>
      <c r="N117" t="n">
        <v>0</v>
      </c>
      <c r="O117" t="n">
        <v>0</v>
      </c>
      <c r="P117" t="n">
        <v>0</v>
      </c>
      <c r="Q117" t="n">
        <v>0</v>
      </c>
      <c r="R117" s="2" t="inlineStr"/>
    </row>
    <row r="118" ht="15" customHeight="1">
      <c r="A118" t="inlineStr">
        <is>
          <t>A 36403-2024</t>
        </is>
      </c>
      <c r="B118" s="1" t="n">
        <v>45535.69445601852</v>
      </c>
      <c r="C118" s="1" t="n">
        <v>46060</v>
      </c>
      <c r="D118" t="inlineStr">
        <is>
          <t>VÄSTRA GÖTALANDS LÄN</t>
        </is>
      </c>
      <c r="E118" t="inlineStr">
        <is>
          <t>ALE</t>
        </is>
      </c>
      <c r="G118" t="n">
        <v>0.6</v>
      </c>
      <c r="H118" t="n">
        <v>0</v>
      </c>
      <c r="I118" t="n">
        <v>0</v>
      </c>
      <c r="J118" t="n">
        <v>0</v>
      </c>
      <c r="K118" t="n">
        <v>0</v>
      </c>
      <c r="L118" t="n">
        <v>0</v>
      </c>
      <c r="M118" t="n">
        <v>0</v>
      </c>
      <c r="N118" t="n">
        <v>0</v>
      </c>
      <c r="O118" t="n">
        <v>0</v>
      </c>
      <c r="P118" t="n">
        <v>0</v>
      </c>
      <c r="Q118" t="n">
        <v>0</v>
      </c>
      <c r="R118" s="2" t="inlineStr"/>
    </row>
    <row r="119" ht="15" customHeight="1">
      <c r="A119" t="inlineStr">
        <is>
          <t>A 56905-2025</t>
        </is>
      </c>
      <c r="B119" s="1" t="n">
        <v>45978.57502314815</v>
      </c>
      <c r="C119" s="1" t="n">
        <v>46060</v>
      </c>
      <c r="D119" t="inlineStr">
        <is>
          <t>VÄSTRA GÖTALANDS LÄN</t>
        </is>
      </c>
      <c r="E119" t="inlineStr">
        <is>
          <t>ALE</t>
        </is>
      </c>
      <c r="G119" t="n">
        <v>5.2</v>
      </c>
      <c r="H119" t="n">
        <v>0</v>
      </c>
      <c r="I119" t="n">
        <v>0</v>
      </c>
      <c r="J119" t="n">
        <v>0</v>
      </c>
      <c r="K119" t="n">
        <v>0</v>
      </c>
      <c r="L119" t="n">
        <v>0</v>
      </c>
      <c r="M119" t="n">
        <v>0</v>
      </c>
      <c r="N119" t="n">
        <v>0</v>
      </c>
      <c r="O119" t="n">
        <v>0</v>
      </c>
      <c r="P119" t="n">
        <v>0</v>
      </c>
      <c r="Q119" t="n">
        <v>0</v>
      </c>
      <c r="R119" s="2" t="inlineStr"/>
    </row>
    <row r="120" ht="15" customHeight="1">
      <c r="A120" t="inlineStr">
        <is>
          <t>A 200-2022</t>
        </is>
      </c>
      <c r="B120" s="1" t="n">
        <v>44564</v>
      </c>
      <c r="C120" s="1" t="n">
        <v>46060</v>
      </c>
      <c r="D120" t="inlineStr">
        <is>
          <t>VÄSTRA GÖTALANDS LÄN</t>
        </is>
      </c>
      <c r="E120" t="inlineStr">
        <is>
          <t>ALE</t>
        </is>
      </c>
      <c r="G120" t="n">
        <v>6.8</v>
      </c>
      <c r="H120" t="n">
        <v>0</v>
      </c>
      <c r="I120" t="n">
        <v>0</v>
      </c>
      <c r="J120" t="n">
        <v>0</v>
      </c>
      <c r="K120" t="n">
        <v>0</v>
      </c>
      <c r="L120" t="n">
        <v>0</v>
      </c>
      <c r="M120" t="n">
        <v>0</v>
      </c>
      <c r="N120" t="n">
        <v>0</v>
      </c>
      <c r="O120" t="n">
        <v>0</v>
      </c>
      <c r="P120" t="n">
        <v>0</v>
      </c>
      <c r="Q120" t="n">
        <v>0</v>
      </c>
      <c r="R120" s="2" t="inlineStr"/>
    </row>
    <row r="121" ht="15" customHeight="1">
      <c r="A121" t="inlineStr">
        <is>
          <t>A 15582-2025</t>
        </is>
      </c>
      <c r="B121" s="1" t="n">
        <v>45747.81394675926</v>
      </c>
      <c r="C121" s="1" t="n">
        <v>46060</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7892-2024</t>
        </is>
      </c>
      <c r="B122" s="1" t="n">
        <v>45350.40921296296</v>
      </c>
      <c r="C122" s="1" t="n">
        <v>46060</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58414-2025</t>
        </is>
      </c>
      <c r="B123" s="1" t="n">
        <v>45985.57778935185</v>
      </c>
      <c r="C123" s="1" t="n">
        <v>46060</v>
      </c>
      <c r="D123" t="inlineStr">
        <is>
          <t>VÄSTRA GÖTALANDS LÄN</t>
        </is>
      </c>
      <c r="E123" t="inlineStr">
        <is>
          <t>ALE</t>
        </is>
      </c>
      <c r="G123" t="n">
        <v>4.3</v>
      </c>
      <c r="H123" t="n">
        <v>0</v>
      </c>
      <c r="I123" t="n">
        <v>0</v>
      </c>
      <c r="J123" t="n">
        <v>0</v>
      </c>
      <c r="K123" t="n">
        <v>0</v>
      </c>
      <c r="L123" t="n">
        <v>0</v>
      </c>
      <c r="M123" t="n">
        <v>0</v>
      </c>
      <c r="N123" t="n">
        <v>0</v>
      </c>
      <c r="O123" t="n">
        <v>0</v>
      </c>
      <c r="P123" t="n">
        <v>0</v>
      </c>
      <c r="Q123" t="n">
        <v>0</v>
      </c>
      <c r="R123" s="2" t="inlineStr"/>
    </row>
    <row r="124" ht="15" customHeight="1">
      <c r="A124" t="inlineStr">
        <is>
          <t>A 6947-2024</t>
        </is>
      </c>
      <c r="B124" s="1" t="n">
        <v>45343</v>
      </c>
      <c r="C124" s="1" t="n">
        <v>46060</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4444-2024</t>
        </is>
      </c>
      <c r="B125" s="1" t="n">
        <v>45327</v>
      </c>
      <c r="C125" s="1" t="n">
        <v>46060</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31407-2025</t>
        </is>
      </c>
      <c r="B126" s="1" t="n">
        <v>45833</v>
      </c>
      <c r="C126" s="1" t="n">
        <v>46060</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59409-2025</t>
        </is>
      </c>
      <c r="B127" s="1" t="n">
        <v>45989.49545138889</v>
      </c>
      <c r="C127" s="1" t="n">
        <v>46060</v>
      </c>
      <c r="D127" t="inlineStr">
        <is>
          <t>VÄSTRA GÖTALANDS LÄN</t>
        </is>
      </c>
      <c r="E127" t="inlineStr">
        <is>
          <t>ALE</t>
        </is>
      </c>
      <c r="G127" t="n">
        <v>0.3</v>
      </c>
      <c r="H127" t="n">
        <v>0</v>
      </c>
      <c r="I127" t="n">
        <v>0</v>
      </c>
      <c r="J127" t="n">
        <v>0</v>
      </c>
      <c r="K127" t="n">
        <v>0</v>
      </c>
      <c r="L127" t="n">
        <v>0</v>
      </c>
      <c r="M127" t="n">
        <v>0</v>
      </c>
      <c r="N127" t="n">
        <v>0</v>
      </c>
      <c r="O127" t="n">
        <v>0</v>
      </c>
      <c r="P127" t="n">
        <v>0</v>
      </c>
      <c r="Q127" t="n">
        <v>0</v>
      </c>
      <c r="R127" s="2" t="inlineStr"/>
    </row>
    <row r="128" ht="15" customHeight="1">
      <c r="A128" t="inlineStr">
        <is>
          <t>A 1291-2026</t>
        </is>
      </c>
      <c r="B128" s="1" t="n">
        <v>46031.50569444444</v>
      </c>
      <c r="C128" s="1" t="n">
        <v>46060</v>
      </c>
      <c r="D128" t="inlineStr">
        <is>
          <t>VÄSTRA GÖTALANDS LÄN</t>
        </is>
      </c>
      <c r="E128" t="inlineStr">
        <is>
          <t>ALE</t>
        </is>
      </c>
      <c r="G128" t="n">
        <v>0.9</v>
      </c>
      <c r="H128" t="n">
        <v>0</v>
      </c>
      <c r="I128" t="n">
        <v>0</v>
      </c>
      <c r="J128" t="n">
        <v>0</v>
      </c>
      <c r="K128" t="n">
        <v>0</v>
      </c>
      <c r="L128" t="n">
        <v>0</v>
      </c>
      <c r="M128" t="n">
        <v>0</v>
      </c>
      <c r="N128" t="n">
        <v>0</v>
      </c>
      <c r="O128" t="n">
        <v>0</v>
      </c>
      <c r="P128" t="n">
        <v>0</v>
      </c>
      <c r="Q128" t="n">
        <v>0</v>
      </c>
      <c r="R128" s="2" t="inlineStr"/>
    </row>
    <row r="129" ht="15" customHeight="1">
      <c r="A129" t="inlineStr">
        <is>
          <t>A 72801-2021</t>
        </is>
      </c>
      <c r="B129" s="1" t="n">
        <v>44546</v>
      </c>
      <c r="C129" s="1" t="n">
        <v>46060</v>
      </c>
      <c r="D129" t="inlineStr">
        <is>
          <t>VÄSTRA GÖTALANDS LÄN</t>
        </is>
      </c>
      <c r="E129" t="inlineStr">
        <is>
          <t>ALE</t>
        </is>
      </c>
      <c r="F129" t="inlineStr">
        <is>
          <t>Naturvårdsverket</t>
        </is>
      </c>
      <c r="G129" t="n">
        <v>1.4</v>
      </c>
      <c r="H129" t="n">
        <v>0</v>
      </c>
      <c r="I129" t="n">
        <v>0</v>
      </c>
      <c r="J129" t="n">
        <v>0</v>
      </c>
      <c r="K129" t="n">
        <v>0</v>
      </c>
      <c r="L129" t="n">
        <v>0</v>
      </c>
      <c r="M129" t="n">
        <v>0</v>
      </c>
      <c r="N129" t="n">
        <v>0</v>
      </c>
      <c r="O129" t="n">
        <v>0</v>
      </c>
      <c r="P129" t="n">
        <v>0</v>
      </c>
      <c r="Q129" t="n">
        <v>0</v>
      </c>
      <c r="R129" s="2" t="inlineStr"/>
    </row>
    <row r="130" ht="15" customHeight="1">
      <c r="A130" t="inlineStr">
        <is>
          <t>A 26083-2023</t>
        </is>
      </c>
      <c r="B130" s="1" t="n">
        <v>45091</v>
      </c>
      <c r="C130" s="1" t="n">
        <v>46060</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2414-2026</t>
        </is>
      </c>
      <c r="B131" s="1" t="n">
        <v>46036.74319444445</v>
      </c>
      <c r="C131" s="1" t="n">
        <v>46060</v>
      </c>
      <c r="D131" t="inlineStr">
        <is>
          <t>VÄSTRA GÖTALANDS LÄN</t>
        </is>
      </c>
      <c r="E131" t="inlineStr">
        <is>
          <t>ALE</t>
        </is>
      </c>
      <c r="G131" t="n">
        <v>3.3</v>
      </c>
      <c r="H131" t="n">
        <v>0</v>
      </c>
      <c r="I131" t="n">
        <v>0</v>
      </c>
      <c r="J131" t="n">
        <v>0</v>
      </c>
      <c r="K131" t="n">
        <v>0</v>
      </c>
      <c r="L131" t="n">
        <v>0</v>
      </c>
      <c r="M131" t="n">
        <v>0</v>
      </c>
      <c r="N131" t="n">
        <v>0</v>
      </c>
      <c r="O131" t="n">
        <v>0</v>
      </c>
      <c r="P131" t="n">
        <v>0</v>
      </c>
      <c r="Q131" t="n">
        <v>0</v>
      </c>
      <c r="R131" s="2" t="inlineStr"/>
    </row>
    <row r="132" ht="15" customHeight="1">
      <c r="A132" t="inlineStr">
        <is>
          <t>A 60287-2025</t>
        </is>
      </c>
      <c r="B132" s="1" t="n">
        <v>45994.64711805555</v>
      </c>
      <c r="C132" s="1" t="n">
        <v>46060</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46060</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3261-2026</t>
        </is>
      </c>
      <c r="B134" s="1" t="n">
        <v>46041.5952662037</v>
      </c>
      <c r="C134" s="1" t="n">
        <v>46060</v>
      </c>
      <c r="D134" t="inlineStr">
        <is>
          <t>VÄSTRA GÖTALANDS LÄN</t>
        </is>
      </c>
      <c r="E134" t="inlineStr">
        <is>
          <t>ALE</t>
        </is>
      </c>
      <c r="G134" t="n">
        <v>3.4</v>
      </c>
      <c r="H134" t="n">
        <v>0</v>
      </c>
      <c r="I134" t="n">
        <v>0</v>
      </c>
      <c r="J134" t="n">
        <v>0</v>
      </c>
      <c r="K134" t="n">
        <v>0</v>
      </c>
      <c r="L134" t="n">
        <v>0</v>
      </c>
      <c r="M134" t="n">
        <v>0</v>
      </c>
      <c r="N134" t="n">
        <v>0</v>
      </c>
      <c r="O134" t="n">
        <v>0</v>
      </c>
      <c r="P134" t="n">
        <v>0</v>
      </c>
      <c r="Q134" t="n">
        <v>0</v>
      </c>
      <c r="R134" s="2" t="inlineStr"/>
    </row>
    <row r="135" ht="15" customHeight="1">
      <c r="A135" t="inlineStr">
        <is>
          <t>A 4363-2024</t>
        </is>
      </c>
      <c r="B135" s="1" t="n">
        <v>45325</v>
      </c>
      <c r="C135" s="1" t="n">
        <v>46060</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61771-2025</t>
        </is>
      </c>
      <c r="B136" s="1" t="n">
        <v>46002.6478587963</v>
      </c>
      <c r="C136" s="1" t="n">
        <v>46060</v>
      </c>
      <c r="D136" t="inlineStr">
        <is>
          <t>VÄSTRA GÖTALANDS LÄN</t>
        </is>
      </c>
      <c r="E136" t="inlineStr">
        <is>
          <t>ALE</t>
        </is>
      </c>
      <c r="G136" t="n">
        <v>3.9</v>
      </c>
      <c r="H136" t="n">
        <v>0</v>
      </c>
      <c r="I136" t="n">
        <v>0</v>
      </c>
      <c r="J136" t="n">
        <v>0</v>
      </c>
      <c r="K136" t="n">
        <v>0</v>
      </c>
      <c r="L136" t="n">
        <v>0</v>
      </c>
      <c r="M136" t="n">
        <v>0</v>
      </c>
      <c r="N136" t="n">
        <v>0</v>
      </c>
      <c r="O136" t="n">
        <v>0</v>
      </c>
      <c r="P136" t="n">
        <v>0</v>
      </c>
      <c r="Q136" t="n">
        <v>0</v>
      </c>
      <c r="R136" s="2" t="inlineStr"/>
    </row>
    <row r="137" ht="15" customHeight="1">
      <c r="A137" t="inlineStr">
        <is>
          <t>A 45988-2021</t>
        </is>
      </c>
      <c r="B137" s="1" t="n">
        <v>44441</v>
      </c>
      <c r="C137" s="1" t="n">
        <v>46060</v>
      </c>
      <c r="D137" t="inlineStr">
        <is>
          <t>VÄSTRA GÖTALANDS LÄN</t>
        </is>
      </c>
      <c r="E137" t="inlineStr">
        <is>
          <t>ALE</t>
        </is>
      </c>
      <c r="G137" t="n">
        <v>1.2</v>
      </c>
      <c r="H137" t="n">
        <v>0</v>
      </c>
      <c r="I137" t="n">
        <v>0</v>
      </c>
      <c r="J137" t="n">
        <v>0</v>
      </c>
      <c r="K137" t="n">
        <v>0</v>
      </c>
      <c r="L137" t="n">
        <v>0</v>
      </c>
      <c r="M137" t="n">
        <v>0</v>
      </c>
      <c r="N137" t="n">
        <v>0</v>
      </c>
      <c r="O137" t="n">
        <v>0</v>
      </c>
      <c r="P137" t="n">
        <v>0</v>
      </c>
      <c r="Q137" t="n">
        <v>0</v>
      </c>
      <c r="R137" s="2" t="inlineStr"/>
    </row>
    <row r="138" ht="15" customHeight="1">
      <c r="A138" t="inlineStr">
        <is>
          <t>A 61744-2025</t>
        </is>
      </c>
      <c r="B138" s="1" t="n">
        <v>46002.60298611111</v>
      </c>
      <c r="C138" s="1" t="n">
        <v>46060</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61819-2025</t>
        </is>
      </c>
      <c r="B139" s="1" t="n">
        <v>46003.3241087963</v>
      </c>
      <c r="C139" s="1" t="n">
        <v>46060</v>
      </c>
      <c r="D139" t="inlineStr">
        <is>
          <t>VÄSTRA GÖTALANDS LÄN</t>
        </is>
      </c>
      <c r="E139" t="inlineStr">
        <is>
          <t>ALE</t>
        </is>
      </c>
      <c r="G139" t="n">
        <v>5.1</v>
      </c>
      <c r="H139" t="n">
        <v>0</v>
      </c>
      <c r="I139" t="n">
        <v>0</v>
      </c>
      <c r="J139" t="n">
        <v>0</v>
      </c>
      <c r="K139" t="n">
        <v>0</v>
      </c>
      <c r="L139" t="n">
        <v>0</v>
      </c>
      <c r="M139" t="n">
        <v>0</v>
      </c>
      <c r="N139" t="n">
        <v>0</v>
      </c>
      <c r="O139" t="n">
        <v>0</v>
      </c>
      <c r="P139" t="n">
        <v>0</v>
      </c>
      <c r="Q139" t="n">
        <v>0</v>
      </c>
      <c r="R139" s="2" t="inlineStr"/>
    </row>
    <row r="140" ht="15" customHeight="1">
      <c r="A140" t="inlineStr">
        <is>
          <t>A 20067-2023</t>
        </is>
      </c>
      <c r="B140" s="1" t="n">
        <v>45054</v>
      </c>
      <c r="C140" s="1" t="n">
        <v>46060</v>
      </c>
      <c r="D140" t="inlineStr">
        <is>
          <t>VÄSTRA GÖTALANDS LÄN</t>
        </is>
      </c>
      <c r="E140" t="inlineStr">
        <is>
          <t>ALE</t>
        </is>
      </c>
      <c r="G140" t="n">
        <v>0.4</v>
      </c>
      <c r="H140" t="n">
        <v>0</v>
      </c>
      <c r="I140" t="n">
        <v>0</v>
      </c>
      <c r="J140" t="n">
        <v>0</v>
      </c>
      <c r="K140" t="n">
        <v>0</v>
      </c>
      <c r="L140" t="n">
        <v>0</v>
      </c>
      <c r="M140" t="n">
        <v>0</v>
      </c>
      <c r="N140" t="n">
        <v>0</v>
      </c>
      <c r="O140" t="n">
        <v>0</v>
      </c>
      <c r="P140" t="n">
        <v>0</v>
      </c>
      <c r="Q140" t="n">
        <v>0</v>
      </c>
      <c r="R140" s="2" t="inlineStr"/>
    </row>
    <row r="141" ht="15" customHeight="1">
      <c r="A141" t="inlineStr">
        <is>
          <t>A 62828-2025</t>
        </is>
      </c>
      <c r="B141" s="1" t="n">
        <v>46008.66553240741</v>
      </c>
      <c r="C141" s="1" t="n">
        <v>46060</v>
      </c>
      <c r="D141" t="inlineStr">
        <is>
          <t>VÄSTRA GÖTALANDS LÄN</t>
        </is>
      </c>
      <c r="E141" t="inlineStr">
        <is>
          <t>ALE</t>
        </is>
      </c>
      <c r="G141" t="n">
        <v>2.6</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46060</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8956-2025</t>
        </is>
      </c>
      <c r="B143" s="1" t="n">
        <v>45713.46825231481</v>
      </c>
      <c r="C143" s="1" t="n">
        <v>46060</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46060</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6621-2026</t>
        </is>
      </c>
      <c r="B145" s="1" t="n">
        <v>46056.4970949074</v>
      </c>
      <c r="C145" s="1" t="n">
        <v>46060</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8659-2025</t>
        </is>
      </c>
      <c r="B146" s="1" t="n">
        <v>45712</v>
      </c>
      <c r="C146" s="1" t="n">
        <v>46060</v>
      </c>
      <c r="D146" t="inlineStr">
        <is>
          <t>VÄSTRA GÖTALANDS LÄN</t>
        </is>
      </c>
      <c r="E146" t="inlineStr">
        <is>
          <t>ALE</t>
        </is>
      </c>
      <c r="G146" t="n">
        <v>5.7</v>
      </c>
      <c r="H146" t="n">
        <v>0</v>
      </c>
      <c r="I146" t="n">
        <v>0</v>
      </c>
      <c r="J146" t="n">
        <v>0</v>
      </c>
      <c r="K146" t="n">
        <v>0</v>
      </c>
      <c r="L146" t="n">
        <v>0</v>
      </c>
      <c r="M146" t="n">
        <v>0</v>
      </c>
      <c r="N146" t="n">
        <v>0</v>
      </c>
      <c r="O146" t="n">
        <v>0</v>
      </c>
      <c r="P146" t="n">
        <v>0</v>
      </c>
      <c r="Q146" t="n">
        <v>0</v>
      </c>
      <c r="R146" s="2" t="inlineStr"/>
    </row>
    <row r="147" ht="15" customHeight="1">
      <c r="A147" t="inlineStr">
        <is>
          <t>A 7296-2026</t>
        </is>
      </c>
      <c r="B147" s="1" t="n">
        <v>46058.64341435185</v>
      </c>
      <c r="C147" s="1" t="n">
        <v>46060</v>
      </c>
      <c r="D147" t="inlineStr">
        <is>
          <t>VÄSTRA GÖTALANDS LÄN</t>
        </is>
      </c>
      <c r="E147" t="inlineStr">
        <is>
          <t>ALE</t>
        </is>
      </c>
      <c r="G147" t="n">
        <v>7.2</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46060</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3413-2023</t>
        </is>
      </c>
      <c r="B149" s="1" t="n">
        <v>44949</v>
      </c>
      <c r="C149" s="1" t="n">
        <v>46060</v>
      </c>
      <c r="D149" t="inlineStr">
        <is>
          <t>VÄSTRA GÖTALANDS LÄN</t>
        </is>
      </c>
      <c r="E149" t="inlineStr">
        <is>
          <t>ALE</t>
        </is>
      </c>
      <c r="G149" t="n">
        <v>2.3</v>
      </c>
      <c r="H149" t="n">
        <v>0</v>
      </c>
      <c r="I149" t="n">
        <v>0</v>
      </c>
      <c r="J149" t="n">
        <v>0</v>
      </c>
      <c r="K149" t="n">
        <v>0</v>
      </c>
      <c r="L149" t="n">
        <v>0</v>
      </c>
      <c r="M149" t="n">
        <v>0</v>
      </c>
      <c r="N149" t="n">
        <v>0</v>
      </c>
      <c r="O149" t="n">
        <v>0</v>
      </c>
      <c r="P149" t="n">
        <v>0</v>
      </c>
      <c r="Q149" t="n">
        <v>0</v>
      </c>
      <c r="R149" s="2" t="inlineStr"/>
    </row>
    <row r="150" ht="15" customHeight="1">
      <c r="A150" t="inlineStr">
        <is>
          <t>A 35959-2022</t>
        </is>
      </c>
      <c r="B150" s="1" t="n">
        <v>44802.57002314815</v>
      </c>
      <c r="C150" s="1" t="n">
        <v>46060</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14493-2024</t>
        </is>
      </c>
      <c r="B151" s="1" t="n">
        <v>45394.58491898148</v>
      </c>
      <c r="C151" s="1" t="n">
        <v>46060</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46060</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1687-2024</t>
        </is>
      </c>
      <c r="B153" s="1" t="n">
        <v>45306</v>
      </c>
      <c r="C153" s="1" t="n">
        <v>46060</v>
      </c>
      <c r="D153" t="inlineStr">
        <is>
          <t>VÄSTRA GÖTALANDS LÄN</t>
        </is>
      </c>
      <c r="E153" t="inlineStr">
        <is>
          <t>ALE</t>
        </is>
      </c>
      <c r="G153" t="n">
        <v>3.4</v>
      </c>
      <c r="H153" t="n">
        <v>0</v>
      </c>
      <c r="I153" t="n">
        <v>0</v>
      </c>
      <c r="J153" t="n">
        <v>0</v>
      </c>
      <c r="K153" t="n">
        <v>0</v>
      </c>
      <c r="L153" t="n">
        <v>0</v>
      </c>
      <c r="M153" t="n">
        <v>0</v>
      </c>
      <c r="N153" t="n">
        <v>0</v>
      </c>
      <c r="O153" t="n">
        <v>0</v>
      </c>
      <c r="P153" t="n">
        <v>0</v>
      </c>
      <c r="Q153" t="n">
        <v>0</v>
      </c>
      <c r="R153" s="2" t="inlineStr"/>
    </row>
    <row r="154" ht="15" customHeight="1">
      <c r="A154" t="inlineStr">
        <is>
          <t>A 14458-2024</t>
        </is>
      </c>
      <c r="B154" s="1" t="n">
        <v>45394</v>
      </c>
      <c r="C154" s="1" t="n">
        <v>46060</v>
      </c>
      <c r="D154" t="inlineStr">
        <is>
          <t>VÄSTRA GÖTALANDS LÄN</t>
        </is>
      </c>
      <c r="E154" t="inlineStr">
        <is>
          <t>ALE</t>
        </is>
      </c>
      <c r="G154" t="n">
        <v>0.5</v>
      </c>
      <c r="H154" t="n">
        <v>0</v>
      </c>
      <c r="I154" t="n">
        <v>0</v>
      </c>
      <c r="J154" t="n">
        <v>0</v>
      </c>
      <c r="K154" t="n">
        <v>0</v>
      </c>
      <c r="L154" t="n">
        <v>0</v>
      </c>
      <c r="M154" t="n">
        <v>0</v>
      </c>
      <c r="N154" t="n">
        <v>0</v>
      </c>
      <c r="O154" t="n">
        <v>0</v>
      </c>
      <c r="P154" t="n">
        <v>0</v>
      </c>
      <c r="Q154" t="n">
        <v>0</v>
      </c>
      <c r="R154" s="2" t="inlineStr"/>
    </row>
    <row r="155" ht="15" customHeight="1">
      <c r="A155" t="inlineStr">
        <is>
          <t>A 42446-2023</t>
        </is>
      </c>
      <c r="B155" s="1" t="n">
        <v>45180</v>
      </c>
      <c r="C155" s="1" t="n">
        <v>46060</v>
      </c>
      <c r="D155" t="inlineStr">
        <is>
          <t>VÄSTRA GÖTALANDS LÄN</t>
        </is>
      </c>
      <c r="E155" t="inlineStr">
        <is>
          <t>ALE</t>
        </is>
      </c>
      <c r="G155" t="n">
        <v>0.8</v>
      </c>
      <c r="H155" t="n">
        <v>0</v>
      </c>
      <c r="I155" t="n">
        <v>0</v>
      </c>
      <c r="J155" t="n">
        <v>0</v>
      </c>
      <c r="K155" t="n">
        <v>0</v>
      </c>
      <c r="L155" t="n">
        <v>0</v>
      </c>
      <c r="M155" t="n">
        <v>0</v>
      </c>
      <c r="N155" t="n">
        <v>0</v>
      </c>
      <c r="O155" t="n">
        <v>0</v>
      </c>
      <c r="P155" t="n">
        <v>0</v>
      </c>
      <c r="Q155" t="n">
        <v>0</v>
      </c>
      <c r="R155" s="2" t="inlineStr"/>
    </row>
    <row r="156" ht="15" customHeight="1">
      <c r="A156" t="inlineStr">
        <is>
          <t>A 33237-2024</t>
        </is>
      </c>
      <c r="B156" s="1" t="n">
        <v>45518.59173611111</v>
      </c>
      <c r="C156" s="1" t="n">
        <v>46060</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12055-2022</t>
        </is>
      </c>
      <c r="B157" s="1" t="n">
        <v>44636</v>
      </c>
      <c r="C157" s="1" t="n">
        <v>46060</v>
      </c>
      <c r="D157" t="inlineStr">
        <is>
          <t>VÄSTRA GÖTALANDS LÄN</t>
        </is>
      </c>
      <c r="E157" t="inlineStr">
        <is>
          <t>ALE</t>
        </is>
      </c>
      <c r="G157" t="n">
        <v>0.2</v>
      </c>
      <c r="H157" t="n">
        <v>0</v>
      </c>
      <c r="I157" t="n">
        <v>0</v>
      </c>
      <c r="J157" t="n">
        <v>0</v>
      </c>
      <c r="K157" t="n">
        <v>0</v>
      </c>
      <c r="L157" t="n">
        <v>0</v>
      </c>
      <c r="M157" t="n">
        <v>0</v>
      </c>
      <c r="N157" t="n">
        <v>0</v>
      </c>
      <c r="O157" t="n">
        <v>0</v>
      </c>
      <c r="P157" t="n">
        <v>0</v>
      </c>
      <c r="Q157" t="n">
        <v>0</v>
      </c>
      <c r="R157" s="2" t="inlineStr"/>
    </row>
    <row r="158" ht="15" customHeight="1">
      <c r="A158" t="inlineStr">
        <is>
          <t>A 36763-2022</t>
        </is>
      </c>
      <c r="B158" s="1" t="n">
        <v>44805</v>
      </c>
      <c r="C158" s="1" t="n">
        <v>46060</v>
      </c>
      <c r="D158" t="inlineStr">
        <is>
          <t>VÄSTRA GÖTALANDS LÄN</t>
        </is>
      </c>
      <c r="E158" t="inlineStr">
        <is>
          <t>ALE</t>
        </is>
      </c>
      <c r="G158" t="n">
        <v>6.1</v>
      </c>
      <c r="H158" t="n">
        <v>0</v>
      </c>
      <c r="I158" t="n">
        <v>0</v>
      </c>
      <c r="J158" t="n">
        <v>0</v>
      </c>
      <c r="K158" t="n">
        <v>0</v>
      </c>
      <c r="L158" t="n">
        <v>0</v>
      </c>
      <c r="M158" t="n">
        <v>0</v>
      </c>
      <c r="N158" t="n">
        <v>0</v>
      </c>
      <c r="O158" t="n">
        <v>0</v>
      </c>
      <c r="P158" t="n">
        <v>0</v>
      </c>
      <c r="Q158" t="n">
        <v>0</v>
      </c>
      <c r="R158" s="2" t="inlineStr"/>
    </row>
    <row r="159" ht="15" customHeight="1">
      <c r="A159" t="inlineStr">
        <is>
          <t>A 3407-2023</t>
        </is>
      </c>
      <c r="B159" s="1" t="n">
        <v>44949.54909722223</v>
      </c>
      <c r="C159" s="1" t="n">
        <v>46060</v>
      </c>
      <c r="D159" t="inlineStr">
        <is>
          <t>VÄSTRA GÖTALANDS LÄN</t>
        </is>
      </c>
      <c r="E159" t="inlineStr">
        <is>
          <t>ALE</t>
        </is>
      </c>
      <c r="G159" t="n">
        <v>1.2</v>
      </c>
      <c r="H159" t="n">
        <v>0</v>
      </c>
      <c r="I159" t="n">
        <v>0</v>
      </c>
      <c r="J159" t="n">
        <v>0</v>
      </c>
      <c r="K159" t="n">
        <v>0</v>
      </c>
      <c r="L159" t="n">
        <v>0</v>
      </c>
      <c r="M159" t="n">
        <v>0</v>
      </c>
      <c r="N159" t="n">
        <v>0</v>
      </c>
      <c r="O159" t="n">
        <v>0</v>
      </c>
      <c r="P159" t="n">
        <v>0</v>
      </c>
      <c r="Q159" t="n">
        <v>0</v>
      </c>
      <c r="R159" s="2" t="inlineStr"/>
    </row>
    <row r="160" ht="15" customHeight="1">
      <c r="A160" t="inlineStr">
        <is>
          <t>A 15241-2025</t>
        </is>
      </c>
      <c r="B160" s="1" t="n">
        <v>45744.61255787037</v>
      </c>
      <c r="C160" s="1" t="n">
        <v>46060</v>
      </c>
      <c r="D160" t="inlineStr">
        <is>
          <t>VÄSTRA GÖTALANDS LÄN</t>
        </is>
      </c>
      <c r="E160" t="inlineStr">
        <is>
          <t>ALE</t>
        </is>
      </c>
      <c r="G160" t="n">
        <v>2.2</v>
      </c>
      <c r="H160" t="n">
        <v>0</v>
      </c>
      <c r="I160" t="n">
        <v>0</v>
      </c>
      <c r="J160" t="n">
        <v>0</v>
      </c>
      <c r="K160" t="n">
        <v>0</v>
      </c>
      <c r="L160" t="n">
        <v>0</v>
      </c>
      <c r="M160" t="n">
        <v>0</v>
      </c>
      <c r="N160" t="n">
        <v>0</v>
      </c>
      <c r="O160" t="n">
        <v>0</v>
      </c>
      <c r="P160" t="n">
        <v>0</v>
      </c>
      <c r="Q160" t="n">
        <v>0</v>
      </c>
      <c r="R160" s="2" t="inlineStr"/>
    </row>
    <row r="161" ht="15" customHeight="1">
      <c r="A161" t="inlineStr">
        <is>
          <t>A 49680-2024</t>
        </is>
      </c>
      <c r="B161" s="1" t="n">
        <v>45596.66880787037</v>
      </c>
      <c r="C161" s="1" t="n">
        <v>46060</v>
      </c>
      <c r="D161" t="inlineStr">
        <is>
          <t>VÄSTRA GÖTALANDS LÄN</t>
        </is>
      </c>
      <c r="E161" t="inlineStr">
        <is>
          <t>ALE</t>
        </is>
      </c>
      <c r="G161" t="n">
        <v>3.7</v>
      </c>
      <c r="H161" t="n">
        <v>0</v>
      </c>
      <c r="I161" t="n">
        <v>0</v>
      </c>
      <c r="J161" t="n">
        <v>0</v>
      </c>
      <c r="K161" t="n">
        <v>0</v>
      </c>
      <c r="L161" t="n">
        <v>0</v>
      </c>
      <c r="M161" t="n">
        <v>0</v>
      </c>
      <c r="N161" t="n">
        <v>0</v>
      </c>
      <c r="O161" t="n">
        <v>0</v>
      </c>
      <c r="P161" t="n">
        <v>0</v>
      </c>
      <c r="Q161" t="n">
        <v>0</v>
      </c>
      <c r="R161" s="2" t="inlineStr"/>
    </row>
    <row r="162" ht="15" customHeight="1">
      <c r="A162" t="inlineStr">
        <is>
          <t>A 34153-2024</t>
        </is>
      </c>
      <c r="B162" s="1" t="n">
        <v>45524.38400462963</v>
      </c>
      <c r="C162" s="1" t="n">
        <v>46060</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14731-2022</t>
        </is>
      </c>
      <c r="B163" s="1" t="n">
        <v>44656</v>
      </c>
      <c r="C163" s="1" t="n">
        <v>46060</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41598-2022</t>
        </is>
      </c>
      <c r="B164" s="1" t="n">
        <v>44827.4609837963</v>
      </c>
      <c r="C164" s="1" t="n">
        <v>46060</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4642-2024</t>
        </is>
      </c>
      <c r="B165" s="1" t="n">
        <v>45328.43502314815</v>
      </c>
      <c r="C165" s="1" t="n">
        <v>46060</v>
      </c>
      <c r="D165" t="inlineStr">
        <is>
          <t>VÄSTRA GÖTALANDS LÄN</t>
        </is>
      </c>
      <c r="E165" t="inlineStr">
        <is>
          <t>ALE</t>
        </is>
      </c>
      <c r="G165" t="n">
        <v>7.1</v>
      </c>
      <c r="H165" t="n">
        <v>0</v>
      </c>
      <c r="I165" t="n">
        <v>0</v>
      </c>
      <c r="J165" t="n">
        <v>0</v>
      </c>
      <c r="K165" t="n">
        <v>0</v>
      </c>
      <c r="L165" t="n">
        <v>0</v>
      </c>
      <c r="M165" t="n">
        <v>0</v>
      </c>
      <c r="N165" t="n">
        <v>0</v>
      </c>
      <c r="O165" t="n">
        <v>0</v>
      </c>
      <c r="P165" t="n">
        <v>0</v>
      </c>
      <c r="Q165" t="n">
        <v>0</v>
      </c>
      <c r="R165" s="2" t="inlineStr"/>
    </row>
    <row r="166" ht="15" customHeight="1">
      <c r="A166" t="inlineStr">
        <is>
          <t>A 5916-2023</t>
        </is>
      </c>
      <c r="B166" s="1" t="n">
        <v>44963</v>
      </c>
      <c r="C166" s="1" t="n">
        <v>46060</v>
      </c>
      <c r="D166" t="inlineStr">
        <is>
          <t>VÄSTRA GÖTALANDS LÄN</t>
        </is>
      </c>
      <c r="E166" t="inlineStr">
        <is>
          <t>ALE</t>
        </is>
      </c>
      <c r="G166" t="n">
        <v>4.2</v>
      </c>
      <c r="H166" t="n">
        <v>0</v>
      </c>
      <c r="I166" t="n">
        <v>0</v>
      </c>
      <c r="J166" t="n">
        <v>0</v>
      </c>
      <c r="K166" t="n">
        <v>0</v>
      </c>
      <c r="L166" t="n">
        <v>0</v>
      </c>
      <c r="M166" t="n">
        <v>0</v>
      </c>
      <c r="N166" t="n">
        <v>0</v>
      </c>
      <c r="O166" t="n">
        <v>0</v>
      </c>
      <c r="P166" t="n">
        <v>0</v>
      </c>
      <c r="Q166" t="n">
        <v>0</v>
      </c>
      <c r="R166" s="2" t="inlineStr"/>
    </row>
    <row r="167" ht="15" customHeight="1">
      <c r="A167" t="inlineStr">
        <is>
          <t>A 3457-2022</t>
        </is>
      </c>
      <c r="B167" s="1" t="n">
        <v>44585</v>
      </c>
      <c r="C167" s="1" t="n">
        <v>46060</v>
      </c>
      <c r="D167" t="inlineStr">
        <is>
          <t>VÄSTRA GÖTALANDS LÄN</t>
        </is>
      </c>
      <c r="E167" t="inlineStr">
        <is>
          <t>ALE</t>
        </is>
      </c>
      <c r="G167" t="n">
        <v>5.1</v>
      </c>
      <c r="H167" t="n">
        <v>0</v>
      </c>
      <c r="I167" t="n">
        <v>0</v>
      </c>
      <c r="J167" t="n">
        <v>0</v>
      </c>
      <c r="K167" t="n">
        <v>0</v>
      </c>
      <c r="L167" t="n">
        <v>0</v>
      </c>
      <c r="M167" t="n">
        <v>0</v>
      </c>
      <c r="N167" t="n">
        <v>0</v>
      </c>
      <c r="O167" t="n">
        <v>0</v>
      </c>
      <c r="P167" t="n">
        <v>0</v>
      </c>
      <c r="Q167" t="n">
        <v>0</v>
      </c>
      <c r="R167" s="2" t="inlineStr"/>
    </row>
    <row r="168" ht="15" customHeight="1">
      <c r="A168" t="inlineStr">
        <is>
          <t>A 50451-2024</t>
        </is>
      </c>
      <c r="B168" s="1" t="n">
        <v>45601.44248842593</v>
      </c>
      <c r="C168" s="1" t="n">
        <v>46060</v>
      </c>
      <c r="D168" t="inlineStr">
        <is>
          <t>VÄSTRA GÖTALANDS LÄN</t>
        </is>
      </c>
      <c r="E168" t="inlineStr">
        <is>
          <t>ALE</t>
        </is>
      </c>
      <c r="G168" t="n">
        <v>2.9</v>
      </c>
      <c r="H168" t="n">
        <v>0</v>
      </c>
      <c r="I168" t="n">
        <v>0</v>
      </c>
      <c r="J168" t="n">
        <v>0</v>
      </c>
      <c r="K168" t="n">
        <v>0</v>
      </c>
      <c r="L168" t="n">
        <v>0</v>
      </c>
      <c r="M168" t="n">
        <v>0</v>
      </c>
      <c r="N168" t="n">
        <v>0</v>
      </c>
      <c r="O168" t="n">
        <v>0</v>
      </c>
      <c r="P168" t="n">
        <v>0</v>
      </c>
      <c r="Q168" t="n">
        <v>0</v>
      </c>
      <c r="R168" s="2" t="inlineStr"/>
    </row>
    <row r="169" ht="15" customHeight="1">
      <c r="A169" t="inlineStr">
        <is>
          <t>A 4971-2024</t>
        </is>
      </c>
      <c r="B169" s="1" t="n">
        <v>45329</v>
      </c>
      <c r="C169" s="1" t="n">
        <v>46060</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22946-2025</t>
        </is>
      </c>
      <c r="B170" s="1" t="n">
        <v>45790.48229166667</v>
      </c>
      <c r="C170" s="1" t="n">
        <v>46060</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row r="171">
      <c r="A171" t="inlineStr">
        <is>
          <t>A 37461-2024</t>
        </is>
      </c>
      <c r="B171" s="1" t="n">
        <v>45540.72516203704</v>
      </c>
      <c r="C171" s="1" t="n">
        <v>46060</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2026-02-07T13:49:08Z</dcterms:created>
  <dcterms:modified xmlns:dcterms="http://purl.org/dc/terms/" xmlns:xsi="http://www.w3.org/2001/XMLSchema-instance" xsi:type="dcterms:W3CDTF">2026-02-07T13:49:08Z</dcterms:modified>
</cp:coreProperties>
</file>