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45934</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45934</v>
      </c>
      <c r="D4" t="inlineStr">
        <is>
          <t>VÄSTRA GÖTALANDS LÄN</t>
        </is>
      </c>
      <c r="E4" t="inlineStr">
        <is>
          <t>ALE</t>
        </is>
      </c>
      <c r="G4" t="n">
        <v>10.3</v>
      </c>
      <c r="H4" t="n">
        <v>12</v>
      </c>
      <c r="I4" t="n">
        <v>11</v>
      </c>
      <c r="J4" t="n">
        <v>5</v>
      </c>
      <c r="K4" t="n">
        <v>2</v>
      </c>
      <c r="L4" t="n">
        <v>1</v>
      </c>
      <c r="M4" t="n">
        <v>0</v>
      </c>
      <c r="N4" t="n">
        <v>0</v>
      </c>
      <c r="O4" t="n">
        <v>8</v>
      </c>
      <c r="P4" t="n">
        <v>3</v>
      </c>
      <c r="Q4" t="n">
        <v>25</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45934</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45934</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45934</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45934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45934</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45934</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45934</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45934</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45934</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17566-2024</t>
        </is>
      </c>
      <c r="B14" s="1" t="n">
        <v>45415</v>
      </c>
      <c r="C14" s="1" t="n">
        <v>45934</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40059-2025</t>
        </is>
      </c>
      <c r="B15" s="1" t="n">
        <v>45894.42600694444</v>
      </c>
      <c r="C15" s="1" t="n">
        <v>45934</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563-2024</t>
        </is>
      </c>
      <c r="B16" s="1" t="n">
        <v>45299</v>
      </c>
      <c r="C16" s="1" t="n">
        <v>45934</v>
      </c>
      <c r="D16" t="inlineStr">
        <is>
          <t>VÄSTRA GÖTALANDS LÄN</t>
        </is>
      </c>
      <c r="E16" t="inlineStr">
        <is>
          <t>ALE</t>
        </is>
      </c>
      <c r="F16" t="inlineStr">
        <is>
          <t>Kyrkan</t>
        </is>
      </c>
      <c r="G16" t="n">
        <v>26</v>
      </c>
      <c r="H16" t="n">
        <v>4</v>
      </c>
      <c r="I16" t="n">
        <v>1</v>
      </c>
      <c r="J16" t="n">
        <v>3</v>
      </c>
      <c r="K16" t="n">
        <v>0</v>
      </c>
      <c r="L16" t="n">
        <v>0</v>
      </c>
      <c r="M16" t="n">
        <v>0</v>
      </c>
      <c r="N16" t="n">
        <v>0</v>
      </c>
      <c r="O16" t="n">
        <v>3</v>
      </c>
      <c r="P16" t="n">
        <v>0</v>
      </c>
      <c r="Q16" t="n">
        <v>6</v>
      </c>
      <c r="R16" s="2" t="inlineStr">
        <is>
          <t>Kortskaftad ärgspik
Spillkråka
Talltita
Björksplintborre
Tjäder
Revlummer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24162-2025</t>
        </is>
      </c>
      <c r="B17" s="1" t="n">
        <v>45796.66684027778</v>
      </c>
      <c r="C17" s="1" t="n">
        <v>45934</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26491-2024</t>
        </is>
      </c>
      <c r="B18" s="1" t="n">
        <v>45469</v>
      </c>
      <c r="C18" s="1" t="n">
        <v>45934</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19934-2025</t>
        </is>
      </c>
      <c r="B19" s="1" t="n">
        <v>45771</v>
      </c>
      <c r="C19" s="1" t="n">
        <v>45934</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7903-2024</t>
        </is>
      </c>
      <c r="B20" s="1" t="n">
        <v>45350</v>
      </c>
      <c r="C20" s="1" t="n">
        <v>45934</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45934</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42660-2024</t>
        </is>
      </c>
      <c r="B22" s="1" t="n">
        <v>45566.33841435185</v>
      </c>
      <c r="C22" s="1" t="n">
        <v>45934</v>
      </c>
      <c r="D22" t="inlineStr">
        <is>
          <t>VÄSTRA GÖTALANDS LÄN</t>
        </is>
      </c>
      <c r="E22" t="inlineStr">
        <is>
          <t>ALE</t>
        </is>
      </c>
      <c r="G22" t="n">
        <v>2.5</v>
      </c>
      <c r="H22" t="n">
        <v>2</v>
      </c>
      <c r="I22" t="n">
        <v>0</v>
      </c>
      <c r="J22" t="n">
        <v>0</v>
      </c>
      <c r="K22" t="n">
        <v>0</v>
      </c>
      <c r="L22" t="n">
        <v>0</v>
      </c>
      <c r="M22" t="n">
        <v>0</v>
      </c>
      <c r="N22" t="n">
        <v>0</v>
      </c>
      <c r="O22" t="n">
        <v>0</v>
      </c>
      <c r="P22" t="n">
        <v>0</v>
      </c>
      <c r="Q22" t="n">
        <v>2</v>
      </c>
      <c r="R22" s="2" t="inlineStr">
        <is>
          <t>Mattlummer
Revlummer</t>
        </is>
      </c>
      <c r="S22">
        <f>HYPERLINK("https://klasma.github.io/Logging_1440/artfynd/A 42660-2024 artfynd.xlsx", "A 42660-2024")</f>
        <v/>
      </c>
      <c r="T22">
        <f>HYPERLINK("https://klasma.github.io/Logging_1440/kartor/A 42660-2024 karta.png", "A 42660-2024")</f>
        <v/>
      </c>
      <c r="V22">
        <f>HYPERLINK("https://klasma.github.io/Logging_1440/klagomål/A 42660-2024 FSC-klagomål.docx", "A 42660-2024")</f>
        <v/>
      </c>
      <c r="W22">
        <f>HYPERLINK("https://klasma.github.io/Logging_1440/klagomålsmail/A 42660-2024 FSC-klagomål mail.docx", "A 42660-2024")</f>
        <v/>
      </c>
      <c r="X22">
        <f>HYPERLINK("https://klasma.github.io/Logging_1440/tillsyn/A 42660-2024 tillsynsbegäran.docx", "A 42660-2024")</f>
        <v/>
      </c>
      <c r="Y22">
        <f>HYPERLINK("https://klasma.github.io/Logging_1440/tillsynsmail/A 42660-2024 tillsynsbegäran mail.docx", "A 42660-2024")</f>
        <v/>
      </c>
    </row>
    <row r="23" ht="15" customHeight="1">
      <c r="A23" t="inlineStr">
        <is>
          <t>A 58954-2022</t>
        </is>
      </c>
      <c r="B23" s="1" t="n">
        <v>44903</v>
      </c>
      <c r="C23" s="1" t="n">
        <v>45934</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63569-2023</t>
        </is>
      </c>
      <c r="B24" s="1" t="n">
        <v>45275</v>
      </c>
      <c r="C24" s="1" t="n">
        <v>45934</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8955-2025</t>
        </is>
      </c>
      <c r="B25" s="1" t="n">
        <v>45713.46528935185</v>
      </c>
      <c r="C25" s="1" t="n">
        <v>45934</v>
      </c>
      <c r="D25" t="inlineStr">
        <is>
          <t>VÄSTRA GÖTALANDS LÄN</t>
        </is>
      </c>
      <c r="E25" t="inlineStr">
        <is>
          <t>ALE</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HYPERLINK("https://klasma.github.io/Logging_1440/artfynd/A 8955-2025 artfynd.xlsx", "A 8955-2025")</f>
        <v/>
      </c>
      <c r="T25">
        <f>HYPERLINK("https://klasma.github.io/Logging_1440/kartor/A 8955-2025 karta.png", "A 8955-2025")</f>
        <v/>
      </c>
      <c r="V25">
        <f>HYPERLINK("https://klasma.github.io/Logging_1440/klagomål/A 8955-2025 FSC-klagomål.docx", "A 8955-2025")</f>
        <v/>
      </c>
      <c r="W25">
        <f>HYPERLINK("https://klasma.github.io/Logging_1440/klagomålsmail/A 8955-2025 FSC-klagomål mail.docx", "A 8955-2025")</f>
        <v/>
      </c>
      <c r="X25">
        <f>HYPERLINK("https://klasma.github.io/Logging_1440/tillsyn/A 8955-2025 tillsynsbegäran.docx", "A 8955-2025")</f>
        <v/>
      </c>
      <c r="Y25">
        <f>HYPERLINK("https://klasma.github.io/Logging_1440/tillsynsmail/A 8955-2025 tillsynsbegäran mail.docx", "A 8955-2025")</f>
        <v/>
      </c>
      <c r="Z25">
        <f>HYPERLINK("https://klasma.github.io/Logging_1440/fåglar/A 8955-2025 prioriterade fågelarter.docx", "A 8955-2025")</f>
        <v/>
      </c>
    </row>
    <row r="26" ht="15" customHeight="1">
      <c r="A26" t="inlineStr">
        <is>
          <t>A 1503-2024</t>
        </is>
      </c>
      <c r="B26" s="1" t="n">
        <v>45306.35041666667</v>
      </c>
      <c r="C26" s="1" t="n">
        <v>45934</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45934</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13380-2025</t>
        </is>
      </c>
      <c r="B28" s="1" t="n">
        <v>45735.6765162037</v>
      </c>
      <c r="C28" s="1" t="n">
        <v>45934</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40931-2025</t>
        </is>
      </c>
      <c r="B29" s="1" t="n">
        <v>45897.64783564815</v>
      </c>
      <c r="C29" s="1" t="n">
        <v>45934</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16534-2025</t>
        </is>
      </c>
      <c r="B30" s="1" t="n">
        <v>45751.65315972222</v>
      </c>
      <c r="C30" s="1" t="n">
        <v>45934</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45934</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45934</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12982-2024</t>
        </is>
      </c>
      <c r="B33" s="1" t="n">
        <v>45385.53569444444</v>
      </c>
      <c r="C33" s="1" t="n">
        <v>45934</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26677-2025</t>
        </is>
      </c>
      <c r="B34" s="1" t="n">
        <v>45810.42446759259</v>
      </c>
      <c r="C34" s="1" t="n">
        <v>45934</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12084-2025</t>
        </is>
      </c>
      <c r="B35" s="1" t="n">
        <v>45728.95387731482</v>
      </c>
      <c r="C35" s="1" t="n">
        <v>45934</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13902-2025</t>
        </is>
      </c>
      <c r="B36" s="1" t="n">
        <v>45737.63446759259</v>
      </c>
      <c r="C36" s="1" t="n">
        <v>45934</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26493-2024</t>
        </is>
      </c>
      <c r="B37" s="1" t="n">
        <v>45469</v>
      </c>
      <c r="C37" s="1" t="n">
        <v>45934</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21281-2021</t>
        </is>
      </c>
      <c r="B38" s="1" t="n">
        <v>44320.61850694445</v>
      </c>
      <c r="C38" s="1" t="n">
        <v>45934</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45934</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45934</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45934</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45934</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45934</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45934</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45934</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45934</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45934</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45934</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45934</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45934</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66466-2020</t>
        </is>
      </c>
      <c r="B51" s="1" t="n">
        <v>44176</v>
      </c>
      <c r="C51" s="1" t="n">
        <v>45934</v>
      </c>
      <c r="D51" t="inlineStr">
        <is>
          <t>VÄSTRA GÖTALANDS LÄN</t>
        </is>
      </c>
      <c r="E51" t="inlineStr">
        <is>
          <t>ALE</t>
        </is>
      </c>
      <c r="G51" t="n">
        <v>1.7</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45934</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45934</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45934</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45934</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45934</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45934</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45934</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45934</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45934</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45934</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45934</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45934</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45934</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26157-2023</t>
        </is>
      </c>
      <c r="B65" s="1" t="n">
        <v>45091.50479166667</v>
      </c>
      <c r="C65" s="1" t="n">
        <v>45934</v>
      </c>
      <c r="D65" t="inlineStr">
        <is>
          <t>VÄSTRA GÖTALANDS LÄN</t>
        </is>
      </c>
      <c r="E65" t="inlineStr">
        <is>
          <t>ALE</t>
        </is>
      </c>
      <c r="G65" t="n">
        <v>2.6</v>
      </c>
      <c r="H65" t="n">
        <v>0</v>
      </c>
      <c r="I65" t="n">
        <v>0</v>
      </c>
      <c r="J65" t="n">
        <v>0</v>
      </c>
      <c r="K65" t="n">
        <v>0</v>
      </c>
      <c r="L65" t="n">
        <v>0</v>
      </c>
      <c r="M65" t="n">
        <v>0</v>
      </c>
      <c r="N65" t="n">
        <v>0</v>
      </c>
      <c r="O65" t="n">
        <v>0</v>
      </c>
      <c r="P65" t="n">
        <v>0</v>
      </c>
      <c r="Q65" t="n">
        <v>0</v>
      </c>
      <c r="R65" s="2" t="inlineStr"/>
    </row>
    <row r="66" ht="15" customHeight="1">
      <c r="A66" t="inlineStr">
        <is>
          <t>A 6916-2023</t>
        </is>
      </c>
      <c r="B66" s="1" t="n">
        <v>44967.53349537037</v>
      </c>
      <c r="C66" s="1" t="n">
        <v>45934</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14458-2024</t>
        </is>
      </c>
      <c r="B67" s="1" t="n">
        <v>45394</v>
      </c>
      <c r="C67" s="1" t="n">
        <v>45934</v>
      </c>
      <c r="D67" t="inlineStr">
        <is>
          <t>VÄSTRA GÖTALANDS LÄN</t>
        </is>
      </c>
      <c r="E67" t="inlineStr">
        <is>
          <t>ALE</t>
        </is>
      </c>
      <c r="G67" t="n">
        <v>0.5</v>
      </c>
      <c r="H67" t="n">
        <v>0</v>
      </c>
      <c r="I67" t="n">
        <v>0</v>
      </c>
      <c r="J67" t="n">
        <v>0</v>
      </c>
      <c r="K67" t="n">
        <v>0</v>
      </c>
      <c r="L67" t="n">
        <v>0</v>
      </c>
      <c r="M67" t="n">
        <v>0</v>
      </c>
      <c r="N67" t="n">
        <v>0</v>
      </c>
      <c r="O67" t="n">
        <v>0</v>
      </c>
      <c r="P67" t="n">
        <v>0</v>
      </c>
      <c r="Q67" t="n">
        <v>0</v>
      </c>
      <c r="R67" s="2" t="inlineStr"/>
    </row>
    <row r="68" ht="15" customHeight="1">
      <c r="A68" t="inlineStr">
        <is>
          <t>A 47087-2023</t>
        </is>
      </c>
      <c r="B68" s="1" t="n">
        <v>45196</v>
      </c>
      <c r="C68" s="1" t="n">
        <v>45934</v>
      </c>
      <c r="D68" t="inlineStr">
        <is>
          <t>VÄSTRA GÖTALANDS LÄN</t>
        </is>
      </c>
      <c r="E68" t="inlineStr">
        <is>
          <t>ALE</t>
        </is>
      </c>
      <c r="G68" t="n">
        <v>1.6</v>
      </c>
      <c r="H68" t="n">
        <v>0</v>
      </c>
      <c r="I68" t="n">
        <v>0</v>
      </c>
      <c r="J68" t="n">
        <v>0</v>
      </c>
      <c r="K68" t="n">
        <v>0</v>
      </c>
      <c r="L68" t="n">
        <v>0</v>
      </c>
      <c r="M68" t="n">
        <v>0</v>
      </c>
      <c r="N68" t="n">
        <v>0</v>
      </c>
      <c r="O68" t="n">
        <v>0</v>
      </c>
      <c r="P68" t="n">
        <v>0</v>
      </c>
      <c r="Q68" t="n">
        <v>0</v>
      </c>
      <c r="R68" s="2" t="inlineStr"/>
    </row>
    <row r="69" ht="15" customHeight="1">
      <c r="A69" t="inlineStr">
        <is>
          <t>A 35148-2021</t>
        </is>
      </c>
      <c r="B69" s="1" t="n">
        <v>44384</v>
      </c>
      <c r="C69" s="1" t="n">
        <v>45934</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42446-2023</t>
        </is>
      </c>
      <c r="B70" s="1" t="n">
        <v>45180</v>
      </c>
      <c r="C70" s="1" t="n">
        <v>45934</v>
      </c>
      <c r="D70" t="inlineStr">
        <is>
          <t>VÄSTRA GÖTALANDS LÄN</t>
        </is>
      </c>
      <c r="E70" t="inlineStr">
        <is>
          <t>ALE</t>
        </is>
      </c>
      <c r="G70" t="n">
        <v>0.8</v>
      </c>
      <c r="H70" t="n">
        <v>0</v>
      </c>
      <c r="I70" t="n">
        <v>0</v>
      </c>
      <c r="J70" t="n">
        <v>0</v>
      </c>
      <c r="K70" t="n">
        <v>0</v>
      </c>
      <c r="L70" t="n">
        <v>0</v>
      </c>
      <c r="M70" t="n">
        <v>0</v>
      </c>
      <c r="N70" t="n">
        <v>0</v>
      </c>
      <c r="O70" t="n">
        <v>0</v>
      </c>
      <c r="P70" t="n">
        <v>0</v>
      </c>
      <c r="Q70" t="n">
        <v>0</v>
      </c>
      <c r="R70" s="2" t="inlineStr"/>
    </row>
    <row r="71" ht="15" customHeight="1">
      <c r="A71" t="inlineStr">
        <is>
          <t>A 43732-2025</t>
        </is>
      </c>
      <c r="B71" s="1" t="n">
        <v>45912.43576388889</v>
      </c>
      <c r="C71" s="1" t="n">
        <v>45934</v>
      </c>
      <c r="D71" t="inlineStr">
        <is>
          <t>VÄSTRA GÖTALANDS LÄN</t>
        </is>
      </c>
      <c r="E71" t="inlineStr">
        <is>
          <t>ALE</t>
        </is>
      </c>
      <c r="G71" t="n">
        <v>2.9</v>
      </c>
      <c r="H71" t="n">
        <v>0</v>
      </c>
      <c r="I71" t="n">
        <v>0</v>
      </c>
      <c r="J71" t="n">
        <v>0</v>
      </c>
      <c r="K71" t="n">
        <v>0</v>
      </c>
      <c r="L71" t="n">
        <v>0</v>
      </c>
      <c r="M71" t="n">
        <v>0</v>
      </c>
      <c r="N71" t="n">
        <v>0</v>
      </c>
      <c r="O71" t="n">
        <v>0</v>
      </c>
      <c r="P71" t="n">
        <v>0</v>
      </c>
      <c r="Q71" t="n">
        <v>0</v>
      </c>
      <c r="R71" s="2" t="inlineStr"/>
    </row>
    <row r="72" ht="15" customHeight="1">
      <c r="A72" t="inlineStr">
        <is>
          <t>A 27314-2021</t>
        </is>
      </c>
      <c r="B72" s="1" t="n">
        <v>44351.36537037037</v>
      </c>
      <c r="C72" s="1" t="n">
        <v>45934</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1822-2024</t>
        </is>
      </c>
      <c r="B73" s="1" t="n">
        <v>45307.6205787037</v>
      </c>
      <c r="C73" s="1" t="n">
        <v>45934</v>
      </c>
      <c r="D73" t="inlineStr">
        <is>
          <t>VÄSTRA GÖTALANDS LÄN</t>
        </is>
      </c>
      <c r="E73" t="inlineStr">
        <is>
          <t>ALE</t>
        </is>
      </c>
      <c r="G73" t="n">
        <v>2</v>
      </c>
      <c r="H73" t="n">
        <v>0</v>
      </c>
      <c r="I73" t="n">
        <v>0</v>
      </c>
      <c r="J73" t="n">
        <v>0</v>
      </c>
      <c r="K73" t="n">
        <v>0</v>
      </c>
      <c r="L73" t="n">
        <v>0</v>
      </c>
      <c r="M73" t="n">
        <v>0</v>
      </c>
      <c r="N73" t="n">
        <v>0</v>
      </c>
      <c r="O73" t="n">
        <v>0</v>
      </c>
      <c r="P73" t="n">
        <v>0</v>
      </c>
      <c r="Q73" t="n">
        <v>0</v>
      </c>
      <c r="R73" s="2" t="inlineStr"/>
    </row>
    <row r="74" ht="15" customHeight="1">
      <c r="A74" t="inlineStr">
        <is>
          <t>A 34104-2024</t>
        </is>
      </c>
      <c r="B74" s="1" t="n">
        <v>45523.79202546296</v>
      </c>
      <c r="C74" s="1" t="n">
        <v>45934</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33237-2024</t>
        </is>
      </c>
      <c r="B75" s="1" t="n">
        <v>45518.59173611111</v>
      </c>
      <c r="C75" s="1" t="n">
        <v>45934</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12055-2022</t>
        </is>
      </c>
      <c r="B76" s="1" t="n">
        <v>44636</v>
      </c>
      <c r="C76" s="1" t="n">
        <v>45934</v>
      </c>
      <c r="D76" t="inlineStr">
        <is>
          <t>VÄSTRA GÖTALANDS LÄN</t>
        </is>
      </c>
      <c r="E76" t="inlineStr">
        <is>
          <t>ALE</t>
        </is>
      </c>
      <c r="G76" t="n">
        <v>0.2</v>
      </c>
      <c r="H76" t="n">
        <v>0</v>
      </c>
      <c r="I76" t="n">
        <v>0</v>
      </c>
      <c r="J76" t="n">
        <v>0</v>
      </c>
      <c r="K76" t="n">
        <v>0</v>
      </c>
      <c r="L76" t="n">
        <v>0</v>
      </c>
      <c r="M76" t="n">
        <v>0</v>
      </c>
      <c r="N76" t="n">
        <v>0</v>
      </c>
      <c r="O76" t="n">
        <v>0</v>
      </c>
      <c r="P76" t="n">
        <v>0</v>
      </c>
      <c r="Q76" t="n">
        <v>0</v>
      </c>
      <c r="R76" s="2" t="inlineStr"/>
    </row>
    <row r="77" ht="15" customHeight="1">
      <c r="A77" t="inlineStr">
        <is>
          <t>A 5875-2023</t>
        </is>
      </c>
      <c r="B77" s="1" t="n">
        <v>44963</v>
      </c>
      <c r="C77" s="1" t="n">
        <v>45934</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3418-2023</t>
        </is>
      </c>
      <c r="B78" s="1" t="n">
        <v>44949.56182870371</v>
      </c>
      <c r="C78" s="1" t="n">
        <v>45934</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57473-2022</t>
        </is>
      </c>
      <c r="B79" s="1" t="n">
        <v>44896</v>
      </c>
      <c r="C79" s="1" t="n">
        <v>45934</v>
      </c>
      <c r="D79" t="inlineStr">
        <is>
          <t>VÄSTRA GÖTALANDS LÄN</t>
        </is>
      </c>
      <c r="E79" t="inlineStr">
        <is>
          <t>ALE</t>
        </is>
      </c>
      <c r="G79" t="n">
        <v>0.7</v>
      </c>
      <c r="H79" t="n">
        <v>0</v>
      </c>
      <c r="I79" t="n">
        <v>0</v>
      </c>
      <c r="J79" t="n">
        <v>0</v>
      </c>
      <c r="K79" t="n">
        <v>0</v>
      </c>
      <c r="L79" t="n">
        <v>0</v>
      </c>
      <c r="M79" t="n">
        <v>0</v>
      </c>
      <c r="N79" t="n">
        <v>0</v>
      </c>
      <c r="O79" t="n">
        <v>0</v>
      </c>
      <c r="P79" t="n">
        <v>0</v>
      </c>
      <c r="Q79" t="n">
        <v>0</v>
      </c>
      <c r="R79" s="2" t="inlineStr"/>
    </row>
    <row r="80" ht="15" customHeight="1">
      <c r="A80" t="inlineStr">
        <is>
          <t>A 64199-2021</t>
        </is>
      </c>
      <c r="B80" s="1" t="n">
        <v>44510</v>
      </c>
      <c r="C80" s="1" t="n">
        <v>45934</v>
      </c>
      <c r="D80" t="inlineStr">
        <is>
          <t>VÄSTRA GÖTALANDS LÄN</t>
        </is>
      </c>
      <c r="E80" t="inlineStr">
        <is>
          <t>ALE</t>
        </is>
      </c>
      <c r="G80" t="n">
        <v>5.7</v>
      </c>
      <c r="H80" t="n">
        <v>0</v>
      </c>
      <c r="I80" t="n">
        <v>0</v>
      </c>
      <c r="J80" t="n">
        <v>0</v>
      </c>
      <c r="K80" t="n">
        <v>0</v>
      </c>
      <c r="L80" t="n">
        <v>0</v>
      </c>
      <c r="M80" t="n">
        <v>0</v>
      </c>
      <c r="N80" t="n">
        <v>0</v>
      </c>
      <c r="O80" t="n">
        <v>0</v>
      </c>
      <c r="P80" t="n">
        <v>0</v>
      </c>
      <c r="Q80" t="n">
        <v>0</v>
      </c>
      <c r="R80" s="2" t="inlineStr"/>
    </row>
    <row r="81" ht="15" customHeight="1">
      <c r="A81" t="inlineStr">
        <is>
          <t>A 36763-2022</t>
        </is>
      </c>
      <c r="B81" s="1" t="n">
        <v>44805</v>
      </c>
      <c r="C81" s="1" t="n">
        <v>45934</v>
      </c>
      <c r="D81" t="inlineStr">
        <is>
          <t>VÄSTRA GÖTALANDS LÄN</t>
        </is>
      </c>
      <c r="E81" t="inlineStr">
        <is>
          <t>ALE</t>
        </is>
      </c>
      <c r="G81" t="n">
        <v>6.1</v>
      </c>
      <c r="H81" t="n">
        <v>0</v>
      </c>
      <c r="I81" t="n">
        <v>0</v>
      </c>
      <c r="J81" t="n">
        <v>0</v>
      </c>
      <c r="K81" t="n">
        <v>0</v>
      </c>
      <c r="L81" t="n">
        <v>0</v>
      </c>
      <c r="M81" t="n">
        <v>0</v>
      </c>
      <c r="N81" t="n">
        <v>0</v>
      </c>
      <c r="O81" t="n">
        <v>0</v>
      </c>
      <c r="P81" t="n">
        <v>0</v>
      </c>
      <c r="Q81" t="n">
        <v>0</v>
      </c>
      <c r="R81" s="2" t="inlineStr"/>
    </row>
    <row r="82" ht="15" customHeight="1">
      <c r="A82" t="inlineStr">
        <is>
          <t>A 3407-2023</t>
        </is>
      </c>
      <c r="B82" s="1" t="n">
        <v>44949.54909722223</v>
      </c>
      <c r="C82" s="1" t="n">
        <v>45934</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67160-2021</t>
        </is>
      </c>
      <c r="B83" s="1" t="n">
        <v>44523</v>
      </c>
      <c r="C83" s="1" t="n">
        <v>45934</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46084-2025</t>
        </is>
      </c>
      <c r="B84" s="1" t="n">
        <v>45924.51282407407</v>
      </c>
      <c r="C84" s="1" t="n">
        <v>45934</v>
      </c>
      <c r="D84" t="inlineStr">
        <is>
          <t>VÄSTRA GÖTALANDS LÄN</t>
        </is>
      </c>
      <c r="E84" t="inlineStr">
        <is>
          <t>ALE</t>
        </is>
      </c>
      <c r="G84" t="n">
        <v>4.2</v>
      </c>
      <c r="H84" t="n">
        <v>0</v>
      </c>
      <c r="I84" t="n">
        <v>0</v>
      </c>
      <c r="J84" t="n">
        <v>0</v>
      </c>
      <c r="K84" t="n">
        <v>0</v>
      </c>
      <c r="L84" t="n">
        <v>0</v>
      </c>
      <c r="M84" t="n">
        <v>0</v>
      </c>
      <c r="N84" t="n">
        <v>0</v>
      </c>
      <c r="O84" t="n">
        <v>0</v>
      </c>
      <c r="P84" t="n">
        <v>0</v>
      </c>
      <c r="Q84" t="n">
        <v>0</v>
      </c>
      <c r="R84" s="2" t="inlineStr"/>
    </row>
    <row r="85" ht="15" customHeight="1">
      <c r="A85" t="inlineStr">
        <is>
          <t>A 15241-2025</t>
        </is>
      </c>
      <c r="B85" s="1" t="n">
        <v>45744.61255787037</v>
      </c>
      <c r="C85" s="1" t="n">
        <v>45934</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46227-2025</t>
        </is>
      </c>
      <c r="B86" s="1" t="n">
        <v>45924.90386574074</v>
      </c>
      <c r="C86" s="1" t="n">
        <v>45934</v>
      </c>
      <c r="D86" t="inlineStr">
        <is>
          <t>VÄSTRA GÖTALANDS LÄN</t>
        </is>
      </c>
      <c r="E86" t="inlineStr">
        <is>
          <t>ALE</t>
        </is>
      </c>
      <c r="G86" t="n">
        <v>0.3</v>
      </c>
      <c r="H86" t="n">
        <v>0</v>
      </c>
      <c r="I86" t="n">
        <v>0</v>
      </c>
      <c r="J86" t="n">
        <v>0</v>
      </c>
      <c r="K86" t="n">
        <v>0</v>
      </c>
      <c r="L86" t="n">
        <v>0</v>
      </c>
      <c r="M86" t="n">
        <v>0</v>
      </c>
      <c r="N86" t="n">
        <v>0</v>
      </c>
      <c r="O86" t="n">
        <v>0</v>
      </c>
      <c r="P86" t="n">
        <v>0</v>
      </c>
      <c r="Q86" t="n">
        <v>0</v>
      </c>
      <c r="R86" s="2" t="inlineStr"/>
    </row>
    <row r="87" ht="15" customHeight="1">
      <c r="A87" t="inlineStr">
        <is>
          <t>A 49680-2024</t>
        </is>
      </c>
      <c r="B87" s="1" t="n">
        <v>45596.66880787037</v>
      </c>
      <c r="C87" s="1" t="n">
        <v>45934</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34153-2024</t>
        </is>
      </c>
      <c r="B88" s="1" t="n">
        <v>45524.38400462963</v>
      </c>
      <c r="C88" s="1" t="n">
        <v>45934</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14731-2022</t>
        </is>
      </c>
      <c r="B89" s="1" t="n">
        <v>44656</v>
      </c>
      <c r="C89" s="1" t="n">
        <v>45934</v>
      </c>
      <c r="D89" t="inlineStr">
        <is>
          <t>VÄSTRA GÖTALANDS LÄN</t>
        </is>
      </c>
      <c r="E89" t="inlineStr">
        <is>
          <t>ALE</t>
        </is>
      </c>
      <c r="G89" t="n">
        <v>1.8</v>
      </c>
      <c r="H89" t="n">
        <v>0</v>
      </c>
      <c r="I89" t="n">
        <v>0</v>
      </c>
      <c r="J89" t="n">
        <v>0</v>
      </c>
      <c r="K89" t="n">
        <v>0</v>
      </c>
      <c r="L89" t="n">
        <v>0</v>
      </c>
      <c r="M89" t="n">
        <v>0</v>
      </c>
      <c r="N89" t="n">
        <v>0</v>
      </c>
      <c r="O89" t="n">
        <v>0</v>
      </c>
      <c r="P89" t="n">
        <v>0</v>
      </c>
      <c r="Q89" t="n">
        <v>0</v>
      </c>
      <c r="R89" s="2" t="inlineStr"/>
    </row>
    <row r="90" ht="15" customHeight="1">
      <c r="A90" t="inlineStr">
        <is>
          <t>A 66551-2020</t>
        </is>
      </c>
      <c r="B90" s="1" t="n">
        <v>44179</v>
      </c>
      <c r="C90" s="1" t="n">
        <v>45934</v>
      </c>
      <c r="D90" t="inlineStr">
        <is>
          <t>VÄSTRA GÖTALANDS LÄN</t>
        </is>
      </c>
      <c r="E90" t="inlineStr">
        <is>
          <t>ALE</t>
        </is>
      </c>
      <c r="G90" t="n">
        <v>4.5</v>
      </c>
      <c r="H90" t="n">
        <v>0</v>
      </c>
      <c r="I90" t="n">
        <v>0</v>
      </c>
      <c r="J90" t="n">
        <v>0</v>
      </c>
      <c r="K90" t="n">
        <v>0</v>
      </c>
      <c r="L90" t="n">
        <v>0</v>
      </c>
      <c r="M90" t="n">
        <v>0</v>
      </c>
      <c r="N90" t="n">
        <v>0</v>
      </c>
      <c r="O90" t="n">
        <v>0</v>
      </c>
      <c r="P90" t="n">
        <v>0</v>
      </c>
      <c r="Q90" t="n">
        <v>0</v>
      </c>
      <c r="R90" s="2" t="inlineStr"/>
    </row>
    <row r="91" ht="15" customHeight="1">
      <c r="A91" t="inlineStr">
        <is>
          <t>A 1960-2024</t>
        </is>
      </c>
      <c r="B91" s="1" t="n">
        <v>45308.50962962963</v>
      </c>
      <c r="C91" s="1" t="n">
        <v>45934</v>
      </c>
      <c r="D91" t="inlineStr">
        <is>
          <t>VÄSTRA GÖTALANDS LÄN</t>
        </is>
      </c>
      <c r="E91" t="inlineStr">
        <is>
          <t>ALE</t>
        </is>
      </c>
      <c r="G91" t="n">
        <v>1.9</v>
      </c>
      <c r="H91" t="n">
        <v>0</v>
      </c>
      <c r="I91" t="n">
        <v>0</v>
      </c>
      <c r="J91" t="n">
        <v>0</v>
      </c>
      <c r="K91" t="n">
        <v>0</v>
      </c>
      <c r="L91" t="n">
        <v>0</v>
      </c>
      <c r="M91" t="n">
        <v>0</v>
      </c>
      <c r="N91" t="n">
        <v>0</v>
      </c>
      <c r="O91" t="n">
        <v>0</v>
      </c>
      <c r="P91" t="n">
        <v>0</v>
      </c>
      <c r="Q91" t="n">
        <v>0</v>
      </c>
      <c r="R91" s="2" t="inlineStr"/>
    </row>
    <row r="92" ht="15" customHeight="1">
      <c r="A92" t="inlineStr">
        <is>
          <t>A 41607-2022</t>
        </is>
      </c>
      <c r="B92" s="1" t="n">
        <v>44827.46658564815</v>
      </c>
      <c r="C92" s="1" t="n">
        <v>45934</v>
      </c>
      <c r="D92" t="inlineStr">
        <is>
          <t>VÄSTRA GÖTALANDS LÄN</t>
        </is>
      </c>
      <c r="E92" t="inlineStr">
        <is>
          <t>ALE</t>
        </is>
      </c>
      <c r="G92" t="n">
        <v>3.6</v>
      </c>
      <c r="H92" t="n">
        <v>0</v>
      </c>
      <c r="I92" t="n">
        <v>0</v>
      </c>
      <c r="J92" t="n">
        <v>0</v>
      </c>
      <c r="K92" t="n">
        <v>0</v>
      </c>
      <c r="L92" t="n">
        <v>0</v>
      </c>
      <c r="M92" t="n">
        <v>0</v>
      </c>
      <c r="N92" t="n">
        <v>0</v>
      </c>
      <c r="O92" t="n">
        <v>0</v>
      </c>
      <c r="P92" t="n">
        <v>0</v>
      </c>
      <c r="Q92" t="n">
        <v>0</v>
      </c>
      <c r="R92" s="2" t="inlineStr"/>
    </row>
    <row r="93" ht="15" customHeight="1">
      <c r="A93" t="inlineStr">
        <is>
          <t>A 15499-2022</t>
        </is>
      </c>
      <c r="B93" s="1" t="n">
        <v>44662</v>
      </c>
      <c r="C93" s="1" t="n">
        <v>45934</v>
      </c>
      <c r="D93" t="inlineStr">
        <is>
          <t>VÄSTRA GÖTALANDS LÄN</t>
        </is>
      </c>
      <c r="E93" t="inlineStr">
        <is>
          <t>ALE</t>
        </is>
      </c>
      <c r="G93" t="n">
        <v>4.7</v>
      </c>
      <c r="H93" t="n">
        <v>0</v>
      </c>
      <c r="I93" t="n">
        <v>0</v>
      </c>
      <c r="J93" t="n">
        <v>0</v>
      </c>
      <c r="K93" t="n">
        <v>0</v>
      </c>
      <c r="L93" t="n">
        <v>0</v>
      </c>
      <c r="M93" t="n">
        <v>0</v>
      </c>
      <c r="N93" t="n">
        <v>0</v>
      </c>
      <c r="O93" t="n">
        <v>0</v>
      </c>
      <c r="P93" t="n">
        <v>0</v>
      </c>
      <c r="Q93" t="n">
        <v>0</v>
      </c>
      <c r="R93" s="2" t="inlineStr"/>
    </row>
    <row r="94" ht="15" customHeight="1">
      <c r="A94" t="inlineStr">
        <is>
          <t>A 41598-2022</t>
        </is>
      </c>
      <c r="B94" s="1" t="n">
        <v>44827.4609837963</v>
      </c>
      <c r="C94" s="1" t="n">
        <v>45934</v>
      </c>
      <c r="D94" t="inlineStr">
        <is>
          <t>VÄSTRA GÖTALANDS LÄN</t>
        </is>
      </c>
      <c r="E94" t="inlineStr">
        <is>
          <t>ALE</t>
        </is>
      </c>
      <c r="G94" t="n">
        <v>2</v>
      </c>
      <c r="H94" t="n">
        <v>0</v>
      </c>
      <c r="I94" t="n">
        <v>0</v>
      </c>
      <c r="J94" t="n">
        <v>0</v>
      </c>
      <c r="K94" t="n">
        <v>0</v>
      </c>
      <c r="L94" t="n">
        <v>0</v>
      </c>
      <c r="M94" t="n">
        <v>0</v>
      </c>
      <c r="N94" t="n">
        <v>0</v>
      </c>
      <c r="O94" t="n">
        <v>0</v>
      </c>
      <c r="P94" t="n">
        <v>0</v>
      </c>
      <c r="Q94" t="n">
        <v>0</v>
      </c>
      <c r="R94" s="2" t="inlineStr"/>
    </row>
    <row r="95" ht="15" customHeight="1">
      <c r="A95" t="inlineStr">
        <is>
          <t>A 4642-2024</t>
        </is>
      </c>
      <c r="B95" s="1" t="n">
        <v>45328.43502314815</v>
      </c>
      <c r="C95" s="1" t="n">
        <v>45934</v>
      </c>
      <c r="D95" t="inlineStr">
        <is>
          <t>VÄSTRA GÖTALANDS LÄN</t>
        </is>
      </c>
      <c r="E95" t="inlineStr">
        <is>
          <t>ALE</t>
        </is>
      </c>
      <c r="G95" t="n">
        <v>7.1</v>
      </c>
      <c r="H95" t="n">
        <v>0</v>
      </c>
      <c r="I95" t="n">
        <v>0</v>
      </c>
      <c r="J95" t="n">
        <v>0</v>
      </c>
      <c r="K95" t="n">
        <v>0</v>
      </c>
      <c r="L95" t="n">
        <v>0</v>
      </c>
      <c r="M95" t="n">
        <v>0</v>
      </c>
      <c r="N95" t="n">
        <v>0</v>
      </c>
      <c r="O95" t="n">
        <v>0</v>
      </c>
      <c r="P95" t="n">
        <v>0</v>
      </c>
      <c r="Q95" t="n">
        <v>0</v>
      </c>
      <c r="R95" s="2" t="inlineStr"/>
    </row>
    <row r="96" ht="15" customHeight="1">
      <c r="A96" t="inlineStr">
        <is>
          <t>A 69325-2020</t>
        </is>
      </c>
      <c r="B96" s="1" t="n">
        <v>44193</v>
      </c>
      <c r="C96" s="1" t="n">
        <v>45934</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53476-2023</t>
        </is>
      </c>
      <c r="B97" s="1" t="n">
        <v>45230.33737268519</v>
      </c>
      <c r="C97" s="1" t="n">
        <v>45934</v>
      </c>
      <c r="D97" t="inlineStr">
        <is>
          <t>VÄSTRA GÖTALANDS LÄN</t>
        </is>
      </c>
      <c r="E97" t="inlineStr">
        <is>
          <t>ALE</t>
        </is>
      </c>
      <c r="G97" t="n">
        <v>1.9</v>
      </c>
      <c r="H97" t="n">
        <v>0</v>
      </c>
      <c r="I97" t="n">
        <v>0</v>
      </c>
      <c r="J97" t="n">
        <v>0</v>
      </c>
      <c r="K97" t="n">
        <v>0</v>
      </c>
      <c r="L97" t="n">
        <v>0</v>
      </c>
      <c r="M97" t="n">
        <v>0</v>
      </c>
      <c r="N97" t="n">
        <v>0</v>
      </c>
      <c r="O97" t="n">
        <v>0</v>
      </c>
      <c r="P97" t="n">
        <v>0</v>
      </c>
      <c r="Q97" t="n">
        <v>0</v>
      </c>
      <c r="R97" s="2" t="inlineStr"/>
    </row>
    <row r="98" ht="15" customHeight="1">
      <c r="A98" t="inlineStr">
        <is>
          <t>A 55405-2021</t>
        </is>
      </c>
      <c r="B98" s="1" t="n">
        <v>44475.53733796296</v>
      </c>
      <c r="C98" s="1" t="n">
        <v>45934</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51164-2024</t>
        </is>
      </c>
      <c r="B99" s="1" t="n">
        <v>45603.5830787037</v>
      </c>
      <c r="C99" s="1" t="n">
        <v>45934</v>
      </c>
      <c r="D99" t="inlineStr">
        <is>
          <t>VÄSTRA GÖTALANDS LÄN</t>
        </is>
      </c>
      <c r="E99" t="inlineStr">
        <is>
          <t>ALE</t>
        </is>
      </c>
      <c r="G99" t="n">
        <v>1.1</v>
      </c>
      <c r="H99" t="n">
        <v>0</v>
      </c>
      <c r="I99" t="n">
        <v>0</v>
      </c>
      <c r="J99" t="n">
        <v>0</v>
      </c>
      <c r="K99" t="n">
        <v>0</v>
      </c>
      <c r="L99" t="n">
        <v>0</v>
      </c>
      <c r="M99" t="n">
        <v>0</v>
      </c>
      <c r="N99" t="n">
        <v>0</v>
      </c>
      <c r="O99" t="n">
        <v>0</v>
      </c>
      <c r="P99" t="n">
        <v>0</v>
      </c>
      <c r="Q99" t="n">
        <v>0</v>
      </c>
      <c r="R99" s="2" t="inlineStr"/>
    </row>
    <row r="100" ht="15" customHeight="1">
      <c r="A100" t="inlineStr">
        <is>
          <t>A 3520-2022</t>
        </is>
      </c>
      <c r="B100" s="1" t="n">
        <v>44585.72818287037</v>
      </c>
      <c r="C100" s="1" t="n">
        <v>45934</v>
      </c>
      <c r="D100" t="inlineStr">
        <is>
          <t>VÄSTRA GÖTALANDS LÄN</t>
        </is>
      </c>
      <c r="E100" t="inlineStr">
        <is>
          <t>ALE</t>
        </is>
      </c>
      <c r="G100" t="n">
        <v>2.3</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45934</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46226-2025</t>
        </is>
      </c>
      <c r="B102" s="1" t="n">
        <v>45924</v>
      </c>
      <c r="C102" s="1" t="n">
        <v>45934</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49955-2021</t>
        </is>
      </c>
      <c r="B103" s="1" t="n">
        <v>44456</v>
      </c>
      <c r="C103" s="1" t="n">
        <v>45934</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56493-2021</t>
        </is>
      </c>
      <c r="B104" s="1" t="n">
        <v>44480.57173611111</v>
      </c>
      <c r="C104" s="1" t="n">
        <v>45934</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18999-2021</t>
        </is>
      </c>
      <c r="B105" s="1" t="n">
        <v>44308</v>
      </c>
      <c r="C105" s="1" t="n">
        <v>45934</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5916-2023</t>
        </is>
      </c>
      <c r="B106" s="1" t="n">
        <v>44963</v>
      </c>
      <c r="C106" s="1" t="n">
        <v>45934</v>
      </c>
      <c r="D106" t="inlineStr">
        <is>
          <t>VÄSTRA GÖTALANDS LÄN</t>
        </is>
      </c>
      <c r="E106" t="inlineStr">
        <is>
          <t>ALE</t>
        </is>
      </c>
      <c r="G106" t="n">
        <v>4.2</v>
      </c>
      <c r="H106" t="n">
        <v>0</v>
      </c>
      <c r="I106" t="n">
        <v>0</v>
      </c>
      <c r="J106" t="n">
        <v>0</v>
      </c>
      <c r="K106" t="n">
        <v>0</v>
      </c>
      <c r="L106" t="n">
        <v>0</v>
      </c>
      <c r="M106" t="n">
        <v>0</v>
      </c>
      <c r="N106" t="n">
        <v>0</v>
      </c>
      <c r="O106" t="n">
        <v>0</v>
      </c>
      <c r="P106" t="n">
        <v>0</v>
      </c>
      <c r="Q106" t="n">
        <v>0</v>
      </c>
      <c r="R106" s="2" t="inlineStr"/>
    </row>
    <row r="107" ht="15" customHeight="1">
      <c r="A107" t="inlineStr">
        <is>
          <t>A 24642-2022</t>
        </is>
      </c>
      <c r="B107" s="1" t="n">
        <v>44727.59578703704</v>
      </c>
      <c r="C107" s="1" t="n">
        <v>45934</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3457-2022</t>
        </is>
      </c>
      <c r="B108" s="1" t="n">
        <v>44585</v>
      </c>
      <c r="C108" s="1" t="n">
        <v>45934</v>
      </c>
      <c r="D108" t="inlineStr">
        <is>
          <t>VÄSTRA GÖTALANDS LÄN</t>
        </is>
      </c>
      <c r="E108" t="inlineStr">
        <is>
          <t>ALE</t>
        </is>
      </c>
      <c r="G108" t="n">
        <v>5.1</v>
      </c>
      <c r="H108" t="n">
        <v>0</v>
      </c>
      <c r="I108" t="n">
        <v>0</v>
      </c>
      <c r="J108" t="n">
        <v>0</v>
      </c>
      <c r="K108" t="n">
        <v>0</v>
      </c>
      <c r="L108" t="n">
        <v>0</v>
      </c>
      <c r="M108" t="n">
        <v>0</v>
      </c>
      <c r="N108" t="n">
        <v>0</v>
      </c>
      <c r="O108" t="n">
        <v>0</v>
      </c>
      <c r="P108" t="n">
        <v>0</v>
      </c>
      <c r="Q108" t="n">
        <v>0</v>
      </c>
      <c r="R108" s="2" t="inlineStr"/>
    </row>
    <row r="109" ht="15" customHeight="1">
      <c r="A109" t="inlineStr">
        <is>
          <t>A 17044-2025</t>
        </is>
      </c>
      <c r="B109" s="1" t="n">
        <v>45755.58891203703</v>
      </c>
      <c r="C109" s="1" t="n">
        <v>45934</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45934</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32762-2023</t>
        </is>
      </c>
      <c r="B111" s="1" t="n">
        <v>45123.46649305556</v>
      </c>
      <c r="C111" s="1" t="n">
        <v>45934</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47330-2025</t>
        </is>
      </c>
      <c r="B112" s="1" t="n">
        <v>45930.56170138889</v>
      </c>
      <c r="C112" s="1" t="n">
        <v>45934</v>
      </c>
      <c r="D112" t="inlineStr">
        <is>
          <t>VÄSTRA GÖTALANDS LÄN</t>
        </is>
      </c>
      <c r="E112" t="inlineStr">
        <is>
          <t>ALE</t>
        </is>
      </c>
      <c r="G112" t="n">
        <v>3.7</v>
      </c>
      <c r="H112" t="n">
        <v>0</v>
      </c>
      <c r="I112" t="n">
        <v>0</v>
      </c>
      <c r="J112" t="n">
        <v>0</v>
      </c>
      <c r="K112" t="n">
        <v>0</v>
      </c>
      <c r="L112" t="n">
        <v>0</v>
      </c>
      <c r="M112" t="n">
        <v>0</v>
      </c>
      <c r="N112" t="n">
        <v>0</v>
      </c>
      <c r="O112" t="n">
        <v>0</v>
      </c>
      <c r="P112" t="n">
        <v>0</v>
      </c>
      <c r="Q112" t="n">
        <v>0</v>
      </c>
      <c r="R112" s="2" t="inlineStr"/>
    </row>
    <row r="113" ht="15" customHeight="1">
      <c r="A113" t="inlineStr">
        <is>
          <t>A 47593-2025</t>
        </is>
      </c>
      <c r="B113" s="1" t="n">
        <v>45931.4480787037</v>
      </c>
      <c r="C113" s="1" t="n">
        <v>45934</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47592-2025</t>
        </is>
      </c>
      <c r="B114" s="1" t="n">
        <v>45931.44649305556</v>
      </c>
      <c r="C114" s="1" t="n">
        <v>45934</v>
      </c>
      <c r="D114" t="inlineStr">
        <is>
          <t>VÄSTRA GÖTALANDS LÄN</t>
        </is>
      </c>
      <c r="E114" t="inlineStr">
        <is>
          <t>ALE</t>
        </is>
      </c>
      <c r="G114" t="n">
        <v>0.6</v>
      </c>
      <c r="H114" t="n">
        <v>0</v>
      </c>
      <c r="I114" t="n">
        <v>0</v>
      </c>
      <c r="J114" t="n">
        <v>0</v>
      </c>
      <c r="K114" t="n">
        <v>0</v>
      </c>
      <c r="L114" t="n">
        <v>0</v>
      </c>
      <c r="M114" t="n">
        <v>0</v>
      </c>
      <c r="N114" t="n">
        <v>0</v>
      </c>
      <c r="O114" t="n">
        <v>0</v>
      </c>
      <c r="P114" t="n">
        <v>0</v>
      </c>
      <c r="Q114" t="n">
        <v>0</v>
      </c>
      <c r="R114" s="2" t="inlineStr"/>
    </row>
    <row r="115" ht="15" customHeight="1">
      <c r="A115" t="inlineStr">
        <is>
          <t>A 16601-2025</t>
        </is>
      </c>
      <c r="B115" s="1" t="n">
        <v>45753.53189814815</v>
      </c>
      <c r="C115" s="1" t="n">
        <v>45934</v>
      </c>
      <c r="D115" t="inlineStr">
        <is>
          <t>VÄSTRA GÖTALANDS LÄN</t>
        </is>
      </c>
      <c r="E115" t="inlineStr">
        <is>
          <t>ALE</t>
        </is>
      </c>
      <c r="G115" t="n">
        <v>1.7</v>
      </c>
      <c r="H115" t="n">
        <v>0</v>
      </c>
      <c r="I115" t="n">
        <v>0</v>
      </c>
      <c r="J115" t="n">
        <v>0</v>
      </c>
      <c r="K115" t="n">
        <v>0</v>
      </c>
      <c r="L115" t="n">
        <v>0</v>
      </c>
      <c r="M115" t="n">
        <v>0</v>
      </c>
      <c r="N115" t="n">
        <v>0</v>
      </c>
      <c r="O115" t="n">
        <v>0</v>
      </c>
      <c r="P115" t="n">
        <v>0</v>
      </c>
      <c r="Q115" t="n">
        <v>0</v>
      </c>
      <c r="R115" s="2" t="inlineStr"/>
    </row>
    <row r="116" ht="15" customHeight="1">
      <c r="A116" t="inlineStr">
        <is>
          <t>A 51564-2023</t>
        </is>
      </c>
      <c r="B116" s="1" t="n">
        <v>45222</v>
      </c>
      <c r="C116" s="1" t="n">
        <v>45934</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36403-2024</t>
        </is>
      </c>
      <c r="B117" s="1" t="n">
        <v>45535.69445601852</v>
      </c>
      <c r="C117" s="1" t="n">
        <v>45934</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47728-2025</t>
        </is>
      </c>
      <c r="B118" s="1" t="n">
        <v>45931.63186342592</v>
      </c>
      <c r="C118" s="1" t="n">
        <v>45934</v>
      </c>
      <c r="D118" t="inlineStr">
        <is>
          <t>VÄSTRA GÖTALANDS LÄN</t>
        </is>
      </c>
      <c r="E118" t="inlineStr">
        <is>
          <t>ALE</t>
        </is>
      </c>
      <c r="G118" t="n">
        <v>1.1</v>
      </c>
      <c r="H118" t="n">
        <v>0</v>
      </c>
      <c r="I118" t="n">
        <v>0</v>
      </c>
      <c r="J118" t="n">
        <v>0</v>
      </c>
      <c r="K118" t="n">
        <v>0</v>
      </c>
      <c r="L118" t="n">
        <v>0</v>
      </c>
      <c r="M118" t="n">
        <v>0</v>
      </c>
      <c r="N118" t="n">
        <v>0</v>
      </c>
      <c r="O118" t="n">
        <v>0</v>
      </c>
      <c r="P118" t="n">
        <v>0</v>
      </c>
      <c r="Q118" t="n">
        <v>0</v>
      </c>
      <c r="R118" s="2" t="inlineStr"/>
    </row>
    <row r="119" ht="15" customHeight="1">
      <c r="A119" t="inlineStr">
        <is>
          <t>A 8956-2025</t>
        </is>
      </c>
      <c r="B119" s="1" t="n">
        <v>45713.46825231481</v>
      </c>
      <c r="C119" s="1" t="n">
        <v>45934</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200-2022</t>
        </is>
      </c>
      <c r="B120" s="1" t="n">
        <v>44564</v>
      </c>
      <c r="C120" s="1" t="n">
        <v>45934</v>
      </c>
      <c r="D120" t="inlineStr">
        <is>
          <t>VÄSTRA GÖTALANDS LÄN</t>
        </is>
      </c>
      <c r="E120" t="inlineStr">
        <is>
          <t>ALE</t>
        </is>
      </c>
      <c r="G120" t="n">
        <v>6.8</v>
      </c>
      <c r="H120" t="n">
        <v>0</v>
      </c>
      <c r="I120" t="n">
        <v>0</v>
      </c>
      <c r="J120" t="n">
        <v>0</v>
      </c>
      <c r="K120" t="n">
        <v>0</v>
      </c>
      <c r="L120" t="n">
        <v>0</v>
      </c>
      <c r="M120" t="n">
        <v>0</v>
      </c>
      <c r="N120" t="n">
        <v>0</v>
      </c>
      <c r="O120" t="n">
        <v>0</v>
      </c>
      <c r="P120" t="n">
        <v>0</v>
      </c>
      <c r="Q120" t="n">
        <v>0</v>
      </c>
      <c r="R120" s="2" t="inlineStr"/>
    </row>
    <row r="121" ht="15" customHeight="1">
      <c r="A121" t="inlineStr">
        <is>
          <t>A 50451-2024</t>
        </is>
      </c>
      <c r="B121" s="1" t="n">
        <v>45601.44248842593</v>
      </c>
      <c r="C121" s="1" t="n">
        <v>45934</v>
      </c>
      <c r="D121" t="inlineStr">
        <is>
          <t>VÄSTRA GÖTALANDS LÄN</t>
        </is>
      </c>
      <c r="E121" t="inlineStr">
        <is>
          <t>ALE</t>
        </is>
      </c>
      <c r="G121" t="n">
        <v>2.9</v>
      </c>
      <c r="H121" t="n">
        <v>0</v>
      </c>
      <c r="I121" t="n">
        <v>0</v>
      </c>
      <c r="J121" t="n">
        <v>0</v>
      </c>
      <c r="K121" t="n">
        <v>0</v>
      </c>
      <c r="L121" t="n">
        <v>0</v>
      </c>
      <c r="M121" t="n">
        <v>0</v>
      </c>
      <c r="N121" t="n">
        <v>0</v>
      </c>
      <c r="O121" t="n">
        <v>0</v>
      </c>
      <c r="P121" t="n">
        <v>0</v>
      </c>
      <c r="Q121" t="n">
        <v>0</v>
      </c>
      <c r="R121" s="2" t="inlineStr"/>
    </row>
    <row r="122" ht="15" customHeight="1">
      <c r="A122" t="inlineStr">
        <is>
          <t>A 15582-2025</t>
        </is>
      </c>
      <c r="B122" s="1" t="n">
        <v>45747.81394675926</v>
      </c>
      <c r="C122" s="1" t="n">
        <v>45934</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7892-2024</t>
        </is>
      </c>
      <c r="B123" s="1" t="n">
        <v>45350.40921296296</v>
      </c>
      <c r="C123" s="1" t="n">
        <v>45934</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6947-2024</t>
        </is>
      </c>
      <c r="B124" s="1" t="n">
        <v>45343</v>
      </c>
      <c r="C124" s="1" t="n">
        <v>45934</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4444-2024</t>
        </is>
      </c>
      <c r="B125" s="1" t="n">
        <v>45327</v>
      </c>
      <c r="C125" s="1" t="n">
        <v>45934</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72801-2021</t>
        </is>
      </c>
      <c r="B126" s="1" t="n">
        <v>44546</v>
      </c>
      <c r="C126" s="1" t="n">
        <v>45934</v>
      </c>
      <c r="D126" t="inlineStr">
        <is>
          <t>VÄSTRA GÖTALANDS LÄN</t>
        </is>
      </c>
      <c r="E126" t="inlineStr">
        <is>
          <t>ALE</t>
        </is>
      </c>
      <c r="F126" t="inlineStr">
        <is>
          <t>Naturvårdsverket</t>
        </is>
      </c>
      <c r="G126" t="n">
        <v>1.4</v>
      </c>
      <c r="H126" t="n">
        <v>0</v>
      </c>
      <c r="I126" t="n">
        <v>0</v>
      </c>
      <c r="J126" t="n">
        <v>0</v>
      </c>
      <c r="K126" t="n">
        <v>0</v>
      </c>
      <c r="L126" t="n">
        <v>0</v>
      </c>
      <c r="M126" t="n">
        <v>0</v>
      </c>
      <c r="N126" t="n">
        <v>0</v>
      </c>
      <c r="O126" t="n">
        <v>0</v>
      </c>
      <c r="P126" t="n">
        <v>0</v>
      </c>
      <c r="Q126" t="n">
        <v>0</v>
      </c>
      <c r="R126" s="2" t="inlineStr"/>
    </row>
    <row r="127" ht="15" customHeight="1">
      <c r="A127" t="inlineStr">
        <is>
          <t>A 4971-2024</t>
        </is>
      </c>
      <c r="B127" s="1" t="n">
        <v>45329</v>
      </c>
      <c r="C127" s="1" t="n">
        <v>45934</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22946-2025</t>
        </is>
      </c>
      <c r="B128" s="1" t="n">
        <v>45790.48229166667</v>
      </c>
      <c r="C128" s="1" t="n">
        <v>45934</v>
      </c>
      <c r="D128" t="inlineStr">
        <is>
          <t>VÄSTRA GÖTALANDS LÄN</t>
        </is>
      </c>
      <c r="E128" t="inlineStr">
        <is>
          <t>ALE</t>
        </is>
      </c>
      <c r="G128" t="n">
        <v>0.6</v>
      </c>
      <c r="H128" t="n">
        <v>0</v>
      </c>
      <c r="I128" t="n">
        <v>0</v>
      </c>
      <c r="J128" t="n">
        <v>0</v>
      </c>
      <c r="K128" t="n">
        <v>0</v>
      </c>
      <c r="L128" t="n">
        <v>0</v>
      </c>
      <c r="M128" t="n">
        <v>0</v>
      </c>
      <c r="N128" t="n">
        <v>0</v>
      </c>
      <c r="O128" t="n">
        <v>0</v>
      </c>
      <c r="P128" t="n">
        <v>0</v>
      </c>
      <c r="Q128" t="n">
        <v>0</v>
      </c>
      <c r="R128" s="2" t="inlineStr"/>
    </row>
    <row r="129" ht="15" customHeight="1">
      <c r="A129" t="inlineStr">
        <is>
          <t>A 26083-2023</t>
        </is>
      </c>
      <c r="B129" s="1" t="n">
        <v>45091</v>
      </c>
      <c r="C129" s="1" t="n">
        <v>45934</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37461-2024</t>
        </is>
      </c>
      <c r="B130" s="1" t="n">
        <v>45540.72516203704</v>
      </c>
      <c r="C130" s="1" t="n">
        <v>45934</v>
      </c>
      <c r="D130" t="inlineStr">
        <is>
          <t>VÄSTRA GÖTALANDS LÄN</t>
        </is>
      </c>
      <c r="E130" t="inlineStr">
        <is>
          <t>ALE</t>
        </is>
      </c>
      <c r="G130" t="n">
        <v>1.6</v>
      </c>
      <c r="H130" t="n">
        <v>0</v>
      </c>
      <c r="I130" t="n">
        <v>0</v>
      </c>
      <c r="J130" t="n">
        <v>0</v>
      </c>
      <c r="K130" t="n">
        <v>0</v>
      </c>
      <c r="L130" t="n">
        <v>0</v>
      </c>
      <c r="M130" t="n">
        <v>0</v>
      </c>
      <c r="N130" t="n">
        <v>0</v>
      </c>
      <c r="O130" t="n">
        <v>0</v>
      </c>
      <c r="P130" t="n">
        <v>0</v>
      </c>
      <c r="Q130" t="n">
        <v>0</v>
      </c>
      <c r="R130" s="2" t="inlineStr"/>
    </row>
    <row r="131" ht="15" customHeight="1">
      <c r="A131" t="inlineStr">
        <is>
          <t>A 16344-2023</t>
        </is>
      </c>
      <c r="B131" s="1" t="n">
        <v>45028</v>
      </c>
      <c r="C131" s="1" t="n">
        <v>45934</v>
      </c>
      <c r="D131" t="inlineStr">
        <is>
          <t>VÄSTRA GÖTALANDS LÄN</t>
        </is>
      </c>
      <c r="E131" t="inlineStr">
        <is>
          <t>ALE</t>
        </is>
      </c>
      <c r="G131" t="n">
        <v>6.6</v>
      </c>
      <c r="H131" t="n">
        <v>0</v>
      </c>
      <c r="I131" t="n">
        <v>0</v>
      </c>
      <c r="J131" t="n">
        <v>0</v>
      </c>
      <c r="K131" t="n">
        <v>0</v>
      </c>
      <c r="L131" t="n">
        <v>0</v>
      </c>
      <c r="M131" t="n">
        <v>0</v>
      </c>
      <c r="N131" t="n">
        <v>0</v>
      </c>
      <c r="O131" t="n">
        <v>0</v>
      </c>
      <c r="P131" t="n">
        <v>0</v>
      </c>
      <c r="Q131" t="n">
        <v>0</v>
      </c>
      <c r="R131" s="2" t="inlineStr"/>
    </row>
    <row r="132" ht="15" customHeight="1">
      <c r="A132" t="inlineStr">
        <is>
          <t>A 4363-2024</t>
        </is>
      </c>
      <c r="B132" s="1" t="n">
        <v>45325</v>
      </c>
      <c r="C132" s="1" t="n">
        <v>45934</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45988-2021</t>
        </is>
      </c>
      <c r="B133" s="1" t="n">
        <v>44441</v>
      </c>
      <c r="C133" s="1" t="n">
        <v>45934</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25849-2025</t>
        </is>
      </c>
      <c r="B134" s="1" t="n">
        <v>45804</v>
      </c>
      <c r="C134" s="1" t="n">
        <v>45934</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25848-2025</t>
        </is>
      </c>
      <c r="B135" s="1" t="n">
        <v>45804</v>
      </c>
      <c r="C135" s="1" t="n">
        <v>45934</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20067-2023</t>
        </is>
      </c>
      <c r="B136" s="1" t="n">
        <v>45054</v>
      </c>
      <c r="C136" s="1" t="n">
        <v>45934</v>
      </c>
      <c r="D136" t="inlineStr">
        <is>
          <t>VÄSTRA GÖTALANDS LÄN</t>
        </is>
      </c>
      <c r="E136" t="inlineStr">
        <is>
          <t>ALE</t>
        </is>
      </c>
      <c r="G136" t="n">
        <v>0.4</v>
      </c>
      <c r="H136" t="n">
        <v>0</v>
      </c>
      <c r="I136" t="n">
        <v>0</v>
      </c>
      <c r="J136" t="n">
        <v>0</v>
      </c>
      <c r="K136" t="n">
        <v>0</v>
      </c>
      <c r="L136" t="n">
        <v>0</v>
      </c>
      <c r="M136" t="n">
        <v>0</v>
      </c>
      <c r="N136" t="n">
        <v>0</v>
      </c>
      <c r="O136" t="n">
        <v>0</v>
      </c>
      <c r="P136" t="n">
        <v>0</v>
      </c>
      <c r="Q136" t="n">
        <v>0</v>
      </c>
      <c r="R136" s="2" t="inlineStr"/>
    </row>
    <row r="137" ht="15" customHeight="1">
      <c r="A137" t="inlineStr">
        <is>
          <t>A 25840-2025</t>
        </is>
      </c>
      <c r="B137" s="1" t="n">
        <v>45804</v>
      </c>
      <c r="C137" s="1" t="n">
        <v>45934</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18637-2023</t>
        </is>
      </c>
      <c r="B138" s="1" t="n">
        <v>45043</v>
      </c>
      <c r="C138" s="1" t="n">
        <v>45934</v>
      </c>
      <c r="D138" t="inlineStr">
        <is>
          <t>VÄSTRA GÖTALANDS LÄN</t>
        </is>
      </c>
      <c r="E138" t="inlineStr">
        <is>
          <t>ALE</t>
        </is>
      </c>
      <c r="G138" t="n">
        <v>3.6</v>
      </c>
      <c r="H138" t="n">
        <v>0</v>
      </c>
      <c r="I138" t="n">
        <v>0</v>
      </c>
      <c r="J138" t="n">
        <v>0</v>
      </c>
      <c r="K138" t="n">
        <v>0</v>
      </c>
      <c r="L138" t="n">
        <v>0</v>
      </c>
      <c r="M138" t="n">
        <v>0</v>
      </c>
      <c r="N138" t="n">
        <v>0</v>
      </c>
      <c r="O138" t="n">
        <v>0</v>
      </c>
      <c r="P138" t="n">
        <v>0</v>
      </c>
      <c r="Q138" t="n">
        <v>0</v>
      </c>
      <c r="R138" s="2" t="inlineStr"/>
    </row>
    <row r="139" ht="15" customHeight="1">
      <c r="A139" t="inlineStr">
        <is>
          <t>A 59933-2023</t>
        </is>
      </c>
      <c r="B139" s="1" t="n">
        <v>45257</v>
      </c>
      <c r="C139" s="1" t="n">
        <v>45934</v>
      </c>
      <c r="D139" t="inlineStr">
        <is>
          <t>VÄSTRA GÖTALANDS LÄN</t>
        </is>
      </c>
      <c r="E139" t="inlineStr">
        <is>
          <t>ALE</t>
        </is>
      </c>
      <c r="G139" t="n">
        <v>2.7</v>
      </c>
      <c r="H139" t="n">
        <v>0</v>
      </c>
      <c r="I139" t="n">
        <v>0</v>
      </c>
      <c r="J139" t="n">
        <v>0</v>
      </c>
      <c r="K139" t="n">
        <v>0</v>
      </c>
      <c r="L139" t="n">
        <v>0</v>
      </c>
      <c r="M139" t="n">
        <v>0</v>
      </c>
      <c r="N139" t="n">
        <v>0</v>
      </c>
      <c r="O139" t="n">
        <v>0</v>
      </c>
      <c r="P139" t="n">
        <v>0</v>
      </c>
      <c r="Q139" t="n">
        <v>0</v>
      </c>
      <c r="R139" s="2" t="inlineStr"/>
    </row>
    <row r="140" ht="15" customHeight="1">
      <c r="A140" t="inlineStr">
        <is>
          <t>A 8659-2025</t>
        </is>
      </c>
      <c r="B140" s="1" t="n">
        <v>45712</v>
      </c>
      <c r="C140" s="1" t="n">
        <v>45934</v>
      </c>
      <c r="D140" t="inlineStr">
        <is>
          <t>VÄSTRA GÖTALANDS LÄN</t>
        </is>
      </c>
      <c r="E140" t="inlineStr">
        <is>
          <t>ALE</t>
        </is>
      </c>
      <c r="G140" t="n">
        <v>5.7</v>
      </c>
      <c r="H140" t="n">
        <v>0</v>
      </c>
      <c r="I140" t="n">
        <v>0</v>
      </c>
      <c r="J140" t="n">
        <v>0</v>
      </c>
      <c r="K140" t="n">
        <v>0</v>
      </c>
      <c r="L140" t="n">
        <v>0</v>
      </c>
      <c r="M140" t="n">
        <v>0</v>
      </c>
      <c r="N140" t="n">
        <v>0</v>
      </c>
      <c r="O140" t="n">
        <v>0</v>
      </c>
      <c r="P140" t="n">
        <v>0</v>
      </c>
      <c r="Q140" t="n">
        <v>0</v>
      </c>
      <c r="R140" s="2" t="inlineStr"/>
    </row>
    <row r="141" ht="15" customHeight="1">
      <c r="A141" t="inlineStr">
        <is>
          <t>A 5344-2024</t>
        </is>
      </c>
      <c r="B141" s="1" t="n">
        <v>45331</v>
      </c>
      <c r="C141" s="1" t="n">
        <v>45934</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45934</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29373-2025</t>
        </is>
      </c>
      <c r="B143" s="1" t="n">
        <v>45824.579375</v>
      </c>
      <c r="C143" s="1" t="n">
        <v>45934</v>
      </c>
      <c r="D143" t="inlineStr">
        <is>
          <t>VÄSTRA GÖTALANDS LÄN</t>
        </is>
      </c>
      <c r="E143" t="inlineStr">
        <is>
          <t>ALE</t>
        </is>
      </c>
      <c r="G143" t="n">
        <v>4.6</v>
      </c>
      <c r="H143" t="n">
        <v>0</v>
      </c>
      <c r="I143" t="n">
        <v>0</v>
      </c>
      <c r="J143" t="n">
        <v>0</v>
      </c>
      <c r="K143" t="n">
        <v>0</v>
      </c>
      <c r="L143" t="n">
        <v>0</v>
      </c>
      <c r="M143" t="n">
        <v>0</v>
      </c>
      <c r="N143" t="n">
        <v>0</v>
      </c>
      <c r="O143" t="n">
        <v>0</v>
      </c>
      <c r="P143" t="n">
        <v>0</v>
      </c>
      <c r="Q143" t="n">
        <v>0</v>
      </c>
      <c r="R143" s="2" t="inlineStr"/>
    </row>
    <row r="144" ht="15" customHeight="1">
      <c r="A144" t="inlineStr">
        <is>
          <t>A 13426-2025</t>
        </is>
      </c>
      <c r="B144" s="1" t="n">
        <v>45736.32780092592</v>
      </c>
      <c r="C144" s="1" t="n">
        <v>45934</v>
      </c>
      <c r="D144" t="inlineStr">
        <is>
          <t>VÄSTRA GÖTALANDS LÄN</t>
        </is>
      </c>
      <c r="E144" t="inlineStr">
        <is>
          <t>ALE</t>
        </is>
      </c>
      <c r="G144" t="n">
        <v>1.5</v>
      </c>
      <c r="H144" t="n">
        <v>0</v>
      </c>
      <c r="I144" t="n">
        <v>0</v>
      </c>
      <c r="J144" t="n">
        <v>0</v>
      </c>
      <c r="K144" t="n">
        <v>0</v>
      </c>
      <c r="L144" t="n">
        <v>0</v>
      </c>
      <c r="M144" t="n">
        <v>0</v>
      </c>
      <c r="N144" t="n">
        <v>0</v>
      </c>
      <c r="O144" t="n">
        <v>0</v>
      </c>
      <c r="P144" t="n">
        <v>0</v>
      </c>
      <c r="Q144" t="n">
        <v>0</v>
      </c>
      <c r="R144" s="2" t="inlineStr"/>
    </row>
    <row r="145" ht="15" customHeight="1">
      <c r="A145" t="inlineStr">
        <is>
          <t>A 13382-2025</t>
        </is>
      </c>
      <c r="B145" s="1" t="n">
        <v>45735.67928240741</v>
      </c>
      <c r="C145" s="1" t="n">
        <v>45934</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41309-2024</t>
        </is>
      </c>
      <c r="B146" s="1" t="n">
        <v>45559</v>
      </c>
      <c r="C146" s="1" t="n">
        <v>45934</v>
      </c>
      <c r="D146" t="inlineStr">
        <is>
          <t>VÄSTRA GÖTALANDS LÄN</t>
        </is>
      </c>
      <c r="E146" t="inlineStr">
        <is>
          <t>ALE</t>
        </is>
      </c>
      <c r="G146" t="n">
        <v>8.4</v>
      </c>
      <c r="H146" t="n">
        <v>0</v>
      </c>
      <c r="I146" t="n">
        <v>0</v>
      </c>
      <c r="J146" t="n">
        <v>0</v>
      </c>
      <c r="K146" t="n">
        <v>0</v>
      </c>
      <c r="L146" t="n">
        <v>0</v>
      </c>
      <c r="M146" t="n">
        <v>0</v>
      </c>
      <c r="N146" t="n">
        <v>0</v>
      </c>
      <c r="O146" t="n">
        <v>0</v>
      </c>
      <c r="P146" t="n">
        <v>0</v>
      </c>
      <c r="Q146" t="n">
        <v>0</v>
      </c>
      <c r="R146" s="2" t="inlineStr"/>
    </row>
    <row r="147" ht="15" customHeight="1">
      <c r="A147" t="inlineStr">
        <is>
          <t>A 13903-2025</t>
        </is>
      </c>
      <c r="B147" s="1" t="n">
        <v>45737.63481481482</v>
      </c>
      <c r="C147" s="1" t="n">
        <v>45934</v>
      </c>
      <c r="D147" t="inlineStr">
        <is>
          <t>VÄSTRA GÖTALANDS LÄN</t>
        </is>
      </c>
      <c r="E147" t="inlineStr">
        <is>
          <t>ALE</t>
        </is>
      </c>
      <c r="G147" t="n">
        <v>0.5</v>
      </c>
      <c r="H147" t="n">
        <v>0</v>
      </c>
      <c r="I147" t="n">
        <v>0</v>
      </c>
      <c r="J147" t="n">
        <v>0</v>
      </c>
      <c r="K147" t="n">
        <v>0</v>
      </c>
      <c r="L147" t="n">
        <v>0</v>
      </c>
      <c r="M147" t="n">
        <v>0</v>
      </c>
      <c r="N147" t="n">
        <v>0</v>
      </c>
      <c r="O147" t="n">
        <v>0</v>
      </c>
      <c r="P147" t="n">
        <v>0</v>
      </c>
      <c r="Q147" t="n">
        <v>0</v>
      </c>
      <c r="R147" s="2" t="inlineStr"/>
    </row>
    <row r="148" ht="15" customHeight="1">
      <c r="A148" t="inlineStr">
        <is>
          <t>A 31407-2025</t>
        </is>
      </c>
      <c r="B148" s="1" t="n">
        <v>45833</v>
      </c>
      <c r="C148" s="1" t="n">
        <v>45934</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31409-2025</t>
        </is>
      </c>
      <c r="B149" s="1" t="n">
        <v>45833</v>
      </c>
      <c r="C149" s="1" t="n">
        <v>45934</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45934</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31488-2025</t>
        </is>
      </c>
      <c r="B151" s="1" t="n">
        <v>45833</v>
      </c>
      <c r="C151" s="1" t="n">
        <v>45934</v>
      </c>
      <c r="D151" t="inlineStr">
        <is>
          <t>VÄSTRA GÖTALANDS LÄN</t>
        </is>
      </c>
      <c r="E151" t="inlineStr">
        <is>
          <t>ALE</t>
        </is>
      </c>
      <c r="G151" t="n">
        <v>1.8</v>
      </c>
      <c r="H151" t="n">
        <v>0</v>
      </c>
      <c r="I151" t="n">
        <v>0</v>
      </c>
      <c r="J151" t="n">
        <v>0</v>
      </c>
      <c r="K151" t="n">
        <v>0</v>
      </c>
      <c r="L151" t="n">
        <v>0</v>
      </c>
      <c r="M151" t="n">
        <v>0</v>
      </c>
      <c r="N151" t="n">
        <v>0</v>
      </c>
      <c r="O151" t="n">
        <v>0</v>
      </c>
      <c r="P151" t="n">
        <v>0</v>
      </c>
      <c r="Q151" t="n">
        <v>0</v>
      </c>
      <c r="R151" s="2" t="inlineStr"/>
    </row>
    <row r="152" ht="15" customHeight="1">
      <c r="A152" t="inlineStr">
        <is>
          <t>A 31533-2025</t>
        </is>
      </c>
      <c r="B152" s="1" t="n">
        <v>45833</v>
      </c>
      <c r="C152" s="1" t="n">
        <v>45934</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3413-2023</t>
        </is>
      </c>
      <c r="B153" s="1" t="n">
        <v>44949</v>
      </c>
      <c r="C153" s="1" t="n">
        <v>45934</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40074-2025</t>
        </is>
      </c>
      <c r="B154" s="1" t="n">
        <v>45894.44685185186</v>
      </c>
      <c r="C154" s="1" t="n">
        <v>45934</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35959-2022</t>
        </is>
      </c>
      <c r="B155" s="1" t="n">
        <v>44802.57002314815</v>
      </c>
      <c r="C155" s="1" t="n">
        <v>45934</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14493-2024</t>
        </is>
      </c>
      <c r="B156" s="1" t="n">
        <v>45394.58491898148</v>
      </c>
      <c r="C156" s="1" t="n">
        <v>45934</v>
      </c>
      <c r="D156" t="inlineStr">
        <is>
          <t>VÄSTRA GÖTALANDS LÄN</t>
        </is>
      </c>
      <c r="E156" t="inlineStr">
        <is>
          <t>ALE</t>
        </is>
      </c>
      <c r="G156" t="n">
        <v>2.3</v>
      </c>
      <c r="H156" t="n">
        <v>0</v>
      </c>
      <c r="I156" t="n">
        <v>0</v>
      </c>
      <c r="J156" t="n">
        <v>0</v>
      </c>
      <c r="K156" t="n">
        <v>0</v>
      </c>
      <c r="L156" t="n">
        <v>0</v>
      </c>
      <c r="M156" t="n">
        <v>0</v>
      </c>
      <c r="N156" t="n">
        <v>0</v>
      </c>
      <c r="O156" t="n">
        <v>0</v>
      </c>
      <c r="P156" t="n">
        <v>0</v>
      </c>
      <c r="Q156" t="n">
        <v>0</v>
      </c>
      <c r="R156" s="2" t="inlineStr"/>
    </row>
    <row r="157" ht="15" customHeight="1">
      <c r="A157" t="inlineStr">
        <is>
          <t>A 1500-2024</t>
        </is>
      </c>
      <c r="B157" s="1" t="n">
        <v>45306</v>
      </c>
      <c r="C157" s="1" t="n">
        <v>45934</v>
      </c>
      <c r="D157" t="inlineStr">
        <is>
          <t>VÄSTRA GÖTALANDS LÄN</t>
        </is>
      </c>
      <c r="E157" t="inlineStr">
        <is>
          <t>ALE</t>
        </is>
      </c>
      <c r="G157" t="n">
        <v>1.3</v>
      </c>
      <c r="H157" t="n">
        <v>0</v>
      </c>
      <c r="I157" t="n">
        <v>0</v>
      </c>
      <c r="J157" t="n">
        <v>0</v>
      </c>
      <c r="K157" t="n">
        <v>0</v>
      </c>
      <c r="L157" t="n">
        <v>0</v>
      </c>
      <c r="M157" t="n">
        <v>0</v>
      </c>
      <c r="N157" t="n">
        <v>0</v>
      </c>
      <c r="O157" t="n">
        <v>0</v>
      </c>
      <c r="P157" t="n">
        <v>0</v>
      </c>
      <c r="Q157" t="n">
        <v>0</v>
      </c>
      <c r="R157" s="2" t="inlineStr"/>
    </row>
    <row r="158">
      <c r="A158" t="inlineStr">
        <is>
          <t>A 1687-2024</t>
        </is>
      </c>
      <c r="B158" s="1" t="n">
        <v>45306</v>
      </c>
      <c r="C158" s="1" t="n">
        <v>45934</v>
      </c>
      <c r="D158" t="inlineStr">
        <is>
          <t>VÄSTRA GÖTALANDS LÄN</t>
        </is>
      </c>
      <c r="E158" t="inlineStr">
        <is>
          <t>ALE</t>
        </is>
      </c>
      <c r="G158" t="n">
        <v>3.4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2025-10-04T12:35:19Z</dcterms:created>
  <dcterms:modified xmlns:dcterms="http://purl.org/dc/terms/" xmlns:xsi="http://www.w3.org/2001/XMLSchema-instance" xsi:type="dcterms:W3CDTF">2025-10-04T12:35:19Z</dcterms:modified>
</cp:coreProperties>
</file>