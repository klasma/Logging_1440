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46040</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46040</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36325-2023</t>
        </is>
      </c>
      <c r="B6" s="1" t="n">
        <v>45152</v>
      </c>
      <c r="C6" s="1" t="n">
        <v>46040</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9045-2024</t>
        </is>
      </c>
      <c r="B7" s="1" t="n">
        <v>45357</v>
      </c>
      <c r="C7" s="1" t="n">
        <v>46040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22637-2025</t>
        </is>
      </c>
      <c r="B8" s="1" t="n">
        <v>45789</v>
      </c>
      <c r="C8" s="1" t="n">
        <v>46040</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46040</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46040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46040</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45952.58069444444</v>
      </c>
      <c r="C12" s="1" t="n">
        <v>46040</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63239-2025</t>
        </is>
      </c>
      <c r="B13" s="1" t="n">
        <v>46010.52755787037</v>
      </c>
      <c r="C13" s="1" t="n">
        <v>46040</v>
      </c>
      <c r="D13" t="inlineStr">
        <is>
          <t>VÄSTRA GÖTALANDS LÄN</t>
        </is>
      </c>
      <c r="E13" t="inlineStr">
        <is>
          <t>ALE</t>
        </is>
      </c>
      <c r="G13" t="n">
        <v>1.4</v>
      </c>
      <c r="H13" t="n">
        <v>4</v>
      </c>
      <c r="I13" t="n">
        <v>4</v>
      </c>
      <c r="J13" t="n">
        <v>3</v>
      </c>
      <c r="K13" t="n">
        <v>0</v>
      </c>
      <c r="L13" t="n">
        <v>0</v>
      </c>
      <c r="M13" t="n">
        <v>0</v>
      </c>
      <c r="N13" t="n">
        <v>0</v>
      </c>
      <c r="O13" t="n">
        <v>3</v>
      </c>
      <c r="P13" t="n">
        <v>0</v>
      </c>
      <c r="Q13" t="n">
        <v>9</v>
      </c>
      <c r="R13" s="2" t="inlineStr">
        <is>
          <t>Brunpudrad nållav
Spillkråka
Talltita
Björksplintborre
Gulnål
Kattfotslav
Stor revmossa
Gröngöling
Tjäder</t>
        </is>
      </c>
      <c r="S13">
        <f>HYPERLINK("https://klasma.github.io/Logging_1440/artfynd/A 63239-2025 artfynd.xlsx", "A 63239-2025")</f>
        <v/>
      </c>
      <c r="T13">
        <f>HYPERLINK("https://klasma.github.io/Logging_1440/kartor/A 63239-2025 karta.png", "A 63239-2025")</f>
        <v/>
      </c>
      <c r="V13">
        <f>HYPERLINK("https://klasma.github.io/Logging_1440/klagomål/A 63239-2025 FSC-klagomål.docx", "A 63239-2025")</f>
        <v/>
      </c>
      <c r="W13">
        <f>HYPERLINK("https://klasma.github.io/Logging_1440/klagomålsmail/A 63239-2025 FSC-klagomål mail.docx", "A 63239-2025")</f>
        <v/>
      </c>
      <c r="X13">
        <f>HYPERLINK("https://klasma.github.io/Logging_1440/tillsyn/A 63239-2025 tillsynsbegäran.docx", "A 63239-2025")</f>
        <v/>
      </c>
      <c r="Y13">
        <f>HYPERLINK("https://klasma.github.io/Logging_1440/tillsynsmail/A 63239-2025 tillsynsbegäran mail.docx", "A 63239-2025")</f>
        <v/>
      </c>
      <c r="Z13">
        <f>HYPERLINK("https://klasma.github.io/Logging_1440/fåglar/A 63239-2025 prioriterade fågelarter.docx", "A 63239-2025")</f>
        <v/>
      </c>
    </row>
    <row r="14" ht="15" customHeight="1">
      <c r="A14" t="inlineStr">
        <is>
          <t>A 37005-2025</t>
        </is>
      </c>
      <c r="B14" s="1" t="n">
        <v>45874.69311342593</v>
      </c>
      <c r="C14" s="1" t="n">
        <v>46040</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46040</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46040</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46040</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46040</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46040</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26491-2024</t>
        </is>
      </c>
      <c r="B20" s="1" t="n">
        <v>45469</v>
      </c>
      <c r="C20" s="1" t="n">
        <v>46040</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60293-2025</t>
        </is>
      </c>
      <c r="B21" s="1" t="n">
        <v>45994.65568287037</v>
      </c>
      <c r="C21" s="1" t="n">
        <v>46040</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46040</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46040</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380-2025</t>
        </is>
      </c>
      <c r="B24" s="1" t="n">
        <v>45662.43456018518</v>
      </c>
      <c r="C24" s="1" t="n">
        <v>46040</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40931-2025</t>
        </is>
      </c>
      <c r="B25" s="1" t="n">
        <v>45897.64783564815</v>
      </c>
      <c r="C25" s="1" t="n">
        <v>46040</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63569-2023</t>
        </is>
      </c>
      <c r="B26" s="1" t="n">
        <v>45275</v>
      </c>
      <c r="C26" s="1" t="n">
        <v>46040</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58954-2022</t>
        </is>
      </c>
      <c r="B27" s="1" t="n">
        <v>44903</v>
      </c>
      <c r="C27" s="1" t="n">
        <v>46040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8955-2025</t>
        </is>
      </c>
      <c r="B28" s="1" t="n">
        <v>45713.46528935185</v>
      </c>
      <c r="C28" s="1" t="n">
        <v>46040</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42660-2024</t>
        </is>
      </c>
      <c r="B29" s="1" t="n">
        <v>45566.33841435185</v>
      </c>
      <c r="C29" s="1" t="n">
        <v>46040</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2270-2025</t>
        </is>
      </c>
      <c r="B30" s="1" t="n">
        <v>45673.54403935185</v>
      </c>
      <c r="C30" s="1" t="n">
        <v>46040</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46040</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46040</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46040</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46040</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58412-2025</t>
        </is>
      </c>
      <c r="B35" s="1" t="n">
        <v>45985.57564814815</v>
      </c>
      <c r="C35" s="1" t="n">
        <v>46040</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26493-2024</t>
        </is>
      </c>
      <c r="B36" s="1" t="n">
        <v>45469</v>
      </c>
      <c r="C36" s="1" t="n">
        <v>46040</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46040</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62524-2025</t>
        </is>
      </c>
      <c r="B38" s="1" t="n">
        <v>46007.6247337963</v>
      </c>
      <c r="C38" s="1" t="n">
        <v>46040</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12982-2024</t>
        </is>
      </c>
      <c r="B39" s="1" t="n">
        <v>45385.53569444444</v>
      </c>
      <c r="C39" s="1" t="n">
        <v>46040</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26677-2025</t>
        </is>
      </c>
      <c r="B40" s="1" t="n">
        <v>45810.42446759259</v>
      </c>
      <c r="C40" s="1" t="n">
        <v>46040</v>
      </c>
      <c r="D40" t="inlineStr">
        <is>
          <t>VÄSTRA GÖTALANDS LÄN</t>
        </is>
      </c>
      <c r="E40" t="inlineStr">
        <is>
          <t>ALE</t>
        </is>
      </c>
      <c r="G40" t="n">
        <v>1.2</v>
      </c>
      <c r="H40" t="n">
        <v>0</v>
      </c>
      <c r="I40" t="n">
        <v>1</v>
      </c>
      <c r="J40" t="n">
        <v>0</v>
      </c>
      <c r="K40" t="n">
        <v>0</v>
      </c>
      <c r="L40" t="n">
        <v>0</v>
      </c>
      <c r="M40" t="n">
        <v>0</v>
      </c>
      <c r="N40" t="n">
        <v>0</v>
      </c>
      <c r="O40" t="n">
        <v>0</v>
      </c>
      <c r="P40" t="n">
        <v>0</v>
      </c>
      <c r="Q40" t="n">
        <v>1</v>
      </c>
      <c r="R40" s="2" t="inlineStr">
        <is>
          <t>Västlig hakmossa</t>
        </is>
      </c>
      <c r="S40">
        <f>HYPERLINK("https://klasma.github.io/Logging_1440/artfynd/A 26677-2025 artfynd.xlsx", "A 26677-2025")</f>
        <v/>
      </c>
      <c r="T40">
        <f>HYPERLINK("https://klasma.github.io/Logging_1440/kartor/A 26677-2025 karta.png", "A 26677-2025")</f>
        <v/>
      </c>
      <c r="V40">
        <f>HYPERLINK("https://klasma.github.io/Logging_1440/klagomål/A 26677-2025 FSC-klagomål.docx", "A 26677-2025")</f>
        <v/>
      </c>
      <c r="W40">
        <f>HYPERLINK("https://klasma.github.io/Logging_1440/klagomålsmail/A 26677-2025 FSC-klagomål mail.docx", "A 26677-2025")</f>
        <v/>
      </c>
      <c r="X40">
        <f>HYPERLINK("https://klasma.github.io/Logging_1440/tillsyn/A 26677-2025 tillsynsbegäran.docx", "A 26677-2025")</f>
        <v/>
      </c>
      <c r="Y40">
        <f>HYPERLINK("https://klasma.github.io/Logging_1440/tillsynsmail/A 26677-2025 tillsynsbegäran mail.docx", "A 26677-2025")</f>
        <v/>
      </c>
    </row>
    <row r="41" ht="15" customHeight="1">
      <c r="A41" t="inlineStr">
        <is>
          <t>A 13902-2025</t>
        </is>
      </c>
      <c r="B41" s="1" t="n">
        <v>45737.63446759259</v>
      </c>
      <c r="C41" s="1" t="n">
        <v>46040</v>
      </c>
      <c r="D41" t="inlineStr">
        <is>
          <t>VÄSTRA GÖTALANDS LÄN</t>
        </is>
      </c>
      <c r="E41" t="inlineStr">
        <is>
          <t>ALE</t>
        </is>
      </c>
      <c r="G41" t="n">
        <v>1.4</v>
      </c>
      <c r="H41" t="n">
        <v>1</v>
      </c>
      <c r="I41" t="n">
        <v>0</v>
      </c>
      <c r="J41" t="n">
        <v>1</v>
      </c>
      <c r="K41" t="n">
        <v>0</v>
      </c>
      <c r="L41" t="n">
        <v>0</v>
      </c>
      <c r="M41" t="n">
        <v>0</v>
      </c>
      <c r="N41" t="n">
        <v>0</v>
      </c>
      <c r="O41" t="n">
        <v>1</v>
      </c>
      <c r="P41" t="n">
        <v>0</v>
      </c>
      <c r="Q41" t="n">
        <v>1</v>
      </c>
      <c r="R41" s="2" t="inlineStr">
        <is>
          <t>Svartvit flugsnappare</t>
        </is>
      </c>
      <c r="S41">
        <f>HYPERLINK("https://klasma.github.io/Logging_1440/artfynd/A 13902-2025 artfynd.xlsx", "A 13902-2025")</f>
        <v/>
      </c>
      <c r="T41">
        <f>HYPERLINK("https://klasma.github.io/Logging_1440/kartor/A 13902-2025 karta.png", "A 13902-2025")</f>
        <v/>
      </c>
      <c r="V41">
        <f>HYPERLINK("https://klasma.github.io/Logging_1440/klagomål/A 13902-2025 FSC-klagomål.docx", "A 13902-2025")</f>
        <v/>
      </c>
      <c r="W41">
        <f>HYPERLINK("https://klasma.github.io/Logging_1440/klagomålsmail/A 13902-2025 FSC-klagomål mail.docx", "A 13902-2025")</f>
        <v/>
      </c>
      <c r="X41">
        <f>HYPERLINK("https://klasma.github.io/Logging_1440/tillsyn/A 13902-2025 tillsynsbegäran.docx", "A 13902-2025")</f>
        <v/>
      </c>
      <c r="Y41">
        <f>HYPERLINK("https://klasma.github.io/Logging_1440/tillsynsmail/A 13902-2025 tillsynsbegäran mail.docx", "A 13902-2025")</f>
        <v/>
      </c>
      <c r="Z41">
        <f>HYPERLINK("https://klasma.github.io/Logging_1440/fåglar/A 13902-2025 prioriterade fågelarter.docx", "A 13902-2025")</f>
        <v/>
      </c>
    </row>
    <row r="42" ht="15" customHeight="1">
      <c r="A42" t="inlineStr">
        <is>
          <t>A 21281-2021</t>
        </is>
      </c>
      <c r="B42" s="1" t="n">
        <v>44320.61850694445</v>
      </c>
      <c r="C42" s="1" t="n">
        <v>46040</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46040</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46040</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46040</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46040</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62855-2021</t>
        </is>
      </c>
      <c r="B47" s="1" t="n">
        <v>44504.58171296296</v>
      </c>
      <c r="C47" s="1" t="n">
        <v>46040</v>
      </c>
      <c r="D47" t="inlineStr">
        <is>
          <t>VÄSTRA GÖTALANDS LÄN</t>
        </is>
      </c>
      <c r="E47" t="inlineStr">
        <is>
          <t>ALE</t>
        </is>
      </c>
      <c r="G47" t="n">
        <v>5.6</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46040</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46040</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46040</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46040</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46040</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46040</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46040</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46040</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46040</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46040</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46040</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46040</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46040</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46040</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46040</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46040</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48257-2022</t>
        </is>
      </c>
      <c r="B64" s="1" t="n">
        <v>44858.47591435185</v>
      </c>
      <c r="C64" s="1" t="n">
        <v>46040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18999-2021</t>
        </is>
      </c>
      <c r="B65" s="1" t="n">
        <v>44308</v>
      </c>
      <c r="C65" s="1" t="n">
        <v>46040</v>
      </c>
      <c r="D65" t="inlineStr">
        <is>
          <t>VÄSTRA GÖTALANDS LÄN</t>
        </is>
      </c>
      <c r="E65" t="inlineStr">
        <is>
          <t>ALE</t>
        </is>
      </c>
      <c r="G65" t="n">
        <v>3.7</v>
      </c>
      <c r="H65" t="n">
        <v>0</v>
      </c>
      <c r="I65" t="n">
        <v>0</v>
      </c>
      <c r="J65" t="n">
        <v>0</v>
      </c>
      <c r="K65" t="n">
        <v>0</v>
      </c>
      <c r="L65" t="n">
        <v>0</v>
      </c>
      <c r="M65" t="n">
        <v>0</v>
      </c>
      <c r="N65" t="n">
        <v>0</v>
      </c>
      <c r="O65" t="n">
        <v>0</v>
      </c>
      <c r="P65" t="n">
        <v>0</v>
      </c>
      <c r="Q65" t="n">
        <v>0</v>
      </c>
      <c r="R65" s="2" t="inlineStr"/>
    </row>
    <row r="66" ht="15" customHeight="1">
      <c r="A66" t="inlineStr">
        <is>
          <t>A 1687-2024</t>
        </is>
      </c>
      <c r="B66" s="1" t="n">
        <v>45306</v>
      </c>
      <c r="C66" s="1" t="n">
        <v>46040</v>
      </c>
      <c r="D66" t="inlineStr">
        <is>
          <t>VÄSTRA GÖTALANDS LÄN</t>
        </is>
      </c>
      <c r="E66" t="inlineStr">
        <is>
          <t>ALE</t>
        </is>
      </c>
      <c r="G66" t="n">
        <v>3.4</v>
      </c>
      <c r="H66" t="n">
        <v>0</v>
      </c>
      <c r="I66" t="n">
        <v>0</v>
      </c>
      <c r="J66" t="n">
        <v>0</v>
      </c>
      <c r="K66" t="n">
        <v>0</v>
      </c>
      <c r="L66" t="n">
        <v>0</v>
      </c>
      <c r="M66" t="n">
        <v>0</v>
      </c>
      <c r="N66" t="n">
        <v>0</v>
      </c>
      <c r="O66" t="n">
        <v>0</v>
      </c>
      <c r="P66" t="n">
        <v>0</v>
      </c>
      <c r="Q66" t="n">
        <v>0</v>
      </c>
      <c r="R66" s="2" t="inlineStr"/>
    </row>
    <row r="67" ht="15" customHeight="1">
      <c r="A67" t="inlineStr">
        <is>
          <t>A 50451-2024</t>
        </is>
      </c>
      <c r="B67" s="1" t="n">
        <v>45601.44248842593</v>
      </c>
      <c r="C67" s="1" t="n">
        <v>46040</v>
      </c>
      <c r="D67" t="inlineStr">
        <is>
          <t>VÄSTRA GÖTALANDS LÄN</t>
        </is>
      </c>
      <c r="E67" t="inlineStr">
        <is>
          <t>ALE</t>
        </is>
      </c>
      <c r="G67" t="n">
        <v>2.9</v>
      </c>
      <c r="H67" t="n">
        <v>0</v>
      </c>
      <c r="I67" t="n">
        <v>0</v>
      </c>
      <c r="J67" t="n">
        <v>0</v>
      </c>
      <c r="K67" t="n">
        <v>0</v>
      </c>
      <c r="L67" t="n">
        <v>0</v>
      </c>
      <c r="M67" t="n">
        <v>0</v>
      </c>
      <c r="N67" t="n">
        <v>0</v>
      </c>
      <c r="O67" t="n">
        <v>0</v>
      </c>
      <c r="P67" t="n">
        <v>0</v>
      </c>
      <c r="Q67" t="n">
        <v>0</v>
      </c>
      <c r="R67" s="2" t="inlineStr"/>
    </row>
    <row r="68" ht="15" customHeight="1">
      <c r="A68" t="inlineStr">
        <is>
          <t>A 49680-2024</t>
        </is>
      </c>
      <c r="B68" s="1" t="n">
        <v>45596.66880787037</v>
      </c>
      <c r="C68" s="1" t="n">
        <v>46040</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49955-2021</t>
        </is>
      </c>
      <c r="B69" s="1" t="n">
        <v>44456</v>
      </c>
      <c r="C69" s="1" t="n">
        <v>46040</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53476-2023</t>
        </is>
      </c>
      <c r="B70" s="1" t="n">
        <v>45230.33737268519</v>
      </c>
      <c r="C70" s="1" t="n">
        <v>46040</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40074-2025</t>
        </is>
      </c>
      <c r="B71" s="1" t="n">
        <v>45894.44685185186</v>
      </c>
      <c r="C71" s="1" t="n">
        <v>46040</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41607-2022</t>
        </is>
      </c>
      <c r="B72" s="1" t="n">
        <v>44827.46658564815</v>
      </c>
      <c r="C72" s="1" t="n">
        <v>46040</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58414-2025</t>
        </is>
      </c>
      <c r="B73" s="1" t="n">
        <v>45985.57778935185</v>
      </c>
      <c r="C73" s="1" t="n">
        <v>46040</v>
      </c>
      <c r="D73" t="inlineStr">
        <is>
          <t>VÄSTRA GÖTALANDS LÄN</t>
        </is>
      </c>
      <c r="E73" t="inlineStr">
        <is>
          <t>ALE</t>
        </is>
      </c>
      <c r="G73" t="n">
        <v>4.3</v>
      </c>
      <c r="H73" t="n">
        <v>0</v>
      </c>
      <c r="I73" t="n">
        <v>0</v>
      </c>
      <c r="J73" t="n">
        <v>0</v>
      </c>
      <c r="K73" t="n">
        <v>0</v>
      </c>
      <c r="L73" t="n">
        <v>0</v>
      </c>
      <c r="M73" t="n">
        <v>0</v>
      </c>
      <c r="N73" t="n">
        <v>0</v>
      </c>
      <c r="O73" t="n">
        <v>0</v>
      </c>
      <c r="P73" t="n">
        <v>0</v>
      </c>
      <c r="Q73" t="n">
        <v>0</v>
      </c>
      <c r="R73" s="2" t="inlineStr"/>
    </row>
    <row r="74" ht="15" customHeight="1">
      <c r="A74" t="inlineStr">
        <is>
          <t>A 7807-2023</t>
        </is>
      </c>
      <c r="B74" s="1" t="n">
        <v>44973</v>
      </c>
      <c r="C74" s="1" t="n">
        <v>46040</v>
      </c>
      <c r="D74" t="inlineStr">
        <is>
          <t>VÄSTRA GÖTALANDS LÄN</t>
        </is>
      </c>
      <c r="E74" t="inlineStr">
        <is>
          <t>ALE</t>
        </is>
      </c>
      <c r="G74" t="n">
        <v>10.5</v>
      </c>
      <c r="H74" t="n">
        <v>0</v>
      </c>
      <c r="I74" t="n">
        <v>0</v>
      </c>
      <c r="J74" t="n">
        <v>0</v>
      </c>
      <c r="K74" t="n">
        <v>0</v>
      </c>
      <c r="L74" t="n">
        <v>0</v>
      </c>
      <c r="M74" t="n">
        <v>0</v>
      </c>
      <c r="N74" t="n">
        <v>0</v>
      </c>
      <c r="O74" t="n">
        <v>0</v>
      </c>
      <c r="P74" t="n">
        <v>0</v>
      </c>
      <c r="Q74" t="n">
        <v>0</v>
      </c>
      <c r="R74" s="2" t="inlineStr"/>
    </row>
    <row r="75" ht="15" customHeight="1">
      <c r="A75" t="inlineStr">
        <is>
          <t>A 26157-2023</t>
        </is>
      </c>
      <c r="B75" s="1" t="n">
        <v>45091.50479166667</v>
      </c>
      <c r="C75" s="1" t="n">
        <v>46040</v>
      </c>
      <c r="D75" t="inlineStr">
        <is>
          <t>VÄSTRA GÖTALANDS LÄN</t>
        </is>
      </c>
      <c r="E75" t="inlineStr">
        <is>
          <t>ALE</t>
        </is>
      </c>
      <c r="G75" t="n">
        <v>2.6</v>
      </c>
      <c r="H75" t="n">
        <v>0</v>
      </c>
      <c r="I75" t="n">
        <v>0</v>
      </c>
      <c r="J75" t="n">
        <v>0</v>
      </c>
      <c r="K75" t="n">
        <v>0</v>
      </c>
      <c r="L75" t="n">
        <v>0</v>
      </c>
      <c r="M75" t="n">
        <v>0</v>
      </c>
      <c r="N75" t="n">
        <v>0</v>
      </c>
      <c r="O75" t="n">
        <v>0</v>
      </c>
      <c r="P75" t="n">
        <v>0</v>
      </c>
      <c r="Q75" t="n">
        <v>0</v>
      </c>
      <c r="R75" s="2" t="inlineStr"/>
    </row>
    <row r="76" ht="15" customHeight="1">
      <c r="A76" t="inlineStr">
        <is>
          <t>A 55488-2022</t>
        </is>
      </c>
      <c r="B76" s="1" t="n">
        <v>44887</v>
      </c>
      <c r="C76" s="1" t="n">
        <v>46040</v>
      </c>
      <c r="D76" t="inlineStr">
        <is>
          <t>VÄSTRA GÖTALANDS LÄN</t>
        </is>
      </c>
      <c r="E76" t="inlineStr">
        <is>
          <t>ALE</t>
        </is>
      </c>
      <c r="G76" t="n">
        <v>2.5</v>
      </c>
      <c r="H76" t="n">
        <v>0</v>
      </c>
      <c r="I76" t="n">
        <v>0</v>
      </c>
      <c r="J76" t="n">
        <v>0</v>
      </c>
      <c r="K76" t="n">
        <v>0</v>
      </c>
      <c r="L76" t="n">
        <v>0</v>
      </c>
      <c r="M76" t="n">
        <v>0</v>
      </c>
      <c r="N76" t="n">
        <v>0</v>
      </c>
      <c r="O76" t="n">
        <v>0</v>
      </c>
      <c r="P76" t="n">
        <v>0</v>
      </c>
      <c r="Q76" t="n">
        <v>0</v>
      </c>
      <c r="R76" s="2" t="inlineStr"/>
    </row>
    <row r="77" ht="15" customHeight="1">
      <c r="A77" t="inlineStr">
        <is>
          <t>A 13426-2025</t>
        </is>
      </c>
      <c r="B77" s="1" t="n">
        <v>45736.32780092592</v>
      </c>
      <c r="C77" s="1" t="n">
        <v>46040</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14493-2024</t>
        </is>
      </c>
      <c r="B78" s="1" t="n">
        <v>45394.58491898148</v>
      </c>
      <c r="C78" s="1" t="n">
        <v>46040</v>
      </c>
      <c r="D78" t="inlineStr">
        <is>
          <t>VÄSTRA GÖTALANDS LÄN</t>
        </is>
      </c>
      <c r="E78" t="inlineStr">
        <is>
          <t>ALE</t>
        </is>
      </c>
      <c r="G78" t="n">
        <v>2.3</v>
      </c>
      <c r="H78" t="n">
        <v>0</v>
      </c>
      <c r="I78" t="n">
        <v>0</v>
      </c>
      <c r="J78" t="n">
        <v>0</v>
      </c>
      <c r="K78" t="n">
        <v>0</v>
      </c>
      <c r="L78" t="n">
        <v>0</v>
      </c>
      <c r="M78" t="n">
        <v>0</v>
      </c>
      <c r="N78" t="n">
        <v>0</v>
      </c>
      <c r="O78" t="n">
        <v>0</v>
      </c>
      <c r="P78" t="n">
        <v>0</v>
      </c>
      <c r="Q78" t="n">
        <v>0</v>
      </c>
      <c r="R78" s="2" t="inlineStr"/>
    </row>
    <row r="79" ht="15" customHeight="1">
      <c r="A79" t="inlineStr">
        <is>
          <t>A 42446-2023</t>
        </is>
      </c>
      <c r="B79" s="1" t="n">
        <v>45180</v>
      </c>
      <c r="C79" s="1" t="n">
        <v>46040</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46040</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67160-2021</t>
        </is>
      </c>
      <c r="B81" s="1" t="n">
        <v>44523</v>
      </c>
      <c r="C81" s="1" t="n">
        <v>46040</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16344-2023</t>
        </is>
      </c>
      <c r="B82" s="1" t="n">
        <v>45028</v>
      </c>
      <c r="C82" s="1" t="n">
        <v>46040</v>
      </c>
      <c r="D82" t="inlineStr">
        <is>
          <t>VÄSTRA GÖTALANDS LÄN</t>
        </is>
      </c>
      <c r="E82" t="inlineStr">
        <is>
          <t>ALE</t>
        </is>
      </c>
      <c r="G82" t="n">
        <v>6.6</v>
      </c>
      <c r="H82" t="n">
        <v>0</v>
      </c>
      <c r="I82" t="n">
        <v>0</v>
      </c>
      <c r="J82" t="n">
        <v>0</v>
      </c>
      <c r="K82" t="n">
        <v>0</v>
      </c>
      <c r="L82" t="n">
        <v>0</v>
      </c>
      <c r="M82" t="n">
        <v>0</v>
      </c>
      <c r="N82" t="n">
        <v>0</v>
      </c>
      <c r="O82" t="n">
        <v>0</v>
      </c>
      <c r="P82" t="n">
        <v>0</v>
      </c>
      <c r="Q82" t="n">
        <v>0</v>
      </c>
      <c r="R82" s="2" t="inlineStr"/>
    </row>
    <row r="83" ht="15" customHeight="1">
      <c r="A83" t="inlineStr">
        <is>
          <t>A 32762-2023</t>
        </is>
      </c>
      <c r="B83" s="1" t="n">
        <v>45123.46649305556</v>
      </c>
      <c r="C83" s="1" t="n">
        <v>46040</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31407-2025</t>
        </is>
      </c>
      <c r="B84" s="1" t="n">
        <v>45833</v>
      </c>
      <c r="C84" s="1" t="n">
        <v>46040</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41598-2022</t>
        </is>
      </c>
      <c r="B85" s="1" t="n">
        <v>44827.4609837963</v>
      </c>
      <c r="C85" s="1" t="n">
        <v>46040</v>
      </c>
      <c r="D85" t="inlineStr">
        <is>
          <t>VÄSTRA GÖTALANDS LÄN</t>
        </is>
      </c>
      <c r="E85" t="inlineStr">
        <is>
          <t>ALE</t>
        </is>
      </c>
      <c r="G85" t="n">
        <v>2</v>
      </c>
      <c r="H85" t="n">
        <v>0</v>
      </c>
      <c r="I85" t="n">
        <v>0</v>
      </c>
      <c r="J85" t="n">
        <v>0</v>
      </c>
      <c r="K85" t="n">
        <v>0</v>
      </c>
      <c r="L85" t="n">
        <v>0</v>
      </c>
      <c r="M85" t="n">
        <v>0</v>
      </c>
      <c r="N85" t="n">
        <v>0</v>
      </c>
      <c r="O85" t="n">
        <v>0</v>
      </c>
      <c r="P85" t="n">
        <v>0</v>
      </c>
      <c r="Q85" t="n">
        <v>0</v>
      </c>
      <c r="R85" s="2" t="inlineStr"/>
    </row>
    <row r="86" ht="15" customHeight="1">
      <c r="A86" t="inlineStr">
        <is>
          <t>A 14458-2024</t>
        </is>
      </c>
      <c r="B86" s="1" t="n">
        <v>45394</v>
      </c>
      <c r="C86" s="1" t="n">
        <v>46040</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1291-2026</t>
        </is>
      </c>
      <c r="B87" s="1" t="n">
        <v>46031.50569444444</v>
      </c>
      <c r="C87" s="1" t="n">
        <v>46040</v>
      </c>
      <c r="D87" t="inlineStr">
        <is>
          <t>VÄSTRA GÖTALANDS LÄN</t>
        </is>
      </c>
      <c r="E87" t="inlineStr">
        <is>
          <t>ALE</t>
        </is>
      </c>
      <c r="G87" t="n">
        <v>0.9</v>
      </c>
      <c r="H87" t="n">
        <v>0</v>
      </c>
      <c r="I87" t="n">
        <v>0</v>
      </c>
      <c r="J87" t="n">
        <v>0</v>
      </c>
      <c r="K87" t="n">
        <v>0</v>
      </c>
      <c r="L87" t="n">
        <v>0</v>
      </c>
      <c r="M87" t="n">
        <v>0</v>
      </c>
      <c r="N87" t="n">
        <v>0</v>
      </c>
      <c r="O87" t="n">
        <v>0</v>
      </c>
      <c r="P87" t="n">
        <v>0</v>
      </c>
      <c r="Q87" t="n">
        <v>0</v>
      </c>
      <c r="R87" s="2" t="inlineStr"/>
    </row>
    <row r="88" ht="15" customHeight="1">
      <c r="A88" t="inlineStr">
        <is>
          <t>A 59409-2025</t>
        </is>
      </c>
      <c r="B88" s="1" t="n">
        <v>45989.49545138889</v>
      </c>
      <c r="C88" s="1" t="n">
        <v>46040</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60287-2025</t>
        </is>
      </c>
      <c r="B89" s="1" t="n">
        <v>45994.64711805555</v>
      </c>
      <c r="C89" s="1" t="n">
        <v>46040</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2414-2026</t>
        </is>
      </c>
      <c r="B90" s="1" t="n">
        <v>46036.74319444445</v>
      </c>
      <c r="C90" s="1" t="n">
        <v>46040</v>
      </c>
      <c r="D90" t="inlineStr">
        <is>
          <t>VÄSTRA GÖTALANDS LÄN</t>
        </is>
      </c>
      <c r="E90" t="inlineStr">
        <is>
          <t>ALE</t>
        </is>
      </c>
      <c r="G90" t="n">
        <v>3.3</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46040</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47087-2023</t>
        </is>
      </c>
      <c r="B92" s="1" t="n">
        <v>45196</v>
      </c>
      <c r="C92" s="1" t="n">
        <v>46040</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4642-2024</t>
        </is>
      </c>
      <c r="B93" s="1" t="n">
        <v>45328.43502314815</v>
      </c>
      <c r="C93" s="1" t="n">
        <v>46040</v>
      </c>
      <c r="D93" t="inlineStr">
        <is>
          <t>VÄSTRA GÖTALANDS LÄN</t>
        </is>
      </c>
      <c r="E93" t="inlineStr">
        <is>
          <t>ALE</t>
        </is>
      </c>
      <c r="G93" t="n">
        <v>7.1</v>
      </c>
      <c r="H93" t="n">
        <v>0</v>
      </c>
      <c r="I93" t="n">
        <v>0</v>
      </c>
      <c r="J93" t="n">
        <v>0</v>
      </c>
      <c r="K93" t="n">
        <v>0</v>
      </c>
      <c r="L93" t="n">
        <v>0</v>
      </c>
      <c r="M93" t="n">
        <v>0</v>
      </c>
      <c r="N93" t="n">
        <v>0</v>
      </c>
      <c r="O93" t="n">
        <v>0</v>
      </c>
      <c r="P93" t="n">
        <v>0</v>
      </c>
      <c r="Q93" t="n">
        <v>0</v>
      </c>
      <c r="R93" s="2" t="inlineStr"/>
    </row>
    <row r="94" ht="15" customHeight="1">
      <c r="A94" t="inlineStr">
        <is>
          <t>A 46226-2025</t>
        </is>
      </c>
      <c r="B94" s="1" t="n">
        <v>45924</v>
      </c>
      <c r="C94" s="1" t="n">
        <v>46040</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45988-2021</t>
        </is>
      </c>
      <c r="B95" s="1" t="n">
        <v>44441</v>
      </c>
      <c r="C95" s="1" t="n">
        <v>46040</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46227-2025</t>
        </is>
      </c>
      <c r="B96" s="1" t="n">
        <v>45924.90386574074</v>
      </c>
      <c r="C96" s="1" t="n">
        <v>46040</v>
      </c>
      <c r="D96" t="inlineStr">
        <is>
          <t>VÄSTRA GÖTALANDS LÄN</t>
        </is>
      </c>
      <c r="E96" t="inlineStr">
        <is>
          <t>ALE</t>
        </is>
      </c>
      <c r="G96" t="n">
        <v>0.3</v>
      </c>
      <c r="H96" t="n">
        <v>0</v>
      </c>
      <c r="I96" t="n">
        <v>0</v>
      </c>
      <c r="J96" t="n">
        <v>0</v>
      </c>
      <c r="K96" t="n">
        <v>0</v>
      </c>
      <c r="L96" t="n">
        <v>0</v>
      </c>
      <c r="M96" t="n">
        <v>0</v>
      </c>
      <c r="N96" t="n">
        <v>0</v>
      </c>
      <c r="O96" t="n">
        <v>0</v>
      </c>
      <c r="P96" t="n">
        <v>0</v>
      </c>
      <c r="Q96" t="n">
        <v>0</v>
      </c>
      <c r="R96" s="2" t="inlineStr"/>
    </row>
    <row r="97" ht="15" customHeight="1">
      <c r="A97" t="inlineStr">
        <is>
          <t>A 47330-2025</t>
        </is>
      </c>
      <c r="B97" s="1" t="n">
        <v>45930.56170138889</v>
      </c>
      <c r="C97" s="1" t="n">
        <v>46040</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14731-2022</t>
        </is>
      </c>
      <c r="B98" s="1" t="n">
        <v>44656</v>
      </c>
      <c r="C98" s="1" t="n">
        <v>46040</v>
      </c>
      <c r="D98" t="inlineStr">
        <is>
          <t>VÄSTRA GÖTALANDS LÄN</t>
        </is>
      </c>
      <c r="E98" t="inlineStr">
        <is>
          <t>ALE</t>
        </is>
      </c>
      <c r="G98" t="n">
        <v>1.8</v>
      </c>
      <c r="H98" t="n">
        <v>0</v>
      </c>
      <c r="I98" t="n">
        <v>0</v>
      </c>
      <c r="J98" t="n">
        <v>0</v>
      </c>
      <c r="K98" t="n">
        <v>0</v>
      </c>
      <c r="L98" t="n">
        <v>0</v>
      </c>
      <c r="M98" t="n">
        <v>0</v>
      </c>
      <c r="N98" t="n">
        <v>0</v>
      </c>
      <c r="O98" t="n">
        <v>0</v>
      </c>
      <c r="P98" t="n">
        <v>0</v>
      </c>
      <c r="Q98" t="n">
        <v>0</v>
      </c>
      <c r="R98" s="2" t="inlineStr"/>
    </row>
    <row r="99" ht="15" customHeight="1">
      <c r="A99" t="inlineStr">
        <is>
          <t>A 47592-2025</t>
        </is>
      </c>
      <c r="B99" s="1" t="n">
        <v>45931.44649305556</v>
      </c>
      <c r="C99" s="1" t="n">
        <v>46040</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46040</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46040</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47728-2025</t>
        </is>
      </c>
      <c r="B102" s="1" t="n">
        <v>45931.63186342592</v>
      </c>
      <c r="C102" s="1" t="n">
        <v>46040</v>
      </c>
      <c r="D102" t="inlineStr">
        <is>
          <t>VÄSTRA GÖTALANDS LÄN</t>
        </is>
      </c>
      <c r="E102" t="inlineStr">
        <is>
          <t>ALE</t>
        </is>
      </c>
      <c r="G102" t="n">
        <v>1.1</v>
      </c>
      <c r="H102" t="n">
        <v>0</v>
      </c>
      <c r="I102" t="n">
        <v>0</v>
      </c>
      <c r="J102" t="n">
        <v>0</v>
      </c>
      <c r="K102" t="n">
        <v>0</v>
      </c>
      <c r="L102" t="n">
        <v>0</v>
      </c>
      <c r="M102" t="n">
        <v>0</v>
      </c>
      <c r="N102" t="n">
        <v>0</v>
      </c>
      <c r="O102" t="n">
        <v>0</v>
      </c>
      <c r="P102" t="n">
        <v>0</v>
      </c>
      <c r="Q102" t="n">
        <v>0</v>
      </c>
      <c r="R102" s="2" t="inlineStr"/>
    </row>
    <row r="103" ht="15" customHeight="1">
      <c r="A103" t="inlineStr">
        <is>
          <t>A 57473-2022</t>
        </is>
      </c>
      <c r="B103" s="1" t="n">
        <v>44896</v>
      </c>
      <c r="C103" s="1" t="n">
        <v>46040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1566-2022</t>
        </is>
      </c>
      <c r="B104" s="1" t="n">
        <v>44573</v>
      </c>
      <c r="C104" s="1" t="n">
        <v>46040</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5875-2023</t>
        </is>
      </c>
      <c r="B105" s="1" t="n">
        <v>44963</v>
      </c>
      <c r="C105" s="1" t="n">
        <v>46040</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46040</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48213-2025</t>
        </is>
      </c>
      <c r="B107" s="1" t="n">
        <v>45933</v>
      </c>
      <c r="C107" s="1" t="n">
        <v>46040</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48218-2025</t>
        </is>
      </c>
      <c r="B108" s="1" t="n">
        <v>45933</v>
      </c>
      <c r="C108" s="1" t="n">
        <v>46040</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33237-2024</t>
        </is>
      </c>
      <c r="B109" s="1" t="n">
        <v>45518.59173611111</v>
      </c>
      <c r="C109" s="1" t="n">
        <v>46040</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44429-2023</t>
        </is>
      </c>
      <c r="B110" s="1" t="n">
        <v>45189.35101851852</v>
      </c>
      <c r="C110" s="1" t="n">
        <v>46040</v>
      </c>
      <c r="D110" t="inlineStr">
        <is>
          <t>VÄSTRA GÖTALANDS LÄN</t>
        </is>
      </c>
      <c r="E110" t="inlineStr">
        <is>
          <t>ALE</t>
        </is>
      </c>
      <c r="G110" t="n">
        <v>0.1</v>
      </c>
      <c r="H110" t="n">
        <v>0</v>
      </c>
      <c r="I110" t="n">
        <v>0</v>
      </c>
      <c r="J110" t="n">
        <v>0</v>
      </c>
      <c r="K110" t="n">
        <v>0</v>
      </c>
      <c r="L110" t="n">
        <v>0</v>
      </c>
      <c r="M110" t="n">
        <v>0</v>
      </c>
      <c r="N110" t="n">
        <v>0</v>
      </c>
      <c r="O110" t="n">
        <v>0</v>
      </c>
      <c r="P110" t="n">
        <v>0</v>
      </c>
      <c r="Q110" t="n">
        <v>0</v>
      </c>
      <c r="R110" s="2" t="inlineStr"/>
    </row>
    <row r="111" ht="15" customHeight="1">
      <c r="A111" t="inlineStr">
        <is>
          <t>A 7892-2024</t>
        </is>
      </c>
      <c r="B111" s="1" t="n">
        <v>45350.40921296296</v>
      </c>
      <c r="C111" s="1" t="n">
        <v>46040</v>
      </c>
      <c r="D111" t="inlineStr">
        <is>
          <t>VÄSTRA GÖTALANDS LÄN</t>
        </is>
      </c>
      <c r="E111" t="inlineStr">
        <is>
          <t>ALE</t>
        </is>
      </c>
      <c r="G111" t="n">
        <v>3.6</v>
      </c>
      <c r="H111" t="n">
        <v>0</v>
      </c>
      <c r="I111" t="n">
        <v>0</v>
      </c>
      <c r="J111" t="n">
        <v>0</v>
      </c>
      <c r="K111" t="n">
        <v>0</v>
      </c>
      <c r="L111" t="n">
        <v>0</v>
      </c>
      <c r="M111" t="n">
        <v>0</v>
      </c>
      <c r="N111" t="n">
        <v>0</v>
      </c>
      <c r="O111" t="n">
        <v>0</v>
      </c>
      <c r="P111" t="n">
        <v>0</v>
      </c>
      <c r="Q111" t="n">
        <v>0</v>
      </c>
      <c r="R111" s="2" t="inlineStr"/>
    </row>
    <row r="112" ht="15" customHeight="1">
      <c r="A112" t="inlineStr">
        <is>
          <t>A 51164-2024</t>
        </is>
      </c>
      <c r="B112" s="1" t="n">
        <v>45603.5830787037</v>
      </c>
      <c r="C112" s="1" t="n">
        <v>46040</v>
      </c>
      <c r="D112" t="inlineStr">
        <is>
          <t>VÄSTRA GÖTALANDS LÄN</t>
        </is>
      </c>
      <c r="E112" t="inlineStr">
        <is>
          <t>ALE</t>
        </is>
      </c>
      <c r="G112" t="n">
        <v>1.1</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46040</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3407-2023</t>
        </is>
      </c>
      <c r="B114" s="1" t="n">
        <v>44949.54909722223</v>
      </c>
      <c r="C114" s="1" t="n">
        <v>46040</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72801-2021</t>
        </is>
      </c>
      <c r="B115" s="1" t="n">
        <v>44546</v>
      </c>
      <c r="C115" s="1" t="n">
        <v>46040</v>
      </c>
      <c r="D115" t="inlineStr">
        <is>
          <t>VÄSTRA GÖTALANDS LÄN</t>
        </is>
      </c>
      <c r="E115" t="inlineStr">
        <is>
          <t>ALE</t>
        </is>
      </c>
      <c r="F115" t="inlineStr">
        <is>
          <t>Naturvårdsverket</t>
        </is>
      </c>
      <c r="G115" t="n">
        <v>1.4</v>
      </c>
      <c r="H115" t="n">
        <v>0</v>
      </c>
      <c r="I115" t="n">
        <v>0</v>
      </c>
      <c r="J115" t="n">
        <v>0</v>
      </c>
      <c r="K115" t="n">
        <v>0</v>
      </c>
      <c r="L115" t="n">
        <v>0</v>
      </c>
      <c r="M115" t="n">
        <v>0</v>
      </c>
      <c r="N115" t="n">
        <v>0</v>
      </c>
      <c r="O115" t="n">
        <v>0</v>
      </c>
      <c r="P115" t="n">
        <v>0</v>
      </c>
      <c r="Q115" t="n">
        <v>0</v>
      </c>
      <c r="R115" s="2" t="inlineStr"/>
    </row>
    <row r="116" ht="15" customHeight="1">
      <c r="A116" t="inlineStr">
        <is>
          <t>A 50189-2025</t>
        </is>
      </c>
      <c r="B116" s="1" t="n">
        <v>45943.63476851852</v>
      </c>
      <c r="C116" s="1" t="n">
        <v>46040</v>
      </c>
      <c r="D116" t="inlineStr">
        <is>
          <t>VÄSTRA GÖTALANDS LÄN</t>
        </is>
      </c>
      <c r="E116" t="inlineStr">
        <is>
          <t>ALE</t>
        </is>
      </c>
      <c r="G116" t="n">
        <v>3</v>
      </c>
      <c r="H116" t="n">
        <v>0</v>
      </c>
      <c r="I116" t="n">
        <v>0</v>
      </c>
      <c r="J116" t="n">
        <v>0</v>
      </c>
      <c r="K116" t="n">
        <v>0</v>
      </c>
      <c r="L116" t="n">
        <v>0</v>
      </c>
      <c r="M116" t="n">
        <v>0</v>
      </c>
      <c r="N116" t="n">
        <v>0</v>
      </c>
      <c r="O116" t="n">
        <v>0</v>
      </c>
      <c r="P116" t="n">
        <v>0</v>
      </c>
      <c r="Q116" t="n">
        <v>0</v>
      </c>
      <c r="R116" s="2" t="inlineStr"/>
    </row>
    <row r="117" ht="15" customHeight="1">
      <c r="A117" t="inlineStr">
        <is>
          <t>A 50973-2025</t>
        </is>
      </c>
      <c r="B117" s="1" t="n">
        <v>45947.31263888889</v>
      </c>
      <c r="C117" s="1" t="n">
        <v>46040</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51564-2023</t>
        </is>
      </c>
      <c r="B118" s="1" t="n">
        <v>45222</v>
      </c>
      <c r="C118" s="1" t="n">
        <v>46040</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46040</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51976-2025</t>
        </is>
      </c>
      <c r="B120" s="1" t="n">
        <v>45952.56412037037</v>
      </c>
      <c r="C120" s="1" t="n">
        <v>46040</v>
      </c>
      <c r="D120" t="inlineStr">
        <is>
          <t>VÄSTRA GÖTALANDS LÄN</t>
        </is>
      </c>
      <c r="E120" t="inlineStr">
        <is>
          <t>ALE</t>
        </is>
      </c>
      <c r="G120" t="n">
        <v>5.2</v>
      </c>
      <c r="H120" t="n">
        <v>0</v>
      </c>
      <c r="I120" t="n">
        <v>0</v>
      </c>
      <c r="J120" t="n">
        <v>0</v>
      </c>
      <c r="K120" t="n">
        <v>0</v>
      </c>
      <c r="L120" t="n">
        <v>0</v>
      </c>
      <c r="M120" t="n">
        <v>0</v>
      </c>
      <c r="N120" t="n">
        <v>0</v>
      </c>
      <c r="O120" t="n">
        <v>0</v>
      </c>
      <c r="P120" t="n">
        <v>0</v>
      </c>
      <c r="Q120" t="n">
        <v>0</v>
      </c>
      <c r="R120" s="2" t="inlineStr"/>
    </row>
    <row r="121" ht="15" customHeight="1">
      <c r="A121" t="inlineStr">
        <is>
          <t>A 52391-2025</t>
        </is>
      </c>
      <c r="B121" s="1" t="n">
        <v>45954.34305555555</v>
      </c>
      <c r="C121" s="1" t="n">
        <v>46040</v>
      </c>
      <c r="D121" t="inlineStr">
        <is>
          <t>VÄSTRA GÖTALANDS LÄN</t>
        </is>
      </c>
      <c r="E121" t="inlineStr">
        <is>
          <t>ALE</t>
        </is>
      </c>
      <c r="G121" t="n">
        <v>10.6</v>
      </c>
      <c r="H121" t="n">
        <v>0</v>
      </c>
      <c r="I121" t="n">
        <v>0</v>
      </c>
      <c r="J121" t="n">
        <v>0</v>
      </c>
      <c r="K121" t="n">
        <v>0</v>
      </c>
      <c r="L121" t="n">
        <v>0</v>
      </c>
      <c r="M121" t="n">
        <v>0</v>
      </c>
      <c r="N121" t="n">
        <v>0</v>
      </c>
      <c r="O121" t="n">
        <v>0</v>
      </c>
      <c r="P121" t="n">
        <v>0</v>
      </c>
      <c r="Q121" t="n">
        <v>0</v>
      </c>
      <c r="R121" s="2" t="inlineStr"/>
    </row>
    <row r="122" ht="15" customHeight="1">
      <c r="A122" t="inlineStr">
        <is>
          <t>A 52423-2025</t>
        </is>
      </c>
      <c r="B122" s="1" t="n">
        <v>45954.37650462963</v>
      </c>
      <c r="C122" s="1" t="n">
        <v>46040</v>
      </c>
      <c r="D122" t="inlineStr">
        <is>
          <t>VÄSTRA GÖTALANDS LÄN</t>
        </is>
      </c>
      <c r="E122" t="inlineStr">
        <is>
          <t>ALE</t>
        </is>
      </c>
      <c r="G122" t="n">
        <v>4.1</v>
      </c>
      <c r="H122" t="n">
        <v>0</v>
      </c>
      <c r="I122" t="n">
        <v>0</v>
      </c>
      <c r="J122" t="n">
        <v>0</v>
      </c>
      <c r="K122" t="n">
        <v>0</v>
      </c>
      <c r="L122" t="n">
        <v>0</v>
      </c>
      <c r="M122" t="n">
        <v>0</v>
      </c>
      <c r="N122" t="n">
        <v>0</v>
      </c>
      <c r="O122" t="n">
        <v>0</v>
      </c>
      <c r="P122" t="n">
        <v>0</v>
      </c>
      <c r="Q122" t="n">
        <v>0</v>
      </c>
      <c r="R122" s="2" t="inlineStr"/>
    </row>
    <row r="123" ht="15" customHeight="1">
      <c r="A123" t="inlineStr">
        <is>
          <t>A 61771-2025</t>
        </is>
      </c>
      <c r="B123" s="1" t="n">
        <v>46002.6478587963</v>
      </c>
      <c r="C123" s="1" t="n">
        <v>46040</v>
      </c>
      <c r="D123" t="inlineStr">
        <is>
          <t>VÄSTRA GÖTALANDS LÄN</t>
        </is>
      </c>
      <c r="E123" t="inlineStr">
        <is>
          <t>ALE</t>
        </is>
      </c>
      <c r="G123" t="n">
        <v>3.9</v>
      </c>
      <c r="H123" t="n">
        <v>0</v>
      </c>
      <c r="I123" t="n">
        <v>0</v>
      </c>
      <c r="J123" t="n">
        <v>0</v>
      </c>
      <c r="K123" t="n">
        <v>0</v>
      </c>
      <c r="L123" t="n">
        <v>0</v>
      </c>
      <c r="M123" t="n">
        <v>0</v>
      </c>
      <c r="N123" t="n">
        <v>0</v>
      </c>
      <c r="O123" t="n">
        <v>0</v>
      </c>
      <c r="P123" t="n">
        <v>0</v>
      </c>
      <c r="Q123" t="n">
        <v>0</v>
      </c>
      <c r="R123" s="2" t="inlineStr"/>
    </row>
    <row r="124" ht="15" customHeight="1">
      <c r="A124" t="inlineStr">
        <is>
          <t>A 1822-2024</t>
        </is>
      </c>
      <c r="B124" s="1" t="n">
        <v>45307.6205787037</v>
      </c>
      <c r="C124" s="1" t="n">
        <v>46040</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46040</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46040</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61819-2025</t>
        </is>
      </c>
      <c r="B127" s="1" t="n">
        <v>46003.3241087963</v>
      </c>
      <c r="C127" s="1" t="n">
        <v>46040</v>
      </c>
      <c r="D127" t="inlineStr">
        <is>
          <t>VÄSTRA GÖTALANDS LÄN</t>
        </is>
      </c>
      <c r="E127" t="inlineStr">
        <is>
          <t>ALE</t>
        </is>
      </c>
      <c r="G127" t="n">
        <v>5.1</v>
      </c>
      <c r="H127" t="n">
        <v>0</v>
      </c>
      <c r="I127" t="n">
        <v>0</v>
      </c>
      <c r="J127" t="n">
        <v>0</v>
      </c>
      <c r="K127" t="n">
        <v>0</v>
      </c>
      <c r="L127" t="n">
        <v>0</v>
      </c>
      <c r="M127" t="n">
        <v>0</v>
      </c>
      <c r="N127" t="n">
        <v>0</v>
      </c>
      <c r="O127" t="n">
        <v>0</v>
      </c>
      <c r="P127" t="n">
        <v>0</v>
      </c>
      <c r="Q127" t="n">
        <v>0</v>
      </c>
      <c r="R127" s="2" t="inlineStr"/>
    </row>
    <row r="128" ht="15" customHeight="1">
      <c r="A128" t="inlineStr">
        <is>
          <t>A 6947-2024</t>
        </is>
      </c>
      <c r="B128" s="1" t="n">
        <v>45343</v>
      </c>
      <c r="C128" s="1" t="n">
        <v>46040</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62828-2025</t>
        </is>
      </c>
      <c r="B129" s="1" t="n">
        <v>46008.66553240741</v>
      </c>
      <c r="C129" s="1" t="n">
        <v>46040</v>
      </c>
      <c r="D129" t="inlineStr">
        <is>
          <t>VÄSTRA GÖTALANDS LÄN</t>
        </is>
      </c>
      <c r="E129" t="inlineStr">
        <is>
          <t>ALE</t>
        </is>
      </c>
      <c r="G129" t="n">
        <v>2.6</v>
      </c>
      <c r="H129" t="n">
        <v>0</v>
      </c>
      <c r="I129" t="n">
        <v>0</v>
      </c>
      <c r="J129" t="n">
        <v>0</v>
      </c>
      <c r="K129" t="n">
        <v>0</v>
      </c>
      <c r="L129" t="n">
        <v>0</v>
      </c>
      <c r="M129" t="n">
        <v>0</v>
      </c>
      <c r="N129" t="n">
        <v>0</v>
      </c>
      <c r="O129" t="n">
        <v>0</v>
      </c>
      <c r="P129" t="n">
        <v>0</v>
      </c>
      <c r="Q129" t="n">
        <v>0</v>
      </c>
      <c r="R129" s="2" t="inlineStr"/>
    </row>
    <row r="130" ht="15" customHeight="1">
      <c r="A130" t="inlineStr">
        <is>
          <t>A 36403-2024</t>
        </is>
      </c>
      <c r="B130" s="1" t="n">
        <v>45535.69445601852</v>
      </c>
      <c r="C130" s="1" t="n">
        <v>46040</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55405-2021</t>
        </is>
      </c>
      <c r="B131" s="1" t="n">
        <v>44475.53733796296</v>
      </c>
      <c r="C131" s="1" t="n">
        <v>46040</v>
      </c>
      <c r="D131" t="inlineStr">
        <is>
          <t>VÄSTRA GÖTALANDS LÄN</t>
        </is>
      </c>
      <c r="E131" t="inlineStr">
        <is>
          <t>ALE</t>
        </is>
      </c>
      <c r="G131" t="n">
        <v>0.5</v>
      </c>
      <c r="H131" t="n">
        <v>0</v>
      </c>
      <c r="I131" t="n">
        <v>0</v>
      </c>
      <c r="J131" t="n">
        <v>0</v>
      </c>
      <c r="K131" t="n">
        <v>0</v>
      </c>
      <c r="L131" t="n">
        <v>0</v>
      </c>
      <c r="M131" t="n">
        <v>0</v>
      </c>
      <c r="N131" t="n">
        <v>0</v>
      </c>
      <c r="O131" t="n">
        <v>0</v>
      </c>
      <c r="P131" t="n">
        <v>0</v>
      </c>
      <c r="Q131" t="n">
        <v>0</v>
      </c>
      <c r="R131" s="2" t="inlineStr"/>
    </row>
    <row r="132" ht="15" customHeight="1">
      <c r="A132" t="inlineStr">
        <is>
          <t>A 56905-2025</t>
        </is>
      </c>
      <c r="B132" s="1" t="n">
        <v>45978.57502314815</v>
      </c>
      <c r="C132" s="1" t="n">
        <v>46040</v>
      </c>
      <c r="D132" t="inlineStr">
        <is>
          <t>VÄSTRA GÖTALANDS LÄN</t>
        </is>
      </c>
      <c r="E132" t="inlineStr">
        <is>
          <t>ALE</t>
        </is>
      </c>
      <c r="G132" t="n">
        <v>5.2</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46040</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41309-2024</t>
        </is>
      </c>
      <c r="B134" s="1" t="n">
        <v>45559</v>
      </c>
      <c r="C134" s="1" t="n">
        <v>46040</v>
      </c>
      <c r="D134" t="inlineStr">
        <is>
          <t>VÄSTRA GÖTALANDS LÄN</t>
        </is>
      </c>
      <c r="E134" t="inlineStr">
        <is>
          <t>ALE</t>
        </is>
      </c>
      <c r="G134" t="n">
        <v>8.4</v>
      </c>
      <c r="H134" t="n">
        <v>0</v>
      </c>
      <c r="I134" t="n">
        <v>0</v>
      </c>
      <c r="J134" t="n">
        <v>0</v>
      </c>
      <c r="K134" t="n">
        <v>0</v>
      </c>
      <c r="L134" t="n">
        <v>0</v>
      </c>
      <c r="M134" t="n">
        <v>0</v>
      </c>
      <c r="N134" t="n">
        <v>0</v>
      </c>
      <c r="O134" t="n">
        <v>0</v>
      </c>
      <c r="P134" t="n">
        <v>0</v>
      </c>
      <c r="Q134" t="n">
        <v>0</v>
      </c>
      <c r="R134" s="2" t="inlineStr"/>
    </row>
    <row r="135" ht="15" customHeight="1">
      <c r="A135" t="inlineStr">
        <is>
          <t>A 15499-2022</t>
        </is>
      </c>
      <c r="B135" s="1" t="n">
        <v>44662</v>
      </c>
      <c r="C135" s="1" t="n">
        <v>46040</v>
      </c>
      <c r="D135" t="inlineStr">
        <is>
          <t>VÄSTRA GÖTALANDS LÄN</t>
        </is>
      </c>
      <c r="E135" t="inlineStr">
        <is>
          <t>ALE</t>
        </is>
      </c>
      <c r="G135" t="n">
        <v>4.7</v>
      </c>
      <c r="H135" t="n">
        <v>0</v>
      </c>
      <c r="I135" t="n">
        <v>0</v>
      </c>
      <c r="J135" t="n">
        <v>0</v>
      </c>
      <c r="K135" t="n">
        <v>0</v>
      </c>
      <c r="L135" t="n">
        <v>0</v>
      </c>
      <c r="M135" t="n">
        <v>0</v>
      </c>
      <c r="N135" t="n">
        <v>0</v>
      </c>
      <c r="O135" t="n">
        <v>0</v>
      </c>
      <c r="P135" t="n">
        <v>0</v>
      </c>
      <c r="Q135" t="n">
        <v>0</v>
      </c>
      <c r="R135" s="2" t="inlineStr"/>
    </row>
    <row r="136" ht="15" customHeight="1">
      <c r="A136" t="inlineStr">
        <is>
          <t>A 24642-2022</t>
        </is>
      </c>
      <c r="B136" s="1" t="n">
        <v>44727.59578703704</v>
      </c>
      <c r="C136" s="1" t="n">
        <v>46040</v>
      </c>
      <c r="D136" t="inlineStr">
        <is>
          <t>VÄSTRA GÖTALANDS LÄN</t>
        </is>
      </c>
      <c r="E136" t="inlineStr">
        <is>
          <t>ALE</t>
        </is>
      </c>
      <c r="G136" t="n">
        <v>10</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46040</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27314-2021</t>
        </is>
      </c>
      <c r="B138" s="1" t="n">
        <v>44351.36537037037</v>
      </c>
      <c r="C138" s="1" t="n">
        <v>46040</v>
      </c>
      <c r="D138" t="inlineStr">
        <is>
          <t>VÄSTRA GÖTALANDS LÄN</t>
        </is>
      </c>
      <c r="E138" t="inlineStr">
        <is>
          <t>ALE</t>
        </is>
      </c>
      <c r="G138" t="n">
        <v>11.3</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46040</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46040</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46040</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46040</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3457-2022</t>
        </is>
      </c>
      <c r="B143" s="1" t="n">
        <v>44585</v>
      </c>
      <c r="C143" s="1" t="n">
        <v>46040</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26083-2023</t>
        </is>
      </c>
      <c r="B144" s="1" t="n">
        <v>45091</v>
      </c>
      <c r="C144" s="1" t="n">
        <v>46040</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46040</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35959-2022</t>
        </is>
      </c>
      <c r="B146" s="1" t="n">
        <v>44802.57002314815</v>
      </c>
      <c r="C146" s="1" t="n">
        <v>46040</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4363-2024</t>
        </is>
      </c>
      <c r="B147" s="1" t="n">
        <v>45325</v>
      </c>
      <c r="C147" s="1" t="n">
        <v>46040</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200-2022</t>
        </is>
      </c>
      <c r="B148" s="1" t="n">
        <v>44564</v>
      </c>
      <c r="C148" s="1" t="n">
        <v>46040</v>
      </c>
      <c r="D148" t="inlineStr">
        <is>
          <t>VÄSTRA GÖTALANDS LÄN</t>
        </is>
      </c>
      <c r="E148" t="inlineStr">
        <is>
          <t>ALE</t>
        </is>
      </c>
      <c r="G148" t="n">
        <v>6.8</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46040</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46040</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17044-2025</t>
        </is>
      </c>
      <c r="B151" s="1" t="n">
        <v>45755.58891203703</v>
      </c>
      <c r="C151" s="1" t="n">
        <v>46040</v>
      </c>
      <c r="D151" t="inlineStr">
        <is>
          <t>VÄSTRA GÖTALANDS LÄN</t>
        </is>
      </c>
      <c r="E151" t="inlineStr">
        <is>
          <t>ALE</t>
        </is>
      </c>
      <c r="G151" t="n">
        <v>1.5</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46040</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6916-2023</t>
        </is>
      </c>
      <c r="B153" s="1" t="n">
        <v>44967.53349537037</v>
      </c>
      <c r="C153" s="1" t="n">
        <v>46040</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64199-2021</t>
        </is>
      </c>
      <c r="B154" s="1" t="n">
        <v>44510</v>
      </c>
      <c r="C154" s="1" t="n">
        <v>46040</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row r="155" ht="15" customHeight="1">
      <c r="A155" t="inlineStr">
        <is>
          <t>A 15582-2025</t>
        </is>
      </c>
      <c r="B155" s="1" t="n">
        <v>45747.81394675926</v>
      </c>
      <c r="C155" s="1" t="n">
        <v>46040</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ht="15" customHeight="1">
      <c r="A156" t="inlineStr">
        <is>
          <t>A 22946-2025</t>
        </is>
      </c>
      <c r="B156" s="1" t="n">
        <v>45790.48229166667</v>
      </c>
      <c r="C156" s="1" t="n">
        <v>46040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4971-2024</t>
        </is>
      </c>
      <c r="B157" s="1" t="n">
        <v>45329</v>
      </c>
      <c r="C157" s="1" t="n">
        <v>46040</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37461-2024</t>
        </is>
      </c>
      <c r="B158" s="1" t="n">
        <v>45540.72516203704</v>
      </c>
      <c r="C158" s="1" t="n">
        <v>46040</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25849-2025</t>
        </is>
      </c>
      <c r="B159" s="1" t="n">
        <v>45804</v>
      </c>
      <c r="C159" s="1" t="n">
        <v>46040</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25848-2025</t>
        </is>
      </c>
      <c r="B160" s="1" t="n">
        <v>45804</v>
      </c>
      <c r="C160" s="1" t="n">
        <v>46040</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25840-2025</t>
        </is>
      </c>
      <c r="B161" s="1" t="n">
        <v>45804</v>
      </c>
      <c r="C161" s="1" t="n">
        <v>46040</v>
      </c>
      <c r="D161" t="inlineStr">
        <is>
          <t>VÄSTRA GÖTALANDS LÄN</t>
        </is>
      </c>
      <c r="E161" t="inlineStr">
        <is>
          <t>ALE</t>
        </is>
      </c>
      <c r="G161" t="n">
        <v>3.8</v>
      </c>
      <c r="H161" t="n">
        <v>0</v>
      </c>
      <c r="I161" t="n">
        <v>0</v>
      </c>
      <c r="J161" t="n">
        <v>0</v>
      </c>
      <c r="K161" t="n">
        <v>0</v>
      </c>
      <c r="L161" t="n">
        <v>0</v>
      </c>
      <c r="M161" t="n">
        <v>0</v>
      </c>
      <c r="N161" t="n">
        <v>0</v>
      </c>
      <c r="O161" t="n">
        <v>0</v>
      </c>
      <c r="P161" t="n">
        <v>0</v>
      </c>
      <c r="Q161" t="n">
        <v>0</v>
      </c>
      <c r="R161" s="2" t="inlineStr"/>
    </row>
    <row r="162" ht="15" customHeight="1">
      <c r="A162" t="inlineStr">
        <is>
          <t>A 8659-2025</t>
        </is>
      </c>
      <c r="B162" s="1" t="n">
        <v>45712</v>
      </c>
      <c r="C162" s="1" t="n">
        <v>46040</v>
      </c>
      <c r="D162" t="inlineStr">
        <is>
          <t>VÄSTRA GÖTALANDS LÄN</t>
        </is>
      </c>
      <c r="E162" t="inlineStr">
        <is>
          <t>ALE</t>
        </is>
      </c>
      <c r="G162" t="n">
        <v>5.7</v>
      </c>
      <c r="H162" t="n">
        <v>0</v>
      </c>
      <c r="I162" t="n">
        <v>0</v>
      </c>
      <c r="J162" t="n">
        <v>0</v>
      </c>
      <c r="K162" t="n">
        <v>0</v>
      </c>
      <c r="L162" t="n">
        <v>0</v>
      </c>
      <c r="M162" t="n">
        <v>0</v>
      </c>
      <c r="N162" t="n">
        <v>0</v>
      </c>
      <c r="O162" t="n">
        <v>0</v>
      </c>
      <c r="P162" t="n">
        <v>0</v>
      </c>
      <c r="Q162" t="n">
        <v>0</v>
      </c>
      <c r="R162" s="2" t="inlineStr"/>
    </row>
    <row r="163" ht="15" customHeight="1">
      <c r="A163" t="inlineStr">
        <is>
          <t>A 5344-2024</t>
        </is>
      </c>
      <c r="B163" s="1" t="n">
        <v>45331</v>
      </c>
      <c r="C163" s="1" t="n">
        <v>46040</v>
      </c>
      <c r="D163" t="inlineStr">
        <is>
          <t>VÄSTRA GÖTALANDS LÄN</t>
        </is>
      </c>
      <c r="E163" t="inlineStr">
        <is>
          <t>ALE</t>
        </is>
      </c>
      <c r="G163" t="n">
        <v>2.5</v>
      </c>
      <c r="H163" t="n">
        <v>0</v>
      </c>
      <c r="I163" t="n">
        <v>0</v>
      </c>
      <c r="J163" t="n">
        <v>0</v>
      </c>
      <c r="K163" t="n">
        <v>0</v>
      </c>
      <c r="L163" t="n">
        <v>0</v>
      </c>
      <c r="M163" t="n">
        <v>0</v>
      </c>
      <c r="N163" t="n">
        <v>0</v>
      </c>
      <c r="O163" t="n">
        <v>0</v>
      </c>
      <c r="P163" t="n">
        <v>0</v>
      </c>
      <c r="Q163" t="n">
        <v>0</v>
      </c>
      <c r="R163" s="2" t="inlineStr"/>
    </row>
    <row r="164" ht="15" customHeight="1">
      <c r="A164" t="inlineStr">
        <is>
          <t>A 18637-2023</t>
        </is>
      </c>
      <c r="B164" s="1" t="n">
        <v>45043</v>
      </c>
      <c r="C164" s="1" t="n">
        <v>46040</v>
      </c>
      <c r="D164" t="inlineStr">
        <is>
          <t>VÄSTRA GÖTALANDS LÄN</t>
        </is>
      </c>
      <c r="E164" t="inlineStr">
        <is>
          <t>ALE</t>
        </is>
      </c>
      <c r="G164" t="n">
        <v>3.6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46040</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29373-2025</t>
        </is>
      </c>
      <c r="B166" s="1" t="n">
        <v>45824.579375</v>
      </c>
      <c r="C166" s="1" t="n">
        <v>46040</v>
      </c>
      <c r="D166" t="inlineStr">
        <is>
          <t>VÄSTRA GÖTALANDS LÄN</t>
        </is>
      </c>
      <c r="E166" t="inlineStr">
        <is>
          <t>ALE</t>
        </is>
      </c>
      <c r="G166" t="n">
        <v>4.6</v>
      </c>
      <c r="H166" t="n">
        <v>0</v>
      </c>
      <c r="I166" t="n">
        <v>0</v>
      </c>
      <c r="J166" t="n">
        <v>0</v>
      </c>
      <c r="K166" t="n">
        <v>0</v>
      </c>
      <c r="L166" t="n">
        <v>0</v>
      </c>
      <c r="M166" t="n">
        <v>0</v>
      </c>
      <c r="N166" t="n">
        <v>0</v>
      </c>
      <c r="O166" t="n">
        <v>0</v>
      </c>
      <c r="P166" t="n">
        <v>0</v>
      </c>
      <c r="Q166" t="n">
        <v>0</v>
      </c>
      <c r="R166" s="2" t="inlineStr"/>
    </row>
    <row r="167" ht="15" customHeight="1">
      <c r="A167" t="inlineStr">
        <is>
          <t>A 13382-2025</t>
        </is>
      </c>
      <c r="B167" s="1" t="n">
        <v>45735.67928240741</v>
      </c>
      <c r="C167" s="1" t="n">
        <v>46040</v>
      </c>
      <c r="D167" t="inlineStr">
        <is>
          <t>VÄSTRA GÖTALANDS LÄN</t>
        </is>
      </c>
      <c r="E167" t="inlineStr">
        <is>
          <t>ALE</t>
        </is>
      </c>
      <c r="G167" t="n">
        <v>0.9</v>
      </c>
      <c r="H167" t="n">
        <v>0</v>
      </c>
      <c r="I167" t="n">
        <v>0</v>
      </c>
      <c r="J167" t="n">
        <v>0</v>
      </c>
      <c r="K167" t="n">
        <v>0</v>
      </c>
      <c r="L167" t="n">
        <v>0</v>
      </c>
      <c r="M167" t="n">
        <v>0</v>
      </c>
      <c r="N167" t="n">
        <v>0</v>
      </c>
      <c r="O167" t="n">
        <v>0</v>
      </c>
      <c r="P167" t="n">
        <v>0</v>
      </c>
      <c r="Q167" t="n">
        <v>0</v>
      </c>
      <c r="R167" s="2" t="inlineStr"/>
    </row>
    <row r="168" ht="15" customHeight="1">
      <c r="A168" t="inlineStr">
        <is>
          <t>A 13903-2025</t>
        </is>
      </c>
      <c r="B168" s="1" t="n">
        <v>45737.63481481482</v>
      </c>
      <c r="C168" s="1" t="n">
        <v>46040</v>
      </c>
      <c r="D168" t="inlineStr">
        <is>
          <t>VÄSTRA GÖTALANDS LÄN</t>
        </is>
      </c>
      <c r="E168" t="inlineStr">
        <is>
          <t>ALE</t>
        </is>
      </c>
      <c r="G168" t="n">
        <v>0.5</v>
      </c>
      <c r="H168" t="n">
        <v>0</v>
      </c>
      <c r="I168" t="n">
        <v>0</v>
      </c>
      <c r="J168" t="n">
        <v>0</v>
      </c>
      <c r="K168" t="n">
        <v>0</v>
      </c>
      <c r="L168" t="n">
        <v>0</v>
      </c>
      <c r="M168" t="n">
        <v>0</v>
      </c>
      <c r="N168" t="n">
        <v>0</v>
      </c>
      <c r="O168" t="n">
        <v>0</v>
      </c>
      <c r="P168" t="n">
        <v>0</v>
      </c>
      <c r="Q168" t="n">
        <v>0</v>
      </c>
      <c r="R168" s="2" t="inlineStr"/>
    </row>
    <row r="169" ht="15" customHeight="1">
      <c r="A169" t="inlineStr">
        <is>
          <t>A 31409-2025</t>
        </is>
      </c>
      <c r="B169" s="1" t="n">
        <v>45833</v>
      </c>
      <c r="C169" s="1" t="n">
        <v>46040</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31533-2025</t>
        </is>
      </c>
      <c r="B170" s="1" t="n">
        <v>45833</v>
      </c>
      <c r="C170" s="1" t="n">
        <v>46040</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c r="A171" t="inlineStr">
        <is>
          <t>A 31488-2025</t>
        </is>
      </c>
      <c r="B171" s="1" t="n">
        <v>45833</v>
      </c>
      <c r="C171" s="1" t="n">
        <v>46040</v>
      </c>
      <c r="D171" t="inlineStr">
        <is>
          <t>VÄSTRA GÖTALANDS LÄN</t>
        </is>
      </c>
      <c r="E171" t="inlineStr">
        <is>
          <t>ALE</t>
        </is>
      </c>
      <c r="G171" t="n">
        <v>1.8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2026-01-18T10:56:32Z</dcterms:created>
  <dcterms:modified xmlns:dcterms="http://purl.org/dc/terms/" xmlns:xsi="http://www.w3.org/2001/XMLSchema-instance" xsi:type="dcterms:W3CDTF">2026-01-18T10:56:33Z</dcterms:modified>
</cp:coreProperties>
</file>