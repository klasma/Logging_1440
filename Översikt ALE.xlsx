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45576</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45576</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45576</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45576</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45576</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39575-2024</t>
        </is>
      </c>
      <c r="B9" s="1" t="n">
        <v>45552</v>
      </c>
      <c r="C9" s="1" t="n">
        <v>45576</v>
      </c>
      <c r="D9" t="inlineStr">
        <is>
          <t>VÄSTRA GÖTALANDS LÄN</t>
        </is>
      </c>
      <c r="E9" t="inlineStr">
        <is>
          <t>ALE</t>
        </is>
      </c>
      <c r="G9" t="n">
        <v>10.3</v>
      </c>
      <c r="H9" t="n">
        <v>3</v>
      </c>
      <c r="I9" t="n">
        <v>4</v>
      </c>
      <c r="J9" t="n">
        <v>1</v>
      </c>
      <c r="K9" t="n">
        <v>1</v>
      </c>
      <c r="L9" t="n">
        <v>1</v>
      </c>
      <c r="M9" t="n">
        <v>0</v>
      </c>
      <c r="N9" t="n">
        <v>0</v>
      </c>
      <c r="O9" t="n">
        <v>3</v>
      </c>
      <c r="P9" t="n">
        <v>2</v>
      </c>
      <c r="Q9" t="n">
        <v>9</v>
      </c>
      <c r="R9" s="2" t="inlineStr">
        <is>
          <t>Ask
Brödtaggsvamp
Spillkråka
Blåmossa
Dropptaggsvamp
Stor revmossa
Tibast
Kungsfågel
Vanlig snok</t>
        </is>
      </c>
      <c r="S9">
        <f>HYPERLINK("https://klasma.github.io/Logging_1440/artfynd/A 39575-2024 artfynd.xlsx", "A 39575-2024")</f>
        <v/>
      </c>
      <c r="T9">
        <f>HYPERLINK("https://klasma.github.io/Logging_1440/kartor/A 39575-2024 karta.png", "A 39575-2024")</f>
        <v/>
      </c>
      <c r="V9">
        <f>HYPERLINK("https://klasma.github.io/Logging_1440/klagomål/A 39575-2024 FSC-klagomål.docx", "A 39575-2024")</f>
        <v/>
      </c>
      <c r="W9">
        <f>HYPERLINK("https://klasma.github.io/Logging_1440/klagomålsmail/A 39575-2024 FSC-klagomål mail.docx", "A 39575-2024")</f>
        <v/>
      </c>
      <c r="X9">
        <f>HYPERLINK("https://klasma.github.io/Logging_1440/tillsyn/A 39575-2024 tillsynsbegäran.docx", "A 39575-2024")</f>
        <v/>
      </c>
      <c r="Y9">
        <f>HYPERLINK("https://klasma.github.io/Logging_1440/tillsynsmail/A 39575-2024 tillsynsbegäran mail.docx", "A 39575-2024")</f>
        <v/>
      </c>
      <c r="Z9">
        <f>HYPERLINK("https://klasma.github.io/Logging_1440/fåglar/A 39575-2024 prioriterade fågelarter.docx", "A 39575-2024")</f>
        <v/>
      </c>
    </row>
    <row r="10" ht="15" customHeight="1">
      <c r="A10" t="inlineStr">
        <is>
          <t>A 53693-2019</t>
        </is>
      </c>
      <c r="B10" s="1" t="n">
        <v>43749</v>
      </c>
      <c r="C10" s="1" t="n">
        <v>45576</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45576</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45576</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45576</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45576</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45576</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45576</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563-2024</t>
        </is>
      </c>
      <c r="B17" s="1" t="n">
        <v>45299</v>
      </c>
      <c r="C17" s="1" t="n">
        <v>45576</v>
      </c>
      <c r="D17" t="inlineStr">
        <is>
          <t>VÄSTRA GÖTALANDS LÄN</t>
        </is>
      </c>
      <c r="E17" t="inlineStr">
        <is>
          <t>ALE</t>
        </is>
      </c>
      <c r="F17" t="inlineStr">
        <is>
          <t>Kyrkan</t>
        </is>
      </c>
      <c r="G17" t="n">
        <v>26</v>
      </c>
      <c r="H17" t="n">
        <v>3</v>
      </c>
      <c r="I17" t="n">
        <v>1</v>
      </c>
      <c r="J17" t="n">
        <v>3</v>
      </c>
      <c r="K17" t="n">
        <v>0</v>
      </c>
      <c r="L17" t="n">
        <v>0</v>
      </c>
      <c r="M17" t="n">
        <v>0</v>
      </c>
      <c r="N17" t="n">
        <v>0</v>
      </c>
      <c r="O17" t="n">
        <v>3</v>
      </c>
      <c r="P17" t="n">
        <v>0</v>
      </c>
      <c r="Q17" t="n">
        <v>5</v>
      </c>
      <c r="R17" s="2" t="inlineStr">
        <is>
          <t>Kortskaftad ärgspik
Spillkråka
Talltita
Björksplintborre
Tjäder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7903-2024</t>
        </is>
      </c>
      <c r="B18" s="1" t="n">
        <v>45350</v>
      </c>
      <c r="C18" s="1" t="n">
        <v>45576</v>
      </c>
      <c r="D18" t="inlineStr">
        <is>
          <t>VÄSTRA GÖTALANDS LÄN</t>
        </is>
      </c>
      <c r="E18" t="inlineStr">
        <is>
          <t>ALE</t>
        </is>
      </c>
      <c r="G18" t="n">
        <v>5.2</v>
      </c>
      <c r="H18" t="n">
        <v>4</v>
      </c>
      <c r="I18" t="n">
        <v>1</v>
      </c>
      <c r="J18" t="n">
        <v>3</v>
      </c>
      <c r="K18" t="n">
        <v>0</v>
      </c>
      <c r="L18" t="n">
        <v>0</v>
      </c>
      <c r="M18" t="n">
        <v>0</v>
      </c>
      <c r="N18" t="n">
        <v>0</v>
      </c>
      <c r="O18" t="n">
        <v>3</v>
      </c>
      <c r="P18" t="n">
        <v>0</v>
      </c>
      <c r="Q18" t="n">
        <v>5</v>
      </c>
      <c r="R18" s="2" t="inlineStr">
        <is>
          <t>Entita
Spillkråka
Talltita
Björksplintborre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39592-2024</t>
        </is>
      </c>
      <c r="B19" s="1" t="n">
        <v>45552</v>
      </c>
      <c r="C19" s="1" t="n">
        <v>45576</v>
      </c>
      <c r="D19" t="inlineStr">
        <is>
          <t>VÄSTRA GÖTALANDS LÄN</t>
        </is>
      </c>
      <c r="E19" t="inlineStr">
        <is>
          <t>ALE</t>
        </is>
      </c>
      <c r="G19" t="n">
        <v>1.2</v>
      </c>
      <c r="H19" t="n">
        <v>2</v>
      </c>
      <c r="I19" t="n">
        <v>2</v>
      </c>
      <c r="J19" t="n">
        <v>1</v>
      </c>
      <c r="K19" t="n">
        <v>1</v>
      </c>
      <c r="L19" t="n">
        <v>0</v>
      </c>
      <c r="M19" t="n">
        <v>0</v>
      </c>
      <c r="N19" t="n">
        <v>0</v>
      </c>
      <c r="O19" t="n">
        <v>2</v>
      </c>
      <c r="P19" t="n">
        <v>1</v>
      </c>
      <c r="Q19" t="n">
        <v>5</v>
      </c>
      <c r="R19" s="2" t="inlineStr">
        <is>
          <t>Flikbålmossa
Spillkråka
Bronshjon
Stor revmossa
Kungsfågel</t>
        </is>
      </c>
      <c r="S19">
        <f>HYPERLINK("https://klasma.github.io/Logging_1440/artfynd/A 39592-2024 artfynd.xlsx", "A 39592-2024")</f>
        <v/>
      </c>
      <c r="T19">
        <f>HYPERLINK("https://klasma.github.io/Logging_1440/kartor/A 39592-2024 karta.png", "A 39592-2024")</f>
        <v/>
      </c>
      <c r="V19">
        <f>HYPERLINK("https://klasma.github.io/Logging_1440/klagomål/A 39592-2024 FSC-klagomål.docx", "A 39592-2024")</f>
        <v/>
      </c>
      <c r="W19">
        <f>HYPERLINK("https://klasma.github.io/Logging_1440/klagomålsmail/A 39592-2024 FSC-klagomål mail.docx", "A 39592-2024")</f>
        <v/>
      </c>
      <c r="X19">
        <f>HYPERLINK("https://klasma.github.io/Logging_1440/tillsyn/A 39592-2024 tillsynsbegäran.docx", "A 39592-2024")</f>
        <v/>
      </c>
      <c r="Y19">
        <f>HYPERLINK("https://klasma.github.io/Logging_1440/tillsynsmail/A 39592-2024 tillsynsbegäran mail.docx", "A 39592-2024")</f>
        <v/>
      </c>
      <c r="Z19">
        <f>HYPERLINK("https://klasma.github.io/Logging_1440/fåglar/A 39592-2024 prioriterade fågelarter.docx", "A 39592-2024")</f>
        <v/>
      </c>
    </row>
    <row r="20" ht="15" customHeight="1">
      <c r="A20" t="inlineStr">
        <is>
          <t>A 7906-2024</t>
        </is>
      </c>
      <c r="B20" s="1" t="n">
        <v>45350</v>
      </c>
      <c r="C20" s="1" t="n">
        <v>45576</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45576</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45576</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45576</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45576</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45576</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45576</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45576</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45576</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45576</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45576</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45576</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45576</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45576</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45576</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45576</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45576</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45576</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45576</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45576</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45576</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45576</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45576</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45576</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45576</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45576</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45576</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45576</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45576</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45576</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45576</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45576</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45576</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45576</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45576</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45576</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45576</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45576</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45576</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45576</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45576</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45576</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45576</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45576</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45576</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45576</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45576</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45576</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45576</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45576</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45576</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45576</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45576</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45576</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45576</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45576</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45576</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45576</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45576</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45576</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45576</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45576</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45576</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45576</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45576</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45576</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45576</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45576</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45576</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45576</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45576</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45576</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45576</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45576</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45576</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45576</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45576</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45576</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45576</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45576</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45576</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45576</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45576</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45576</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45576</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45576</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45576</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45576</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45576</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45576</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45576</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45576</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45576</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45576</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45576</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45576</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45576</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45576</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45576</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45576</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45576</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45576</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45576</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45576</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45576</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45576</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45576</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45576</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45576</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45576</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45576</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45576</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45576</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45576</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45576</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45576</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45576</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45576</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45576</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45576</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45576</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45576</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45576</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45576</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45576</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45576</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45576</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2024-10-11T12:53:42Z</dcterms:created>
  <dcterms:modified xmlns:dcterms="http://purl.org/dc/terms/" xmlns:xsi="http://www.w3.org/2001/XMLSchema-instance" xsi:type="dcterms:W3CDTF">2024-10-11T12:53:42Z</dcterms:modified>
</cp:coreProperties>
</file>