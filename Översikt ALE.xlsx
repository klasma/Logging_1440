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45983</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45983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45983</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45983</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45983</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45983</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45983</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45983</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45983</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45983</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45983</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37005-2025</t>
        </is>
      </c>
      <c r="B14" s="1" t="n">
        <v>45874.69311342593</v>
      </c>
      <c r="C14" s="1" t="n">
        <v>45983</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32849-2023</t>
        </is>
      </c>
      <c r="B15" s="1" t="n">
        <v>45124</v>
      </c>
      <c r="C15" s="1" t="n">
        <v>45983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40059-2025</t>
        </is>
      </c>
      <c r="B16" s="1" t="n">
        <v>45894.42600694444</v>
      </c>
      <c r="C16" s="1" t="n">
        <v>45983</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45983</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45983</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45983</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45983</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45983</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45983</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45983</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45983</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45983</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40931-2025</t>
        </is>
      </c>
      <c r="B26" s="1" t="n">
        <v>45897.64783564815</v>
      </c>
      <c r="C26" s="1" t="n">
        <v>45983</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2270-2025</t>
        </is>
      </c>
      <c r="B27" s="1" t="n">
        <v>45673.54403935185</v>
      </c>
      <c r="C27" s="1" t="n">
        <v>45983</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1503-2024</t>
        </is>
      </c>
      <c r="B28" s="1" t="n">
        <v>45306.35041666667</v>
      </c>
      <c r="C28" s="1" t="n">
        <v>45983</v>
      </c>
      <c r="D28" t="inlineStr">
        <is>
          <t>VÄSTRA GÖTALANDS LÄN</t>
        </is>
      </c>
      <c r="E28" t="inlineStr">
        <is>
          <t>ALE</t>
        </is>
      </c>
      <c r="G28" t="n">
        <v>6.6</v>
      </c>
      <c r="H28" t="n">
        <v>2</v>
      </c>
      <c r="I28" t="n">
        <v>0</v>
      </c>
      <c r="J28" t="n">
        <v>1</v>
      </c>
      <c r="K28" t="n">
        <v>0</v>
      </c>
      <c r="L28" t="n">
        <v>0</v>
      </c>
      <c r="M28" t="n">
        <v>0</v>
      </c>
      <c r="N28" t="n">
        <v>0</v>
      </c>
      <c r="O28" t="n">
        <v>1</v>
      </c>
      <c r="P28" t="n">
        <v>0</v>
      </c>
      <c r="Q28" t="n">
        <v>2</v>
      </c>
      <c r="R28" s="2" t="inlineStr">
        <is>
          <t>Spillkråka
Revlummer</t>
        </is>
      </c>
      <c r="S28">
        <f>HYPERLINK("https://klasma.github.io/Logging_1440/artfynd/A 1503-2024 artfynd.xlsx", "A 1503-2024")</f>
        <v/>
      </c>
      <c r="T28">
        <f>HYPERLINK("https://klasma.github.io/Logging_1440/kartor/A 1503-2024 karta.png", "A 1503-2024")</f>
        <v/>
      </c>
      <c r="V28">
        <f>HYPERLINK("https://klasma.github.io/Logging_1440/klagomål/A 1503-2024 FSC-klagomål.docx", "A 1503-2024")</f>
        <v/>
      </c>
      <c r="W28">
        <f>HYPERLINK("https://klasma.github.io/Logging_1440/klagomålsmail/A 1503-2024 FSC-klagomål mail.docx", "A 1503-2024")</f>
        <v/>
      </c>
      <c r="X28">
        <f>HYPERLINK("https://klasma.github.io/Logging_1440/tillsyn/A 1503-2024 tillsynsbegäran.docx", "A 1503-2024")</f>
        <v/>
      </c>
      <c r="Y28">
        <f>HYPERLINK("https://klasma.github.io/Logging_1440/tillsynsmail/A 1503-2024 tillsynsbegäran mail.docx", "A 1503-2024")</f>
        <v/>
      </c>
      <c r="Z28">
        <f>HYPERLINK("https://klasma.github.io/Logging_1440/fåglar/A 1503-2024 prioriterade fågelarter.docx", "A 1503-2024")</f>
        <v/>
      </c>
    </row>
    <row r="29" ht="15" customHeight="1">
      <c r="A29" t="inlineStr">
        <is>
          <t>A 13380-2025</t>
        </is>
      </c>
      <c r="B29" s="1" t="n">
        <v>45735.6765162037</v>
      </c>
      <c r="C29" s="1" t="n">
        <v>45983</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45983</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45983</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45983</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63569-2023</t>
        </is>
      </c>
      <c r="B33" s="1" t="n">
        <v>45275</v>
      </c>
      <c r="C33" s="1" t="n">
        <v>45983</v>
      </c>
      <c r="D33" t="inlineStr">
        <is>
          <t>VÄSTRA GÖTALANDS LÄN</t>
        </is>
      </c>
      <c r="E33" t="inlineStr">
        <is>
          <t>ALE</t>
        </is>
      </c>
      <c r="G33" t="n">
        <v>2.4</v>
      </c>
      <c r="H33" t="n">
        <v>2</v>
      </c>
      <c r="I33" t="n">
        <v>0</v>
      </c>
      <c r="J33" t="n">
        <v>2</v>
      </c>
      <c r="K33" t="n">
        <v>0</v>
      </c>
      <c r="L33" t="n">
        <v>0</v>
      </c>
      <c r="M33" t="n">
        <v>0</v>
      </c>
      <c r="N33" t="n">
        <v>0</v>
      </c>
      <c r="O33" t="n">
        <v>2</v>
      </c>
      <c r="P33" t="n">
        <v>0</v>
      </c>
      <c r="Q33" t="n">
        <v>2</v>
      </c>
      <c r="R33" s="2" t="inlineStr">
        <is>
          <t>Spillkråka
Talltita</t>
        </is>
      </c>
      <c r="S33">
        <f>HYPERLINK("https://klasma.github.io/Logging_1440/artfynd/A 63569-2023 artfynd.xlsx", "A 63569-2023")</f>
        <v/>
      </c>
      <c r="T33">
        <f>HYPERLINK("https://klasma.github.io/Logging_1440/kartor/A 63569-2023 karta.png", "A 63569-2023")</f>
        <v/>
      </c>
      <c r="V33">
        <f>HYPERLINK("https://klasma.github.io/Logging_1440/klagomål/A 63569-2023 FSC-klagomål.docx", "A 63569-2023")</f>
        <v/>
      </c>
      <c r="W33">
        <f>HYPERLINK("https://klasma.github.io/Logging_1440/klagomålsmail/A 63569-2023 FSC-klagomål mail.docx", "A 63569-2023")</f>
        <v/>
      </c>
      <c r="X33">
        <f>HYPERLINK("https://klasma.github.io/Logging_1440/tillsyn/A 63569-2023 tillsynsbegäran.docx", "A 63569-2023")</f>
        <v/>
      </c>
      <c r="Y33">
        <f>HYPERLINK("https://klasma.github.io/Logging_1440/tillsynsmail/A 63569-2023 tillsynsbegäran mail.docx", "A 63569-2023")</f>
        <v/>
      </c>
      <c r="Z33">
        <f>HYPERLINK("https://klasma.github.io/Logging_1440/fåglar/A 63569-2023 prioriterade fågelarter.docx", "A 63569-2023")</f>
        <v/>
      </c>
    </row>
    <row r="34" ht="15" customHeight="1">
      <c r="A34" t="inlineStr">
        <is>
          <t>A 8955-2025</t>
        </is>
      </c>
      <c r="B34" s="1" t="n">
        <v>45713.46528935185</v>
      </c>
      <c r="C34" s="1" t="n">
        <v>45983</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42660-2024</t>
        </is>
      </c>
      <c r="B35" s="1" t="n">
        <v>45566.33841435185</v>
      </c>
      <c r="C35" s="1" t="n">
        <v>45983</v>
      </c>
      <c r="D35" t="inlineStr">
        <is>
          <t>VÄSTRA GÖTALANDS LÄN</t>
        </is>
      </c>
      <c r="E35" t="inlineStr">
        <is>
          <t>ALE</t>
        </is>
      </c>
      <c r="G35" t="n">
        <v>2.5</v>
      </c>
      <c r="H35" t="n">
        <v>2</v>
      </c>
      <c r="I35" t="n">
        <v>0</v>
      </c>
      <c r="J35" t="n">
        <v>0</v>
      </c>
      <c r="K35" t="n">
        <v>0</v>
      </c>
      <c r="L35" t="n">
        <v>0</v>
      </c>
      <c r="M35" t="n">
        <v>0</v>
      </c>
      <c r="N35" t="n">
        <v>0</v>
      </c>
      <c r="O35" t="n">
        <v>0</v>
      </c>
      <c r="P35" t="n">
        <v>0</v>
      </c>
      <c r="Q35" t="n">
        <v>2</v>
      </c>
      <c r="R35" s="2" t="inlineStr">
        <is>
          <t>Mattlummer
Revlummer</t>
        </is>
      </c>
      <c r="S35">
        <f>HYPERLINK("https://klasma.github.io/Logging_1440/artfynd/A 42660-2024 artfynd.xlsx", "A 42660-2024")</f>
        <v/>
      </c>
      <c r="T35">
        <f>HYPERLINK("https://klasma.github.io/Logging_1440/kartor/A 42660-2024 karta.png", "A 42660-2024")</f>
        <v/>
      </c>
      <c r="V35">
        <f>HYPERLINK("https://klasma.github.io/Logging_1440/klagomål/A 42660-2024 FSC-klagomål.docx", "A 42660-2024")</f>
        <v/>
      </c>
      <c r="W35">
        <f>HYPERLINK("https://klasma.github.io/Logging_1440/klagomålsmail/A 42660-2024 FSC-klagomål mail.docx", "A 42660-2024")</f>
        <v/>
      </c>
      <c r="X35">
        <f>HYPERLINK("https://klasma.github.io/Logging_1440/tillsyn/A 42660-2024 tillsynsbegäran.docx", "A 42660-2024")</f>
        <v/>
      </c>
      <c r="Y35">
        <f>HYPERLINK("https://klasma.github.io/Logging_1440/tillsynsmail/A 42660-2024 tillsynsbegäran mail.docx", "A 42660-2024")</f>
        <v/>
      </c>
    </row>
    <row r="36" ht="15" customHeight="1">
      <c r="A36" t="inlineStr">
        <is>
          <t>A 26677-2025</t>
        </is>
      </c>
      <c r="B36" s="1" t="n">
        <v>45810.42446759259</v>
      </c>
      <c r="C36" s="1" t="n">
        <v>45983</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45983</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26493-2024</t>
        </is>
      </c>
      <c r="B38" s="1" t="n">
        <v>45469</v>
      </c>
      <c r="C38" s="1" t="n">
        <v>45983</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12084-2025</t>
        </is>
      </c>
      <c r="B39" s="1" t="n">
        <v>45728.95387731482</v>
      </c>
      <c r="C39" s="1" t="n">
        <v>45983</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12982-2024</t>
        </is>
      </c>
      <c r="B40" s="1" t="n">
        <v>45385.53569444444</v>
      </c>
      <c r="C40" s="1" t="n">
        <v>45983</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45983</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45983</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45983</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45983</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45983</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45983</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45983</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45983</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45983</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45983</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45983</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45983</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45983</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45983</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45983</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45983</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45983</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45983</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45983</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45983</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45983</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45983</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45983</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45983</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53476-2023</t>
        </is>
      </c>
      <c r="B65" s="1" t="n">
        <v>45230.33737268519</v>
      </c>
      <c r="C65" s="1" t="n">
        <v>45983</v>
      </c>
      <c r="D65" t="inlineStr">
        <is>
          <t>VÄSTRA GÖTALANDS LÄN</t>
        </is>
      </c>
      <c r="E65" t="inlineStr">
        <is>
          <t>ALE</t>
        </is>
      </c>
      <c r="G65" t="n">
        <v>1.9</v>
      </c>
      <c r="H65" t="n">
        <v>0</v>
      </c>
      <c r="I65" t="n">
        <v>0</v>
      </c>
      <c r="J65" t="n">
        <v>0</v>
      </c>
      <c r="K65" t="n">
        <v>0</v>
      </c>
      <c r="L65" t="n">
        <v>0</v>
      </c>
      <c r="M65" t="n">
        <v>0</v>
      </c>
      <c r="N65" t="n">
        <v>0</v>
      </c>
      <c r="O65" t="n">
        <v>0</v>
      </c>
      <c r="P65" t="n">
        <v>0</v>
      </c>
      <c r="Q65" t="n">
        <v>0</v>
      </c>
      <c r="R65" s="2" t="inlineStr"/>
    </row>
    <row r="66" ht="15" customHeight="1">
      <c r="A66" t="inlineStr">
        <is>
          <t>A 41607-2022</t>
        </is>
      </c>
      <c r="B66" s="1" t="n">
        <v>44827.46658564815</v>
      </c>
      <c r="C66" s="1" t="n">
        <v>45983</v>
      </c>
      <c r="D66" t="inlineStr">
        <is>
          <t>VÄSTRA GÖTALANDS LÄN</t>
        </is>
      </c>
      <c r="E66" t="inlineStr">
        <is>
          <t>ALE</t>
        </is>
      </c>
      <c r="G66" t="n">
        <v>3.6</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45983</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45983</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36763-2022</t>
        </is>
      </c>
      <c r="B69" s="1" t="n">
        <v>44805</v>
      </c>
      <c r="C69" s="1" t="n">
        <v>45983</v>
      </c>
      <c r="D69" t="inlineStr">
        <is>
          <t>VÄSTRA GÖTALANDS LÄN</t>
        </is>
      </c>
      <c r="E69" t="inlineStr">
        <is>
          <t>ALE</t>
        </is>
      </c>
      <c r="G69" t="n">
        <v>6.1</v>
      </c>
      <c r="H69" t="n">
        <v>0</v>
      </c>
      <c r="I69" t="n">
        <v>0</v>
      </c>
      <c r="J69" t="n">
        <v>0</v>
      </c>
      <c r="K69" t="n">
        <v>0</v>
      </c>
      <c r="L69" t="n">
        <v>0</v>
      </c>
      <c r="M69" t="n">
        <v>0</v>
      </c>
      <c r="N69" t="n">
        <v>0</v>
      </c>
      <c r="O69" t="n">
        <v>0</v>
      </c>
      <c r="P69" t="n">
        <v>0</v>
      </c>
      <c r="Q69" t="n">
        <v>0</v>
      </c>
      <c r="R69" s="2" t="inlineStr"/>
    </row>
    <row r="70" ht="15" customHeight="1">
      <c r="A70" t="inlineStr">
        <is>
          <t>A 22946-2025</t>
        </is>
      </c>
      <c r="B70" s="1" t="n">
        <v>45790.48229166667</v>
      </c>
      <c r="C70" s="1" t="n">
        <v>45983</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4971-2024</t>
        </is>
      </c>
      <c r="B71" s="1" t="n">
        <v>45329</v>
      </c>
      <c r="C71" s="1" t="n">
        <v>45983</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37461-2024</t>
        </is>
      </c>
      <c r="B72" s="1" t="n">
        <v>45540.72516203704</v>
      </c>
      <c r="C72" s="1" t="n">
        <v>45983</v>
      </c>
      <c r="D72" t="inlineStr">
        <is>
          <t>VÄSTRA GÖTALANDS LÄN</t>
        </is>
      </c>
      <c r="E72" t="inlineStr">
        <is>
          <t>ALE</t>
        </is>
      </c>
      <c r="G72" t="n">
        <v>1.6</v>
      </c>
      <c r="H72" t="n">
        <v>0</v>
      </c>
      <c r="I72" t="n">
        <v>0</v>
      </c>
      <c r="J72" t="n">
        <v>0</v>
      </c>
      <c r="K72" t="n">
        <v>0</v>
      </c>
      <c r="L72" t="n">
        <v>0</v>
      </c>
      <c r="M72" t="n">
        <v>0</v>
      </c>
      <c r="N72" t="n">
        <v>0</v>
      </c>
      <c r="O72" t="n">
        <v>0</v>
      </c>
      <c r="P72" t="n">
        <v>0</v>
      </c>
      <c r="Q72" t="n">
        <v>0</v>
      </c>
      <c r="R72" s="2" t="inlineStr"/>
    </row>
    <row r="73" ht="15" customHeight="1">
      <c r="A73" t="inlineStr">
        <is>
          <t>A 56493-2021</t>
        </is>
      </c>
      <c r="B73" s="1" t="n">
        <v>44480.57173611111</v>
      </c>
      <c r="C73" s="1" t="n">
        <v>45983</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45983</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5875-2023</t>
        </is>
      </c>
      <c r="B75" s="1" t="n">
        <v>44963</v>
      </c>
      <c r="C75" s="1" t="n">
        <v>45983</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3407-2023</t>
        </is>
      </c>
      <c r="B76" s="1" t="n">
        <v>44949.54909722223</v>
      </c>
      <c r="C76" s="1" t="n">
        <v>45983</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40074-2025</t>
        </is>
      </c>
      <c r="B77" s="1" t="n">
        <v>45894.44685185186</v>
      </c>
      <c r="C77" s="1" t="n">
        <v>45983</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51564-2023</t>
        </is>
      </c>
      <c r="B78" s="1" t="n">
        <v>45222</v>
      </c>
      <c r="C78" s="1" t="n">
        <v>45983</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25849-2025</t>
        </is>
      </c>
      <c r="B79" s="1" t="n">
        <v>45804</v>
      </c>
      <c r="C79" s="1" t="n">
        <v>45983</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25848-2025</t>
        </is>
      </c>
      <c r="B80" s="1" t="n">
        <v>45804</v>
      </c>
      <c r="C80" s="1" t="n">
        <v>45983</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25840-2025</t>
        </is>
      </c>
      <c r="B81" s="1" t="n">
        <v>45804</v>
      </c>
      <c r="C81" s="1" t="n">
        <v>45983</v>
      </c>
      <c r="D81" t="inlineStr">
        <is>
          <t>VÄSTRA GÖTALANDS LÄN</t>
        </is>
      </c>
      <c r="E81" t="inlineStr">
        <is>
          <t>ALE</t>
        </is>
      </c>
      <c r="G81" t="n">
        <v>3.8</v>
      </c>
      <c r="H81" t="n">
        <v>0</v>
      </c>
      <c r="I81" t="n">
        <v>0</v>
      </c>
      <c r="J81" t="n">
        <v>0</v>
      </c>
      <c r="K81" t="n">
        <v>0</v>
      </c>
      <c r="L81" t="n">
        <v>0</v>
      </c>
      <c r="M81" t="n">
        <v>0</v>
      </c>
      <c r="N81" t="n">
        <v>0</v>
      </c>
      <c r="O81" t="n">
        <v>0</v>
      </c>
      <c r="P81" t="n">
        <v>0</v>
      </c>
      <c r="Q81" t="n">
        <v>0</v>
      </c>
      <c r="R81" s="2" t="inlineStr"/>
    </row>
    <row r="82" ht="15" customHeight="1">
      <c r="A82" t="inlineStr">
        <is>
          <t>A 50189-2025</t>
        </is>
      </c>
      <c r="B82" s="1" t="n">
        <v>45943.63476851852</v>
      </c>
      <c r="C82" s="1" t="n">
        <v>45983</v>
      </c>
      <c r="D82" t="inlineStr">
        <is>
          <t>VÄSTRA GÖTALANDS LÄN</t>
        </is>
      </c>
      <c r="E82" t="inlineStr">
        <is>
          <t>ALE</t>
        </is>
      </c>
      <c r="G82" t="n">
        <v>3</v>
      </c>
      <c r="H82" t="n">
        <v>0</v>
      </c>
      <c r="I82" t="n">
        <v>0</v>
      </c>
      <c r="J82" t="n">
        <v>0</v>
      </c>
      <c r="K82" t="n">
        <v>0</v>
      </c>
      <c r="L82" t="n">
        <v>0</v>
      </c>
      <c r="M82" t="n">
        <v>0</v>
      </c>
      <c r="N82" t="n">
        <v>0</v>
      </c>
      <c r="O82" t="n">
        <v>0</v>
      </c>
      <c r="P82" t="n">
        <v>0</v>
      </c>
      <c r="Q82" t="n">
        <v>0</v>
      </c>
      <c r="R82" s="2" t="inlineStr"/>
    </row>
    <row r="83" ht="15" customHeight="1">
      <c r="A83" t="inlineStr">
        <is>
          <t>A 36403-2024</t>
        </is>
      </c>
      <c r="B83" s="1" t="n">
        <v>45535.69445601852</v>
      </c>
      <c r="C83" s="1" t="n">
        <v>45983</v>
      </c>
      <c r="D83" t="inlineStr">
        <is>
          <t>VÄSTRA GÖTALANDS LÄN</t>
        </is>
      </c>
      <c r="E83" t="inlineStr">
        <is>
          <t>ALE</t>
        </is>
      </c>
      <c r="G83" t="n">
        <v>0.6</v>
      </c>
      <c r="H83" t="n">
        <v>0</v>
      </c>
      <c r="I83" t="n">
        <v>0</v>
      </c>
      <c r="J83" t="n">
        <v>0</v>
      </c>
      <c r="K83" t="n">
        <v>0</v>
      </c>
      <c r="L83" t="n">
        <v>0</v>
      </c>
      <c r="M83" t="n">
        <v>0</v>
      </c>
      <c r="N83" t="n">
        <v>0</v>
      </c>
      <c r="O83" t="n">
        <v>0</v>
      </c>
      <c r="P83" t="n">
        <v>0</v>
      </c>
      <c r="Q83" t="n">
        <v>0</v>
      </c>
      <c r="R83" s="2" t="inlineStr"/>
    </row>
    <row r="84" ht="15" customHeight="1">
      <c r="A84" t="inlineStr">
        <is>
          <t>A 55405-2021</t>
        </is>
      </c>
      <c r="B84" s="1" t="n">
        <v>44475.53733796296</v>
      </c>
      <c r="C84" s="1" t="n">
        <v>45983</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8659-2025</t>
        </is>
      </c>
      <c r="B85" s="1" t="n">
        <v>45712</v>
      </c>
      <c r="C85" s="1" t="n">
        <v>45983</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5344-2024</t>
        </is>
      </c>
      <c r="B86" s="1" t="n">
        <v>45331</v>
      </c>
      <c r="C86" s="1" t="n">
        <v>45983</v>
      </c>
      <c r="D86" t="inlineStr">
        <is>
          <t>VÄSTRA GÖTALANDS LÄN</t>
        </is>
      </c>
      <c r="E86" t="inlineStr">
        <is>
          <t>ALE</t>
        </is>
      </c>
      <c r="G86" t="n">
        <v>2.5</v>
      </c>
      <c r="H86" t="n">
        <v>0</v>
      </c>
      <c r="I86" t="n">
        <v>0</v>
      </c>
      <c r="J86" t="n">
        <v>0</v>
      </c>
      <c r="K86" t="n">
        <v>0</v>
      </c>
      <c r="L86" t="n">
        <v>0</v>
      </c>
      <c r="M86" t="n">
        <v>0</v>
      </c>
      <c r="N86" t="n">
        <v>0</v>
      </c>
      <c r="O86" t="n">
        <v>0</v>
      </c>
      <c r="P86" t="n">
        <v>0</v>
      </c>
      <c r="Q86" t="n">
        <v>0</v>
      </c>
      <c r="R86" s="2" t="inlineStr"/>
    </row>
    <row r="87" ht="15" customHeight="1">
      <c r="A87" t="inlineStr">
        <is>
          <t>A 18637-2023</t>
        </is>
      </c>
      <c r="B87" s="1" t="n">
        <v>45043</v>
      </c>
      <c r="C87" s="1" t="n">
        <v>45983</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59933-2023</t>
        </is>
      </c>
      <c r="B88" s="1" t="n">
        <v>45257</v>
      </c>
      <c r="C88" s="1" t="n">
        <v>45983</v>
      </c>
      <c r="D88" t="inlineStr">
        <is>
          <t>VÄSTRA GÖTALANDS LÄN</t>
        </is>
      </c>
      <c r="E88" t="inlineStr">
        <is>
          <t>ALE</t>
        </is>
      </c>
      <c r="G88" t="n">
        <v>2.7</v>
      </c>
      <c r="H88" t="n">
        <v>0</v>
      </c>
      <c r="I88" t="n">
        <v>0</v>
      </c>
      <c r="J88" t="n">
        <v>0</v>
      </c>
      <c r="K88" t="n">
        <v>0</v>
      </c>
      <c r="L88" t="n">
        <v>0</v>
      </c>
      <c r="M88" t="n">
        <v>0</v>
      </c>
      <c r="N88" t="n">
        <v>0</v>
      </c>
      <c r="O88" t="n">
        <v>0</v>
      </c>
      <c r="P88" t="n">
        <v>0</v>
      </c>
      <c r="Q88" t="n">
        <v>0</v>
      </c>
      <c r="R88" s="2" t="inlineStr"/>
    </row>
    <row r="89" ht="15" customHeight="1">
      <c r="A89" t="inlineStr">
        <is>
          <t>A 50973-2025</t>
        </is>
      </c>
      <c r="B89" s="1" t="n">
        <v>45947.31263888889</v>
      </c>
      <c r="C89" s="1" t="n">
        <v>45983</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13426-2025</t>
        </is>
      </c>
      <c r="B90" s="1" t="n">
        <v>45736.32780092592</v>
      </c>
      <c r="C90" s="1" t="n">
        <v>45983</v>
      </c>
      <c r="D90" t="inlineStr">
        <is>
          <t>VÄSTRA GÖTALANDS LÄN</t>
        </is>
      </c>
      <c r="E90" t="inlineStr">
        <is>
          <t>ALE</t>
        </is>
      </c>
      <c r="G90" t="n">
        <v>1.5</v>
      </c>
      <c r="H90" t="n">
        <v>0</v>
      </c>
      <c r="I90" t="n">
        <v>0</v>
      </c>
      <c r="J90" t="n">
        <v>0</v>
      </c>
      <c r="K90" t="n">
        <v>0</v>
      </c>
      <c r="L90" t="n">
        <v>0</v>
      </c>
      <c r="M90" t="n">
        <v>0</v>
      </c>
      <c r="N90" t="n">
        <v>0</v>
      </c>
      <c r="O90" t="n">
        <v>0</v>
      </c>
      <c r="P90" t="n">
        <v>0</v>
      </c>
      <c r="Q90" t="n">
        <v>0</v>
      </c>
      <c r="R90" s="2" t="inlineStr"/>
    </row>
    <row r="91" ht="15" customHeight="1">
      <c r="A91" t="inlineStr">
        <is>
          <t>A 51976-2025</t>
        </is>
      </c>
      <c r="B91" s="1" t="n">
        <v>45952.56412037037</v>
      </c>
      <c r="C91" s="1" t="n">
        <v>45983</v>
      </c>
      <c r="D91" t="inlineStr">
        <is>
          <t>VÄSTRA GÖTALANDS LÄN</t>
        </is>
      </c>
      <c r="E91" t="inlineStr">
        <is>
          <t>ALE</t>
        </is>
      </c>
      <c r="G91" t="n">
        <v>5.2</v>
      </c>
      <c r="H91" t="n">
        <v>0</v>
      </c>
      <c r="I91" t="n">
        <v>0</v>
      </c>
      <c r="J91" t="n">
        <v>0</v>
      </c>
      <c r="K91" t="n">
        <v>0</v>
      </c>
      <c r="L91" t="n">
        <v>0</v>
      </c>
      <c r="M91" t="n">
        <v>0</v>
      </c>
      <c r="N91" t="n">
        <v>0</v>
      </c>
      <c r="O91" t="n">
        <v>0</v>
      </c>
      <c r="P91" t="n">
        <v>0</v>
      </c>
      <c r="Q91" t="n">
        <v>0</v>
      </c>
      <c r="R91" s="2" t="inlineStr"/>
    </row>
    <row r="92" ht="15" customHeight="1">
      <c r="A92" t="inlineStr">
        <is>
          <t>A 29373-2025</t>
        </is>
      </c>
      <c r="B92" s="1" t="n">
        <v>45824.579375</v>
      </c>
      <c r="C92" s="1" t="n">
        <v>45983</v>
      </c>
      <c r="D92" t="inlineStr">
        <is>
          <t>VÄSTRA GÖTALANDS LÄN</t>
        </is>
      </c>
      <c r="E92" t="inlineStr">
        <is>
          <t>ALE</t>
        </is>
      </c>
      <c r="G92" t="n">
        <v>4.6</v>
      </c>
      <c r="H92" t="n">
        <v>0</v>
      </c>
      <c r="I92" t="n">
        <v>0</v>
      </c>
      <c r="J92" t="n">
        <v>0</v>
      </c>
      <c r="K92" t="n">
        <v>0</v>
      </c>
      <c r="L92" t="n">
        <v>0</v>
      </c>
      <c r="M92" t="n">
        <v>0</v>
      </c>
      <c r="N92" t="n">
        <v>0</v>
      </c>
      <c r="O92" t="n">
        <v>0</v>
      </c>
      <c r="P92" t="n">
        <v>0</v>
      </c>
      <c r="Q92" t="n">
        <v>0</v>
      </c>
      <c r="R92" s="2" t="inlineStr"/>
    </row>
    <row r="93" ht="15" customHeight="1">
      <c r="A93" t="inlineStr">
        <is>
          <t>A 52391-2025</t>
        </is>
      </c>
      <c r="B93" s="1" t="n">
        <v>45954.34305555555</v>
      </c>
      <c r="C93" s="1" t="n">
        <v>45983</v>
      </c>
      <c r="D93" t="inlineStr">
        <is>
          <t>VÄSTRA GÖTALANDS LÄN</t>
        </is>
      </c>
      <c r="E93" t="inlineStr">
        <is>
          <t>ALE</t>
        </is>
      </c>
      <c r="G93" t="n">
        <v>10.6</v>
      </c>
      <c r="H93" t="n">
        <v>0</v>
      </c>
      <c r="I93" t="n">
        <v>0</v>
      </c>
      <c r="J93" t="n">
        <v>0</v>
      </c>
      <c r="K93" t="n">
        <v>0</v>
      </c>
      <c r="L93" t="n">
        <v>0</v>
      </c>
      <c r="M93" t="n">
        <v>0</v>
      </c>
      <c r="N93" t="n">
        <v>0</v>
      </c>
      <c r="O93" t="n">
        <v>0</v>
      </c>
      <c r="P93" t="n">
        <v>0</v>
      </c>
      <c r="Q93" t="n">
        <v>0</v>
      </c>
      <c r="R93" s="2" t="inlineStr"/>
    </row>
    <row r="94" ht="15" customHeight="1">
      <c r="A94" t="inlineStr">
        <is>
          <t>A 24642-2022</t>
        </is>
      </c>
      <c r="B94" s="1" t="n">
        <v>44727.59578703704</v>
      </c>
      <c r="C94" s="1" t="n">
        <v>45983</v>
      </c>
      <c r="D94" t="inlineStr">
        <is>
          <t>VÄSTRA GÖTALANDS LÄN</t>
        </is>
      </c>
      <c r="E94" t="inlineStr">
        <is>
          <t>ALE</t>
        </is>
      </c>
      <c r="G94" t="n">
        <v>10</v>
      </c>
      <c r="H94" t="n">
        <v>0</v>
      </c>
      <c r="I94" t="n">
        <v>0</v>
      </c>
      <c r="J94" t="n">
        <v>0</v>
      </c>
      <c r="K94" t="n">
        <v>0</v>
      </c>
      <c r="L94" t="n">
        <v>0</v>
      </c>
      <c r="M94" t="n">
        <v>0</v>
      </c>
      <c r="N94" t="n">
        <v>0</v>
      </c>
      <c r="O94" t="n">
        <v>0</v>
      </c>
      <c r="P94" t="n">
        <v>0</v>
      </c>
      <c r="Q94" t="n">
        <v>0</v>
      </c>
      <c r="R94" s="2" t="inlineStr"/>
    </row>
    <row r="95" ht="15" customHeight="1">
      <c r="A95" t="inlineStr">
        <is>
          <t>A 13382-2025</t>
        </is>
      </c>
      <c r="B95" s="1" t="n">
        <v>45735.67928240741</v>
      </c>
      <c r="C95" s="1" t="n">
        <v>45983</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52423-2025</t>
        </is>
      </c>
      <c r="B96" s="1" t="n">
        <v>45954.37650462963</v>
      </c>
      <c r="C96" s="1" t="n">
        <v>45983</v>
      </c>
      <c r="D96" t="inlineStr">
        <is>
          <t>VÄSTRA GÖTALANDS LÄN</t>
        </is>
      </c>
      <c r="E96" t="inlineStr">
        <is>
          <t>ALE</t>
        </is>
      </c>
      <c r="G96" t="n">
        <v>4.1</v>
      </c>
      <c r="H96" t="n">
        <v>0</v>
      </c>
      <c r="I96" t="n">
        <v>0</v>
      </c>
      <c r="J96" t="n">
        <v>0</v>
      </c>
      <c r="K96" t="n">
        <v>0</v>
      </c>
      <c r="L96" t="n">
        <v>0</v>
      </c>
      <c r="M96" t="n">
        <v>0</v>
      </c>
      <c r="N96" t="n">
        <v>0</v>
      </c>
      <c r="O96" t="n">
        <v>0</v>
      </c>
      <c r="P96" t="n">
        <v>0</v>
      </c>
      <c r="Q96" t="n">
        <v>0</v>
      </c>
      <c r="R96" s="2" t="inlineStr"/>
    </row>
    <row r="97" ht="15" customHeight="1">
      <c r="A97" t="inlineStr">
        <is>
          <t>A 13903-2025</t>
        </is>
      </c>
      <c r="B97" s="1" t="n">
        <v>45737.63481481482</v>
      </c>
      <c r="C97" s="1" t="n">
        <v>45983</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31407-2025</t>
        </is>
      </c>
      <c r="B98" s="1" t="n">
        <v>45833</v>
      </c>
      <c r="C98" s="1" t="n">
        <v>45983</v>
      </c>
      <c r="D98" t="inlineStr">
        <is>
          <t>VÄSTRA GÖTALANDS LÄN</t>
        </is>
      </c>
      <c r="E98" t="inlineStr">
        <is>
          <t>ALE</t>
        </is>
      </c>
      <c r="G98" t="n">
        <v>0.8</v>
      </c>
      <c r="H98" t="n">
        <v>0</v>
      </c>
      <c r="I98" t="n">
        <v>0</v>
      </c>
      <c r="J98" t="n">
        <v>0</v>
      </c>
      <c r="K98" t="n">
        <v>0</v>
      </c>
      <c r="L98" t="n">
        <v>0</v>
      </c>
      <c r="M98" t="n">
        <v>0</v>
      </c>
      <c r="N98" t="n">
        <v>0</v>
      </c>
      <c r="O98" t="n">
        <v>0</v>
      </c>
      <c r="P98" t="n">
        <v>0</v>
      </c>
      <c r="Q98" t="n">
        <v>0</v>
      </c>
      <c r="R98" s="2" t="inlineStr"/>
    </row>
    <row r="99" ht="15" customHeight="1">
      <c r="A99" t="inlineStr">
        <is>
          <t>A 31409-2025</t>
        </is>
      </c>
      <c r="B99" s="1" t="n">
        <v>45833</v>
      </c>
      <c r="C99" s="1" t="n">
        <v>45983</v>
      </c>
      <c r="D99" t="inlineStr">
        <is>
          <t>VÄSTRA GÖTALANDS LÄN</t>
        </is>
      </c>
      <c r="E99" t="inlineStr">
        <is>
          <t>ALE</t>
        </is>
      </c>
      <c r="G99" t="n">
        <v>0.8</v>
      </c>
      <c r="H99" t="n">
        <v>0</v>
      </c>
      <c r="I99" t="n">
        <v>0</v>
      </c>
      <c r="J99" t="n">
        <v>0</v>
      </c>
      <c r="K99" t="n">
        <v>0</v>
      </c>
      <c r="L99" t="n">
        <v>0</v>
      </c>
      <c r="M99" t="n">
        <v>0</v>
      </c>
      <c r="N99" t="n">
        <v>0</v>
      </c>
      <c r="O99" t="n">
        <v>0</v>
      </c>
      <c r="P99" t="n">
        <v>0</v>
      </c>
      <c r="Q99" t="n">
        <v>0</v>
      </c>
      <c r="R99" s="2" t="inlineStr"/>
    </row>
    <row r="100" ht="15" customHeight="1">
      <c r="A100" t="inlineStr">
        <is>
          <t>A 31533-2025</t>
        </is>
      </c>
      <c r="B100" s="1" t="n">
        <v>45833</v>
      </c>
      <c r="C100" s="1" t="n">
        <v>45983</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31488-2025</t>
        </is>
      </c>
      <c r="B101" s="1" t="n">
        <v>45833</v>
      </c>
      <c r="C101" s="1" t="n">
        <v>45983</v>
      </c>
      <c r="D101" t="inlineStr">
        <is>
          <t>VÄSTRA GÖTALANDS LÄN</t>
        </is>
      </c>
      <c r="E101" t="inlineStr">
        <is>
          <t>ALE</t>
        </is>
      </c>
      <c r="G101" t="n">
        <v>1.8</v>
      </c>
      <c r="H101" t="n">
        <v>0</v>
      </c>
      <c r="I101" t="n">
        <v>0</v>
      </c>
      <c r="J101" t="n">
        <v>0</v>
      </c>
      <c r="K101" t="n">
        <v>0</v>
      </c>
      <c r="L101" t="n">
        <v>0</v>
      </c>
      <c r="M101" t="n">
        <v>0</v>
      </c>
      <c r="N101" t="n">
        <v>0</v>
      </c>
      <c r="O101" t="n">
        <v>0</v>
      </c>
      <c r="P101" t="n">
        <v>0</v>
      </c>
      <c r="Q101" t="n">
        <v>0</v>
      </c>
      <c r="R101" s="2" t="inlineStr"/>
    </row>
    <row r="102" ht="15" customHeight="1">
      <c r="A102" t="inlineStr">
        <is>
          <t>A 26083-2023</t>
        </is>
      </c>
      <c r="B102" s="1" t="n">
        <v>45091</v>
      </c>
      <c r="C102" s="1" t="n">
        <v>45983</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46226-2025</t>
        </is>
      </c>
      <c r="B103" s="1" t="n">
        <v>45924</v>
      </c>
      <c r="C103" s="1" t="n">
        <v>45983</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46227-2025</t>
        </is>
      </c>
      <c r="B104" s="1" t="n">
        <v>45924.90386574074</v>
      </c>
      <c r="C104" s="1" t="n">
        <v>45983</v>
      </c>
      <c r="D104" t="inlineStr">
        <is>
          <t>VÄSTRA GÖTALANDS LÄN</t>
        </is>
      </c>
      <c r="E104" t="inlineStr">
        <is>
          <t>ALE</t>
        </is>
      </c>
      <c r="G104" t="n">
        <v>0.3</v>
      </c>
      <c r="H104" t="n">
        <v>0</v>
      </c>
      <c r="I104" t="n">
        <v>0</v>
      </c>
      <c r="J104" t="n">
        <v>0</v>
      </c>
      <c r="K104" t="n">
        <v>0</v>
      </c>
      <c r="L104" t="n">
        <v>0</v>
      </c>
      <c r="M104" t="n">
        <v>0</v>
      </c>
      <c r="N104" t="n">
        <v>0</v>
      </c>
      <c r="O104" t="n">
        <v>0</v>
      </c>
      <c r="P104" t="n">
        <v>0</v>
      </c>
      <c r="Q104" t="n">
        <v>0</v>
      </c>
      <c r="R104" s="2" t="inlineStr"/>
    </row>
    <row r="105" ht="15" customHeight="1">
      <c r="A105" t="inlineStr">
        <is>
          <t>A 47330-2025</t>
        </is>
      </c>
      <c r="B105" s="1" t="n">
        <v>45930.56170138889</v>
      </c>
      <c r="C105" s="1" t="n">
        <v>45983</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47592-2025</t>
        </is>
      </c>
      <c r="B106" s="1" t="n">
        <v>45931.44649305556</v>
      </c>
      <c r="C106" s="1" t="n">
        <v>45983</v>
      </c>
      <c r="D106" t="inlineStr">
        <is>
          <t>VÄSTRA GÖTALANDS LÄN</t>
        </is>
      </c>
      <c r="E106" t="inlineStr">
        <is>
          <t>ALE</t>
        </is>
      </c>
      <c r="G106" t="n">
        <v>0.6</v>
      </c>
      <c r="H106" t="n">
        <v>0</v>
      </c>
      <c r="I106" t="n">
        <v>0</v>
      </c>
      <c r="J106" t="n">
        <v>0</v>
      </c>
      <c r="K106" t="n">
        <v>0</v>
      </c>
      <c r="L106" t="n">
        <v>0</v>
      </c>
      <c r="M106" t="n">
        <v>0</v>
      </c>
      <c r="N106" t="n">
        <v>0</v>
      </c>
      <c r="O106" t="n">
        <v>0</v>
      </c>
      <c r="P106" t="n">
        <v>0</v>
      </c>
      <c r="Q106" t="n">
        <v>0</v>
      </c>
      <c r="R106" s="2" t="inlineStr"/>
    </row>
    <row r="107" ht="15" customHeight="1">
      <c r="A107" t="inlineStr">
        <is>
          <t>A 35959-2022</t>
        </is>
      </c>
      <c r="B107" s="1" t="n">
        <v>44802.57002314815</v>
      </c>
      <c r="C107" s="1" t="n">
        <v>45983</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47593-2025</t>
        </is>
      </c>
      <c r="B108" s="1" t="n">
        <v>45931.4480787037</v>
      </c>
      <c r="C108" s="1" t="n">
        <v>45983</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47728-2025</t>
        </is>
      </c>
      <c r="B109" s="1" t="n">
        <v>45931.63186342592</v>
      </c>
      <c r="C109" s="1" t="n">
        <v>45983</v>
      </c>
      <c r="D109" t="inlineStr">
        <is>
          <t>VÄSTRA GÖTALANDS LÄN</t>
        </is>
      </c>
      <c r="E109" t="inlineStr">
        <is>
          <t>ALE</t>
        </is>
      </c>
      <c r="G109" t="n">
        <v>1.1</v>
      </c>
      <c r="H109" t="n">
        <v>0</v>
      </c>
      <c r="I109" t="n">
        <v>0</v>
      </c>
      <c r="J109" t="n">
        <v>0</v>
      </c>
      <c r="K109" t="n">
        <v>0</v>
      </c>
      <c r="L109" t="n">
        <v>0</v>
      </c>
      <c r="M109" t="n">
        <v>0</v>
      </c>
      <c r="N109" t="n">
        <v>0</v>
      </c>
      <c r="O109" t="n">
        <v>0</v>
      </c>
      <c r="P109" t="n">
        <v>0</v>
      </c>
      <c r="Q109" t="n">
        <v>0</v>
      </c>
      <c r="R109" s="2" t="inlineStr"/>
    </row>
    <row r="110" ht="15" customHeight="1">
      <c r="A110" t="inlineStr">
        <is>
          <t>A 57473-2022</t>
        </is>
      </c>
      <c r="B110" s="1" t="n">
        <v>44896</v>
      </c>
      <c r="C110" s="1" t="n">
        <v>45983</v>
      </c>
      <c r="D110" t="inlineStr">
        <is>
          <t>VÄSTRA GÖTALANDS LÄN</t>
        </is>
      </c>
      <c r="E110" t="inlineStr">
        <is>
          <t>ALE</t>
        </is>
      </c>
      <c r="G110" t="n">
        <v>0.7</v>
      </c>
      <c r="H110" t="n">
        <v>0</v>
      </c>
      <c r="I110" t="n">
        <v>0</v>
      </c>
      <c r="J110" t="n">
        <v>0</v>
      </c>
      <c r="K110" t="n">
        <v>0</v>
      </c>
      <c r="L110" t="n">
        <v>0</v>
      </c>
      <c r="M110" t="n">
        <v>0</v>
      </c>
      <c r="N110" t="n">
        <v>0</v>
      </c>
      <c r="O110" t="n">
        <v>0</v>
      </c>
      <c r="P110" t="n">
        <v>0</v>
      </c>
      <c r="Q110" t="n">
        <v>0</v>
      </c>
      <c r="R110" s="2" t="inlineStr"/>
    </row>
    <row r="111" ht="15" customHeight="1">
      <c r="A111" t="inlineStr">
        <is>
          <t>A 56905-2025</t>
        </is>
      </c>
      <c r="B111" s="1" t="n">
        <v>45978.57502314815</v>
      </c>
      <c r="C111" s="1" t="n">
        <v>45983</v>
      </c>
      <c r="D111" t="inlineStr">
        <is>
          <t>VÄSTRA GÖTALANDS LÄN</t>
        </is>
      </c>
      <c r="E111" t="inlineStr">
        <is>
          <t>ALE</t>
        </is>
      </c>
      <c r="G111" t="n">
        <v>5.2</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45983</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200-2022</t>
        </is>
      </c>
      <c r="B113" s="1" t="n">
        <v>44564</v>
      </c>
      <c r="C113" s="1" t="n">
        <v>45983</v>
      </c>
      <c r="D113" t="inlineStr">
        <is>
          <t>VÄSTRA GÖTALANDS LÄN</t>
        </is>
      </c>
      <c r="E113" t="inlineStr">
        <is>
          <t>ALE</t>
        </is>
      </c>
      <c r="G113" t="n">
        <v>6.8</v>
      </c>
      <c r="H113" t="n">
        <v>0</v>
      </c>
      <c r="I113" t="n">
        <v>0</v>
      </c>
      <c r="J113" t="n">
        <v>0</v>
      </c>
      <c r="K113" t="n">
        <v>0</v>
      </c>
      <c r="L113" t="n">
        <v>0</v>
      </c>
      <c r="M113" t="n">
        <v>0</v>
      </c>
      <c r="N113" t="n">
        <v>0</v>
      </c>
      <c r="O113" t="n">
        <v>0</v>
      </c>
      <c r="P113" t="n">
        <v>0</v>
      </c>
      <c r="Q113" t="n">
        <v>0</v>
      </c>
      <c r="R113" s="2" t="inlineStr"/>
    </row>
    <row r="114" ht="15" customHeight="1">
      <c r="A114" t="inlineStr">
        <is>
          <t>A 17044-2025</t>
        </is>
      </c>
      <c r="B114" s="1" t="n">
        <v>45755.58891203703</v>
      </c>
      <c r="C114" s="1" t="n">
        <v>45983</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45983</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49955-2021</t>
        </is>
      </c>
      <c r="B116" s="1" t="n">
        <v>44456</v>
      </c>
      <c r="C116" s="1" t="n">
        <v>45983</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48213-2025</t>
        </is>
      </c>
      <c r="B117" s="1" t="n">
        <v>45933</v>
      </c>
      <c r="C117" s="1" t="n">
        <v>45983</v>
      </c>
      <c r="D117" t="inlineStr">
        <is>
          <t>VÄSTRA GÖTALANDS LÄN</t>
        </is>
      </c>
      <c r="E117" t="inlineStr">
        <is>
          <t>ALE</t>
        </is>
      </c>
      <c r="G117" t="n">
        <v>3.3</v>
      </c>
      <c r="H117" t="n">
        <v>0</v>
      </c>
      <c r="I117" t="n">
        <v>0</v>
      </c>
      <c r="J117" t="n">
        <v>0</v>
      </c>
      <c r="K117" t="n">
        <v>0</v>
      </c>
      <c r="L117" t="n">
        <v>0</v>
      </c>
      <c r="M117" t="n">
        <v>0</v>
      </c>
      <c r="N117" t="n">
        <v>0</v>
      </c>
      <c r="O117" t="n">
        <v>0</v>
      </c>
      <c r="P117" t="n">
        <v>0</v>
      </c>
      <c r="Q117" t="n">
        <v>0</v>
      </c>
      <c r="R117" s="2" t="inlineStr"/>
    </row>
    <row r="118" ht="15" customHeight="1">
      <c r="A118" t="inlineStr">
        <is>
          <t>A 48218-2025</t>
        </is>
      </c>
      <c r="B118" s="1" t="n">
        <v>45933</v>
      </c>
      <c r="C118" s="1" t="n">
        <v>45983</v>
      </c>
      <c r="D118" t="inlineStr">
        <is>
          <t>VÄSTRA GÖTALANDS LÄN</t>
        </is>
      </c>
      <c r="E118" t="inlineStr">
        <is>
          <t>ALE</t>
        </is>
      </c>
      <c r="G118" t="n">
        <v>1.4</v>
      </c>
      <c r="H118" t="n">
        <v>0</v>
      </c>
      <c r="I118" t="n">
        <v>0</v>
      </c>
      <c r="J118" t="n">
        <v>0</v>
      </c>
      <c r="K118" t="n">
        <v>0</v>
      </c>
      <c r="L118" t="n">
        <v>0</v>
      </c>
      <c r="M118" t="n">
        <v>0</v>
      </c>
      <c r="N118" t="n">
        <v>0</v>
      </c>
      <c r="O118" t="n">
        <v>0</v>
      </c>
      <c r="P118" t="n">
        <v>0</v>
      </c>
      <c r="Q118" t="n">
        <v>0</v>
      </c>
      <c r="R118" s="2" t="inlineStr"/>
    </row>
    <row r="119" ht="15" customHeight="1">
      <c r="A119" t="inlineStr">
        <is>
          <t>A 34104-2024</t>
        </is>
      </c>
      <c r="B119" s="1" t="n">
        <v>45523.79202546296</v>
      </c>
      <c r="C119" s="1" t="n">
        <v>45983</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44858.47591435185</v>
      </c>
      <c r="C120" s="1" t="n">
        <v>45983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18999-2021</t>
        </is>
      </c>
      <c r="B121" s="1" t="n">
        <v>44308</v>
      </c>
      <c r="C121" s="1" t="n">
        <v>45983</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1687-2024</t>
        </is>
      </c>
      <c r="B122" s="1" t="n">
        <v>45306</v>
      </c>
      <c r="C122" s="1" t="n">
        <v>45983</v>
      </c>
      <c r="D122" t="inlineStr">
        <is>
          <t>VÄSTRA GÖTALANDS LÄN</t>
        </is>
      </c>
      <c r="E122" t="inlineStr">
        <is>
          <t>ALE</t>
        </is>
      </c>
      <c r="G122" t="n">
        <v>3.4</v>
      </c>
      <c r="H122" t="n">
        <v>0</v>
      </c>
      <c r="I122" t="n">
        <v>0</v>
      </c>
      <c r="J122" t="n">
        <v>0</v>
      </c>
      <c r="K122" t="n">
        <v>0</v>
      </c>
      <c r="L122" t="n">
        <v>0</v>
      </c>
      <c r="M122" t="n">
        <v>0</v>
      </c>
      <c r="N122" t="n">
        <v>0</v>
      </c>
      <c r="O122" t="n">
        <v>0</v>
      </c>
      <c r="P122" t="n">
        <v>0</v>
      </c>
      <c r="Q122" t="n">
        <v>0</v>
      </c>
      <c r="R122" s="2" t="inlineStr"/>
    </row>
    <row r="123" ht="15" customHeight="1">
      <c r="A123" t="inlineStr">
        <is>
          <t>A 50451-2024</t>
        </is>
      </c>
      <c r="B123" s="1" t="n">
        <v>45601.44248842593</v>
      </c>
      <c r="C123" s="1" t="n">
        <v>45983</v>
      </c>
      <c r="D123" t="inlineStr">
        <is>
          <t>VÄSTRA GÖTALANDS LÄN</t>
        </is>
      </c>
      <c r="E123" t="inlineStr">
        <is>
          <t>ALE</t>
        </is>
      </c>
      <c r="G123" t="n">
        <v>2.9</v>
      </c>
      <c r="H123" t="n">
        <v>0</v>
      </c>
      <c r="I123" t="n">
        <v>0</v>
      </c>
      <c r="J123" t="n">
        <v>0</v>
      </c>
      <c r="K123" t="n">
        <v>0</v>
      </c>
      <c r="L123" t="n">
        <v>0</v>
      </c>
      <c r="M123" t="n">
        <v>0</v>
      </c>
      <c r="N123" t="n">
        <v>0</v>
      </c>
      <c r="O123" t="n">
        <v>0</v>
      </c>
      <c r="P123" t="n">
        <v>0</v>
      </c>
      <c r="Q123" t="n">
        <v>0</v>
      </c>
      <c r="R123" s="2" t="inlineStr"/>
    </row>
    <row r="124" ht="15" customHeight="1">
      <c r="A124" t="inlineStr">
        <is>
          <t>A 49680-2024</t>
        </is>
      </c>
      <c r="B124" s="1" t="n">
        <v>45596.66880787037</v>
      </c>
      <c r="C124" s="1" t="n">
        <v>45983</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7807-2023</t>
        </is>
      </c>
      <c r="B125" s="1" t="n">
        <v>44973</v>
      </c>
      <c r="C125" s="1" t="n">
        <v>45983</v>
      </c>
      <c r="D125" t="inlineStr">
        <is>
          <t>VÄSTRA GÖTALANDS LÄN</t>
        </is>
      </c>
      <c r="E125" t="inlineStr">
        <is>
          <t>ALE</t>
        </is>
      </c>
      <c r="G125" t="n">
        <v>10.5</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45983</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42446-2023</t>
        </is>
      </c>
      <c r="B127" s="1" t="n">
        <v>45180</v>
      </c>
      <c r="C127" s="1" t="n">
        <v>45983</v>
      </c>
      <c r="D127" t="inlineStr">
        <is>
          <t>VÄSTRA GÖTALANDS LÄN</t>
        </is>
      </c>
      <c r="E127" t="inlineStr">
        <is>
          <t>ALE</t>
        </is>
      </c>
      <c r="G127" t="n">
        <v>0.8</v>
      </c>
      <c r="H127" t="n">
        <v>0</v>
      </c>
      <c r="I127" t="n">
        <v>0</v>
      </c>
      <c r="J127" t="n">
        <v>0</v>
      </c>
      <c r="K127" t="n">
        <v>0</v>
      </c>
      <c r="L127" t="n">
        <v>0</v>
      </c>
      <c r="M127" t="n">
        <v>0</v>
      </c>
      <c r="N127" t="n">
        <v>0</v>
      </c>
      <c r="O127" t="n">
        <v>0</v>
      </c>
      <c r="P127" t="n">
        <v>0</v>
      </c>
      <c r="Q127" t="n">
        <v>0</v>
      </c>
      <c r="R127" s="2" t="inlineStr"/>
    </row>
    <row r="128" ht="15" customHeight="1">
      <c r="A128" t="inlineStr">
        <is>
          <t>A 67160-2021</t>
        </is>
      </c>
      <c r="B128" s="1" t="n">
        <v>44523</v>
      </c>
      <c r="C128" s="1" t="n">
        <v>45983</v>
      </c>
      <c r="D128" t="inlineStr">
        <is>
          <t>VÄSTRA GÖTALANDS LÄN</t>
        </is>
      </c>
      <c r="E128" t="inlineStr">
        <is>
          <t>ALE</t>
        </is>
      </c>
      <c r="G128" t="n">
        <v>2.2</v>
      </c>
      <c r="H128" t="n">
        <v>0</v>
      </c>
      <c r="I128" t="n">
        <v>0</v>
      </c>
      <c r="J128" t="n">
        <v>0</v>
      </c>
      <c r="K128" t="n">
        <v>0</v>
      </c>
      <c r="L128" t="n">
        <v>0</v>
      </c>
      <c r="M128" t="n">
        <v>0</v>
      </c>
      <c r="N128" t="n">
        <v>0</v>
      </c>
      <c r="O128" t="n">
        <v>0</v>
      </c>
      <c r="P128" t="n">
        <v>0</v>
      </c>
      <c r="Q128" t="n">
        <v>0</v>
      </c>
      <c r="R128" s="2" t="inlineStr"/>
    </row>
    <row r="129" ht="15" customHeight="1">
      <c r="A129" t="inlineStr">
        <is>
          <t>A 16344-2023</t>
        </is>
      </c>
      <c r="B129" s="1" t="n">
        <v>45028</v>
      </c>
      <c r="C129" s="1" t="n">
        <v>45983</v>
      </c>
      <c r="D129" t="inlineStr">
        <is>
          <t>VÄSTRA GÖTALANDS LÄN</t>
        </is>
      </c>
      <c r="E129" t="inlineStr">
        <is>
          <t>ALE</t>
        </is>
      </c>
      <c r="G129" t="n">
        <v>6.6</v>
      </c>
      <c r="H129" t="n">
        <v>0</v>
      </c>
      <c r="I129" t="n">
        <v>0</v>
      </c>
      <c r="J129" t="n">
        <v>0</v>
      </c>
      <c r="K129" t="n">
        <v>0</v>
      </c>
      <c r="L129" t="n">
        <v>0</v>
      </c>
      <c r="M129" t="n">
        <v>0</v>
      </c>
      <c r="N129" t="n">
        <v>0</v>
      </c>
      <c r="O129" t="n">
        <v>0</v>
      </c>
      <c r="P129" t="n">
        <v>0</v>
      </c>
      <c r="Q129" t="n">
        <v>0</v>
      </c>
      <c r="R129" s="2" t="inlineStr"/>
    </row>
    <row r="130" ht="15" customHeight="1">
      <c r="A130" t="inlineStr">
        <is>
          <t>A 32762-2023</t>
        </is>
      </c>
      <c r="B130" s="1" t="n">
        <v>45123.46649305556</v>
      </c>
      <c r="C130" s="1" t="n">
        <v>45983</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41598-2022</t>
        </is>
      </c>
      <c r="B131" s="1" t="n">
        <v>44827.4609837963</v>
      </c>
      <c r="C131" s="1" t="n">
        <v>45983</v>
      </c>
      <c r="D131" t="inlineStr">
        <is>
          <t>VÄSTRA GÖTALANDS LÄN</t>
        </is>
      </c>
      <c r="E131" t="inlineStr">
        <is>
          <t>ALE</t>
        </is>
      </c>
      <c r="G131" t="n">
        <v>2</v>
      </c>
      <c r="H131" t="n">
        <v>0</v>
      </c>
      <c r="I131" t="n">
        <v>0</v>
      </c>
      <c r="J131" t="n">
        <v>0</v>
      </c>
      <c r="K131" t="n">
        <v>0</v>
      </c>
      <c r="L131" t="n">
        <v>0</v>
      </c>
      <c r="M131" t="n">
        <v>0</v>
      </c>
      <c r="N131" t="n">
        <v>0</v>
      </c>
      <c r="O131" t="n">
        <v>0</v>
      </c>
      <c r="P131" t="n">
        <v>0</v>
      </c>
      <c r="Q131" t="n">
        <v>0</v>
      </c>
      <c r="R131" s="2" t="inlineStr"/>
    </row>
    <row r="132" ht="15" customHeight="1">
      <c r="A132" t="inlineStr">
        <is>
          <t>A 14458-2024</t>
        </is>
      </c>
      <c r="B132" s="1" t="n">
        <v>45394</v>
      </c>
      <c r="C132" s="1" t="n">
        <v>45983</v>
      </c>
      <c r="D132" t="inlineStr">
        <is>
          <t>VÄSTRA GÖTALANDS LÄN</t>
        </is>
      </c>
      <c r="E132" t="inlineStr">
        <is>
          <t>ALE</t>
        </is>
      </c>
      <c r="G132" t="n">
        <v>0.5</v>
      </c>
      <c r="H132" t="n">
        <v>0</v>
      </c>
      <c r="I132" t="n">
        <v>0</v>
      </c>
      <c r="J132" t="n">
        <v>0</v>
      </c>
      <c r="K132" t="n">
        <v>0</v>
      </c>
      <c r="L132" t="n">
        <v>0</v>
      </c>
      <c r="M132" t="n">
        <v>0</v>
      </c>
      <c r="N132" t="n">
        <v>0</v>
      </c>
      <c r="O132" t="n">
        <v>0</v>
      </c>
      <c r="P132" t="n">
        <v>0</v>
      </c>
      <c r="Q132" t="n">
        <v>0</v>
      </c>
      <c r="R132" s="2" t="inlineStr"/>
    </row>
    <row r="133" ht="15" customHeight="1">
      <c r="A133" t="inlineStr">
        <is>
          <t>A 47087-2023</t>
        </is>
      </c>
      <c r="B133" s="1" t="n">
        <v>45196</v>
      </c>
      <c r="C133" s="1" t="n">
        <v>45983</v>
      </c>
      <c r="D133" t="inlineStr">
        <is>
          <t>VÄSTRA GÖTALANDS LÄN</t>
        </is>
      </c>
      <c r="E133" t="inlineStr">
        <is>
          <t>ALE</t>
        </is>
      </c>
      <c r="G133" t="n">
        <v>1.6</v>
      </c>
      <c r="H133" t="n">
        <v>0</v>
      </c>
      <c r="I133" t="n">
        <v>0</v>
      </c>
      <c r="J133" t="n">
        <v>0</v>
      </c>
      <c r="K133" t="n">
        <v>0</v>
      </c>
      <c r="L133" t="n">
        <v>0</v>
      </c>
      <c r="M133" t="n">
        <v>0</v>
      </c>
      <c r="N133" t="n">
        <v>0</v>
      </c>
      <c r="O133" t="n">
        <v>0</v>
      </c>
      <c r="P133" t="n">
        <v>0</v>
      </c>
      <c r="Q133" t="n">
        <v>0</v>
      </c>
      <c r="R133" s="2" t="inlineStr"/>
    </row>
    <row r="134" ht="15" customHeight="1">
      <c r="A134" t="inlineStr">
        <is>
          <t>A 4642-2024</t>
        </is>
      </c>
      <c r="B134" s="1" t="n">
        <v>45328.43502314815</v>
      </c>
      <c r="C134" s="1" t="n">
        <v>45983</v>
      </c>
      <c r="D134" t="inlineStr">
        <is>
          <t>VÄSTRA GÖTALANDS LÄN</t>
        </is>
      </c>
      <c r="E134" t="inlineStr">
        <is>
          <t>ALE</t>
        </is>
      </c>
      <c r="G134" t="n">
        <v>7.1</v>
      </c>
      <c r="H134" t="n">
        <v>0</v>
      </c>
      <c r="I134" t="n">
        <v>0</v>
      </c>
      <c r="J134" t="n">
        <v>0</v>
      </c>
      <c r="K134" t="n">
        <v>0</v>
      </c>
      <c r="L134" t="n">
        <v>0</v>
      </c>
      <c r="M134" t="n">
        <v>0</v>
      </c>
      <c r="N134" t="n">
        <v>0</v>
      </c>
      <c r="O134" t="n">
        <v>0</v>
      </c>
      <c r="P134" t="n">
        <v>0</v>
      </c>
      <c r="Q134" t="n">
        <v>0</v>
      </c>
      <c r="R134" s="2" t="inlineStr"/>
    </row>
    <row r="135" ht="15" customHeight="1">
      <c r="A135" t="inlineStr">
        <is>
          <t>A 14731-2022</t>
        </is>
      </c>
      <c r="B135" s="1" t="n">
        <v>44656</v>
      </c>
      <c r="C135" s="1" t="n">
        <v>45983</v>
      </c>
      <c r="D135" t="inlineStr">
        <is>
          <t>VÄSTRA GÖTALANDS LÄN</t>
        </is>
      </c>
      <c r="E135" t="inlineStr">
        <is>
          <t>ALE</t>
        </is>
      </c>
      <c r="G135" t="n">
        <v>1.8</v>
      </c>
      <c r="H135" t="n">
        <v>0</v>
      </c>
      <c r="I135" t="n">
        <v>0</v>
      </c>
      <c r="J135" t="n">
        <v>0</v>
      </c>
      <c r="K135" t="n">
        <v>0</v>
      </c>
      <c r="L135" t="n">
        <v>0</v>
      </c>
      <c r="M135" t="n">
        <v>0</v>
      </c>
      <c r="N135" t="n">
        <v>0</v>
      </c>
      <c r="O135" t="n">
        <v>0</v>
      </c>
      <c r="P135" t="n">
        <v>0</v>
      </c>
      <c r="Q135" t="n">
        <v>0</v>
      </c>
      <c r="R135" s="2" t="inlineStr"/>
    </row>
    <row r="136" ht="15" customHeight="1">
      <c r="A136" t="inlineStr">
        <is>
          <t>A 3520-2022</t>
        </is>
      </c>
      <c r="B136" s="1" t="n">
        <v>44585.72818287037</v>
      </c>
      <c r="C136" s="1" t="n">
        <v>45983</v>
      </c>
      <c r="D136" t="inlineStr">
        <is>
          <t>VÄSTRA GÖTALANDS LÄN</t>
        </is>
      </c>
      <c r="E136" t="inlineStr">
        <is>
          <t>ALE</t>
        </is>
      </c>
      <c r="G136" t="n">
        <v>2.3</v>
      </c>
      <c r="H136" t="n">
        <v>0</v>
      </c>
      <c r="I136" t="n">
        <v>0</v>
      </c>
      <c r="J136" t="n">
        <v>0</v>
      </c>
      <c r="K136" t="n">
        <v>0</v>
      </c>
      <c r="L136" t="n">
        <v>0</v>
      </c>
      <c r="M136" t="n">
        <v>0</v>
      </c>
      <c r="N136" t="n">
        <v>0</v>
      </c>
      <c r="O136" t="n">
        <v>0</v>
      </c>
      <c r="P136" t="n">
        <v>0</v>
      </c>
      <c r="Q136" t="n">
        <v>0</v>
      </c>
      <c r="R136" s="2" t="inlineStr"/>
    </row>
    <row r="137" ht="15" customHeight="1">
      <c r="A137" t="inlineStr">
        <is>
          <t>A 66551-2020</t>
        </is>
      </c>
      <c r="B137" s="1" t="n">
        <v>44179</v>
      </c>
      <c r="C137" s="1" t="n">
        <v>45983</v>
      </c>
      <c r="D137" t="inlineStr">
        <is>
          <t>VÄSTRA GÖTALANDS LÄN</t>
        </is>
      </c>
      <c r="E137" t="inlineStr">
        <is>
          <t>ALE</t>
        </is>
      </c>
      <c r="G137" t="n">
        <v>4.5</v>
      </c>
      <c r="H137" t="n">
        <v>0</v>
      </c>
      <c r="I137" t="n">
        <v>0</v>
      </c>
      <c r="J137" t="n">
        <v>0</v>
      </c>
      <c r="K137" t="n">
        <v>0</v>
      </c>
      <c r="L137" t="n">
        <v>0</v>
      </c>
      <c r="M137" t="n">
        <v>0</v>
      </c>
      <c r="N137" t="n">
        <v>0</v>
      </c>
      <c r="O137" t="n">
        <v>0</v>
      </c>
      <c r="P137" t="n">
        <v>0</v>
      </c>
      <c r="Q137" t="n">
        <v>0</v>
      </c>
      <c r="R137" s="2" t="inlineStr"/>
    </row>
    <row r="138" ht="15" customHeight="1">
      <c r="A138" t="inlineStr">
        <is>
          <t>A 33237-2024</t>
        </is>
      </c>
      <c r="B138" s="1" t="n">
        <v>45518.59173611111</v>
      </c>
      <c r="C138" s="1" t="n">
        <v>45983</v>
      </c>
      <c r="D138" t="inlineStr">
        <is>
          <t>VÄSTRA GÖTALANDS LÄN</t>
        </is>
      </c>
      <c r="E138" t="inlineStr">
        <is>
          <t>ALE</t>
        </is>
      </c>
      <c r="G138" t="n">
        <v>0.6</v>
      </c>
      <c r="H138" t="n">
        <v>0</v>
      </c>
      <c r="I138" t="n">
        <v>0</v>
      </c>
      <c r="J138" t="n">
        <v>0</v>
      </c>
      <c r="K138" t="n">
        <v>0</v>
      </c>
      <c r="L138" t="n">
        <v>0</v>
      </c>
      <c r="M138" t="n">
        <v>0</v>
      </c>
      <c r="N138" t="n">
        <v>0</v>
      </c>
      <c r="O138" t="n">
        <v>0</v>
      </c>
      <c r="P138" t="n">
        <v>0</v>
      </c>
      <c r="Q138" t="n">
        <v>0</v>
      </c>
      <c r="R138" s="2" t="inlineStr"/>
    </row>
    <row r="139" ht="15" customHeight="1">
      <c r="A139" t="inlineStr">
        <is>
          <t>A 44429-2023</t>
        </is>
      </c>
      <c r="B139" s="1" t="n">
        <v>45189.35101851852</v>
      </c>
      <c r="C139" s="1" t="n">
        <v>45983</v>
      </c>
      <c r="D139" t="inlineStr">
        <is>
          <t>VÄSTRA GÖTALANDS LÄN</t>
        </is>
      </c>
      <c r="E139" t="inlineStr">
        <is>
          <t>ALE</t>
        </is>
      </c>
      <c r="G139" t="n">
        <v>0.1</v>
      </c>
      <c r="H139" t="n">
        <v>0</v>
      </c>
      <c r="I139" t="n">
        <v>0</v>
      </c>
      <c r="J139" t="n">
        <v>0</v>
      </c>
      <c r="K139" t="n">
        <v>0</v>
      </c>
      <c r="L139" t="n">
        <v>0</v>
      </c>
      <c r="M139" t="n">
        <v>0</v>
      </c>
      <c r="N139" t="n">
        <v>0</v>
      </c>
      <c r="O139" t="n">
        <v>0</v>
      </c>
      <c r="P139" t="n">
        <v>0</v>
      </c>
      <c r="Q139" t="n">
        <v>0</v>
      </c>
      <c r="R139" s="2" t="inlineStr"/>
    </row>
    <row r="140" ht="15" customHeight="1">
      <c r="A140" t="inlineStr">
        <is>
          <t>A 7892-2024</t>
        </is>
      </c>
      <c r="B140" s="1" t="n">
        <v>45350.40921296296</v>
      </c>
      <c r="C140" s="1" t="n">
        <v>45983</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51164-2024</t>
        </is>
      </c>
      <c r="B141" s="1" t="n">
        <v>45603.5830787037</v>
      </c>
      <c r="C141" s="1" t="n">
        <v>45983</v>
      </c>
      <c r="D141" t="inlineStr">
        <is>
          <t>VÄSTRA GÖTALANDS LÄN</t>
        </is>
      </c>
      <c r="E141" t="inlineStr">
        <is>
          <t>ALE</t>
        </is>
      </c>
      <c r="G141" t="n">
        <v>1.1</v>
      </c>
      <c r="H141" t="n">
        <v>0</v>
      </c>
      <c r="I141" t="n">
        <v>0</v>
      </c>
      <c r="J141" t="n">
        <v>0</v>
      </c>
      <c r="K141" t="n">
        <v>0</v>
      </c>
      <c r="L141" t="n">
        <v>0</v>
      </c>
      <c r="M141" t="n">
        <v>0</v>
      </c>
      <c r="N141" t="n">
        <v>0</v>
      </c>
      <c r="O141" t="n">
        <v>0</v>
      </c>
      <c r="P141" t="n">
        <v>0</v>
      </c>
      <c r="Q141" t="n">
        <v>0</v>
      </c>
      <c r="R141" s="2" t="inlineStr"/>
    </row>
    <row r="142" ht="15" customHeight="1">
      <c r="A142" t="inlineStr">
        <is>
          <t>A 4444-2024</t>
        </is>
      </c>
      <c r="B142" s="1" t="n">
        <v>45327</v>
      </c>
      <c r="C142" s="1" t="n">
        <v>45983</v>
      </c>
      <c r="D142" t="inlineStr">
        <is>
          <t>VÄSTRA GÖTALANDS LÄN</t>
        </is>
      </c>
      <c r="E142" t="inlineStr">
        <is>
          <t>ALE</t>
        </is>
      </c>
      <c r="G142" t="n">
        <v>0.6</v>
      </c>
      <c r="H142" t="n">
        <v>0</v>
      </c>
      <c r="I142" t="n">
        <v>0</v>
      </c>
      <c r="J142" t="n">
        <v>0</v>
      </c>
      <c r="K142" t="n">
        <v>0</v>
      </c>
      <c r="L142" t="n">
        <v>0</v>
      </c>
      <c r="M142" t="n">
        <v>0</v>
      </c>
      <c r="N142" t="n">
        <v>0</v>
      </c>
      <c r="O142" t="n">
        <v>0</v>
      </c>
      <c r="P142" t="n">
        <v>0</v>
      </c>
      <c r="Q142" t="n">
        <v>0</v>
      </c>
      <c r="R142" s="2" t="inlineStr"/>
    </row>
    <row r="143" ht="15" customHeight="1">
      <c r="A143" t="inlineStr">
        <is>
          <t>A 72801-2021</t>
        </is>
      </c>
      <c r="B143" s="1" t="n">
        <v>44546</v>
      </c>
      <c r="C143" s="1" t="n">
        <v>45983</v>
      </c>
      <c r="D143" t="inlineStr">
        <is>
          <t>VÄSTRA GÖTALANDS LÄN</t>
        </is>
      </c>
      <c r="E143" t="inlineStr">
        <is>
          <t>ALE</t>
        </is>
      </c>
      <c r="F143" t="inlineStr">
        <is>
          <t>Naturvårdsverket</t>
        </is>
      </c>
      <c r="G143" t="n">
        <v>1.4</v>
      </c>
      <c r="H143" t="n">
        <v>0</v>
      </c>
      <c r="I143" t="n">
        <v>0</v>
      </c>
      <c r="J143" t="n">
        <v>0</v>
      </c>
      <c r="K143" t="n">
        <v>0</v>
      </c>
      <c r="L143" t="n">
        <v>0</v>
      </c>
      <c r="M143" t="n">
        <v>0</v>
      </c>
      <c r="N143" t="n">
        <v>0</v>
      </c>
      <c r="O143" t="n">
        <v>0</v>
      </c>
      <c r="P143" t="n">
        <v>0</v>
      </c>
      <c r="Q143" t="n">
        <v>0</v>
      </c>
      <c r="R143" s="2" t="inlineStr"/>
    </row>
    <row r="144" ht="15" customHeight="1">
      <c r="A144" t="inlineStr">
        <is>
          <t>A 8956-2025</t>
        </is>
      </c>
      <c r="B144" s="1" t="n">
        <v>45713.46825231481</v>
      </c>
      <c r="C144" s="1" t="n">
        <v>45983</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1822-2024</t>
        </is>
      </c>
      <c r="B145" s="1" t="n">
        <v>45307.6205787037</v>
      </c>
      <c r="C145" s="1" t="n">
        <v>45983</v>
      </c>
      <c r="D145" t="inlineStr">
        <is>
          <t>VÄSTRA GÖTALANDS LÄN</t>
        </is>
      </c>
      <c r="E145" t="inlineStr">
        <is>
          <t>ALE</t>
        </is>
      </c>
      <c r="G145" t="n">
        <v>2</v>
      </c>
      <c r="H145" t="n">
        <v>0</v>
      </c>
      <c r="I145" t="n">
        <v>0</v>
      </c>
      <c r="J145" t="n">
        <v>0</v>
      </c>
      <c r="K145" t="n">
        <v>0</v>
      </c>
      <c r="L145" t="n">
        <v>0</v>
      </c>
      <c r="M145" t="n">
        <v>0</v>
      </c>
      <c r="N145" t="n">
        <v>0</v>
      </c>
      <c r="O145" t="n">
        <v>0</v>
      </c>
      <c r="P145" t="n">
        <v>0</v>
      </c>
      <c r="Q145" t="n">
        <v>0</v>
      </c>
      <c r="R145" s="2" t="inlineStr"/>
    </row>
    <row r="146" ht="15" customHeight="1">
      <c r="A146" t="inlineStr">
        <is>
          <t>A 15241-2025</t>
        </is>
      </c>
      <c r="B146" s="1" t="n">
        <v>45744.61255787037</v>
      </c>
      <c r="C146" s="1" t="n">
        <v>45983</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6947-2024</t>
        </is>
      </c>
      <c r="B147" s="1" t="n">
        <v>45343</v>
      </c>
      <c r="C147" s="1" t="n">
        <v>45983</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34153-2024</t>
        </is>
      </c>
      <c r="B148" s="1" t="n">
        <v>45524.38400462963</v>
      </c>
      <c r="C148" s="1" t="n">
        <v>45983</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45983</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15499-2022</t>
        </is>
      </c>
      <c r="B150" s="1" t="n">
        <v>44662</v>
      </c>
      <c r="C150" s="1" t="n">
        <v>45983</v>
      </c>
      <c r="D150" t="inlineStr">
        <is>
          <t>VÄSTRA GÖTALANDS LÄN</t>
        </is>
      </c>
      <c r="E150" t="inlineStr">
        <is>
          <t>ALE</t>
        </is>
      </c>
      <c r="G150" t="n">
        <v>4.7</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45983</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27314-2021</t>
        </is>
      </c>
      <c r="B152" s="1" t="n">
        <v>44351.36537037037</v>
      </c>
      <c r="C152" s="1" t="n">
        <v>45983</v>
      </c>
      <c r="D152" t="inlineStr">
        <is>
          <t>VÄSTRA GÖTALANDS LÄN</t>
        </is>
      </c>
      <c r="E152" t="inlineStr">
        <is>
          <t>ALE</t>
        </is>
      </c>
      <c r="G152" t="n">
        <v>11.3</v>
      </c>
      <c r="H152" t="n">
        <v>0</v>
      </c>
      <c r="I152" t="n">
        <v>0</v>
      </c>
      <c r="J152" t="n">
        <v>0</v>
      </c>
      <c r="K152" t="n">
        <v>0</v>
      </c>
      <c r="L152" t="n">
        <v>0</v>
      </c>
      <c r="M152" t="n">
        <v>0</v>
      </c>
      <c r="N152" t="n">
        <v>0</v>
      </c>
      <c r="O152" t="n">
        <v>0</v>
      </c>
      <c r="P152" t="n">
        <v>0</v>
      </c>
      <c r="Q152" t="n">
        <v>0</v>
      </c>
      <c r="R152" s="2" t="inlineStr"/>
    </row>
    <row r="153" ht="15" customHeight="1">
      <c r="A153" t="inlineStr">
        <is>
          <t>A 1960-2024</t>
        </is>
      </c>
      <c r="B153" s="1" t="n">
        <v>45308.50962962963</v>
      </c>
      <c r="C153" s="1" t="n">
        <v>45983</v>
      </c>
      <c r="D153" t="inlineStr">
        <is>
          <t>VÄSTRA GÖTALANDS LÄN</t>
        </is>
      </c>
      <c r="E153" t="inlineStr">
        <is>
          <t>ALE</t>
        </is>
      </c>
      <c r="G153" t="n">
        <v>1.9</v>
      </c>
      <c r="H153" t="n">
        <v>0</v>
      </c>
      <c r="I153" t="n">
        <v>0</v>
      </c>
      <c r="J153" t="n">
        <v>0</v>
      </c>
      <c r="K153" t="n">
        <v>0</v>
      </c>
      <c r="L153" t="n">
        <v>0</v>
      </c>
      <c r="M153" t="n">
        <v>0</v>
      </c>
      <c r="N153" t="n">
        <v>0</v>
      </c>
      <c r="O153" t="n">
        <v>0</v>
      </c>
      <c r="P153" t="n">
        <v>0</v>
      </c>
      <c r="Q153" t="n">
        <v>0</v>
      </c>
      <c r="R153" s="2" t="inlineStr"/>
    </row>
    <row r="154" ht="15" customHeight="1">
      <c r="A154" t="inlineStr">
        <is>
          <t>A 3418-2023</t>
        </is>
      </c>
      <c r="B154" s="1" t="n">
        <v>44949.56182870371</v>
      </c>
      <c r="C154" s="1" t="n">
        <v>45983</v>
      </c>
      <c r="D154" t="inlineStr">
        <is>
          <t>VÄSTRA GÖTALANDS LÄN</t>
        </is>
      </c>
      <c r="E154" t="inlineStr">
        <is>
          <t>ALE</t>
        </is>
      </c>
      <c r="G154" t="n">
        <v>1.1</v>
      </c>
      <c r="H154" t="n">
        <v>0</v>
      </c>
      <c r="I154" t="n">
        <v>0</v>
      </c>
      <c r="J154" t="n">
        <v>0</v>
      </c>
      <c r="K154" t="n">
        <v>0</v>
      </c>
      <c r="L154" t="n">
        <v>0</v>
      </c>
      <c r="M154" t="n">
        <v>0</v>
      </c>
      <c r="N154" t="n">
        <v>0</v>
      </c>
      <c r="O154" t="n">
        <v>0</v>
      </c>
      <c r="P154" t="n">
        <v>0</v>
      </c>
      <c r="Q154" t="n">
        <v>0</v>
      </c>
      <c r="R154" s="2" t="inlineStr"/>
    </row>
    <row r="155" ht="15" customHeight="1">
      <c r="A155" t="inlineStr">
        <is>
          <t>A 65226-2021</t>
        </is>
      </c>
      <c r="B155" s="1" t="n">
        <v>44515</v>
      </c>
      <c r="C155" s="1" t="n">
        <v>45983</v>
      </c>
      <c r="D155" t="inlineStr">
        <is>
          <t>VÄSTRA GÖTALANDS LÄN</t>
        </is>
      </c>
      <c r="E155" t="inlineStr">
        <is>
          <t>ALE</t>
        </is>
      </c>
      <c r="G155" t="n">
        <v>0.7</v>
      </c>
      <c r="H155" t="n">
        <v>0</v>
      </c>
      <c r="I155" t="n">
        <v>0</v>
      </c>
      <c r="J155" t="n">
        <v>0</v>
      </c>
      <c r="K155" t="n">
        <v>0</v>
      </c>
      <c r="L155" t="n">
        <v>0</v>
      </c>
      <c r="M155" t="n">
        <v>0</v>
      </c>
      <c r="N155" t="n">
        <v>0</v>
      </c>
      <c r="O155" t="n">
        <v>0</v>
      </c>
      <c r="P155" t="n">
        <v>0</v>
      </c>
      <c r="Q155" t="n">
        <v>0</v>
      </c>
      <c r="R155" s="2" t="inlineStr"/>
    </row>
    <row r="156" ht="15" customHeight="1">
      <c r="A156" t="inlineStr">
        <is>
          <t>A 12055-2022</t>
        </is>
      </c>
      <c r="B156" s="1" t="n">
        <v>44636</v>
      </c>
      <c r="C156" s="1" t="n">
        <v>45983</v>
      </c>
      <c r="D156" t="inlineStr">
        <is>
          <t>VÄSTRA GÖTALANDS LÄN</t>
        </is>
      </c>
      <c r="E156" t="inlineStr">
        <is>
          <t>ALE</t>
        </is>
      </c>
      <c r="G156" t="n">
        <v>0.2</v>
      </c>
      <c r="H156" t="n">
        <v>0</v>
      </c>
      <c r="I156" t="n">
        <v>0</v>
      </c>
      <c r="J156" t="n">
        <v>0</v>
      </c>
      <c r="K156" t="n">
        <v>0</v>
      </c>
      <c r="L156" t="n">
        <v>0</v>
      </c>
      <c r="M156" t="n">
        <v>0</v>
      </c>
      <c r="N156" t="n">
        <v>0</v>
      </c>
      <c r="O156" t="n">
        <v>0</v>
      </c>
      <c r="P156" t="n">
        <v>0</v>
      </c>
      <c r="Q156" t="n">
        <v>0</v>
      </c>
      <c r="R156" s="2" t="inlineStr"/>
    </row>
    <row r="157" ht="15" customHeight="1">
      <c r="A157" t="inlineStr">
        <is>
          <t>A 3457-2022</t>
        </is>
      </c>
      <c r="B157" s="1" t="n">
        <v>44585</v>
      </c>
      <c r="C157" s="1" t="n">
        <v>45983</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69325-2020</t>
        </is>
      </c>
      <c r="B158" s="1" t="n">
        <v>44193</v>
      </c>
      <c r="C158" s="1" t="n">
        <v>45983</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5916-2023</t>
        </is>
      </c>
      <c r="B159" s="1" t="n">
        <v>44963</v>
      </c>
      <c r="C159" s="1" t="n">
        <v>45983</v>
      </c>
      <c r="D159" t="inlineStr">
        <is>
          <t>VÄSTRA GÖTALANDS LÄN</t>
        </is>
      </c>
      <c r="E159" t="inlineStr">
        <is>
          <t>ALE</t>
        </is>
      </c>
      <c r="G159" t="n">
        <v>4.2</v>
      </c>
      <c r="H159" t="n">
        <v>0</v>
      </c>
      <c r="I159" t="n">
        <v>0</v>
      </c>
      <c r="J159" t="n">
        <v>0</v>
      </c>
      <c r="K159" t="n">
        <v>0</v>
      </c>
      <c r="L159" t="n">
        <v>0</v>
      </c>
      <c r="M159" t="n">
        <v>0</v>
      </c>
      <c r="N159" t="n">
        <v>0</v>
      </c>
      <c r="O159" t="n">
        <v>0</v>
      </c>
      <c r="P159" t="n">
        <v>0</v>
      </c>
      <c r="Q159" t="n">
        <v>0</v>
      </c>
      <c r="R159" s="2" t="inlineStr"/>
    </row>
    <row r="160" ht="15" customHeight="1">
      <c r="A160" t="inlineStr">
        <is>
          <t>A 4363-2024</t>
        </is>
      </c>
      <c r="B160" s="1" t="n">
        <v>45325</v>
      </c>
      <c r="C160" s="1" t="n">
        <v>45983</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16601-2025</t>
        </is>
      </c>
      <c r="B161" s="1" t="n">
        <v>45753.53189814815</v>
      </c>
      <c r="C161" s="1" t="n">
        <v>45983</v>
      </c>
      <c r="D161" t="inlineStr">
        <is>
          <t>VÄSTRA GÖTALANDS LÄN</t>
        </is>
      </c>
      <c r="E161" t="inlineStr">
        <is>
          <t>ALE</t>
        </is>
      </c>
      <c r="G161" t="n">
        <v>1.7</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45983</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1500-2024</t>
        </is>
      </c>
      <c r="B163" s="1" t="n">
        <v>45306</v>
      </c>
      <c r="C163" s="1" t="n">
        <v>45983</v>
      </c>
      <c r="D163" t="inlineStr">
        <is>
          <t>VÄSTRA GÖTALANDS LÄN</t>
        </is>
      </c>
      <c r="E163" t="inlineStr">
        <is>
          <t>ALE</t>
        </is>
      </c>
      <c r="G163" t="n">
        <v>1.3</v>
      </c>
      <c r="H163" t="n">
        <v>0</v>
      </c>
      <c r="I163" t="n">
        <v>0</v>
      </c>
      <c r="J163" t="n">
        <v>0</v>
      </c>
      <c r="K163" t="n">
        <v>0</v>
      </c>
      <c r="L163" t="n">
        <v>0</v>
      </c>
      <c r="M163" t="n">
        <v>0</v>
      </c>
      <c r="N163" t="n">
        <v>0</v>
      </c>
      <c r="O163" t="n">
        <v>0</v>
      </c>
      <c r="P163" t="n">
        <v>0</v>
      </c>
      <c r="Q163" t="n">
        <v>0</v>
      </c>
      <c r="R163" s="2" t="inlineStr"/>
    </row>
    <row r="164" ht="15" customHeight="1">
      <c r="A164" t="inlineStr">
        <is>
          <t>A 6916-2023</t>
        </is>
      </c>
      <c r="B164" s="1" t="n">
        <v>44967.53349537037</v>
      </c>
      <c r="C164" s="1" t="n">
        <v>45983</v>
      </c>
      <c r="D164" t="inlineStr">
        <is>
          <t>VÄSTRA GÖTALANDS LÄN</t>
        </is>
      </c>
      <c r="E164" t="inlineStr">
        <is>
          <t>ALE</t>
        </is>
      </c>
      <c r="G164" t="n">
        <v>1</v>
      </c>
      <c r="H164" t="n">
        <v>0</v>
      </c>
      <c r="I164" t="n">
        <v>0</v>
      </c>
      <c r="J164" t="n">
        <v>0</v>
      </c>
      <c r="K164" t="n">
        <v>0</v>
      </c>
      <c r="L164" t="n">
        <v>0</v>
      </c>
      <c r="M164" t="n">
        <v>0</v>
      </c>
      <c r="N164" t="n">
        <v>0</v>
      </c>
      <c r="O164" t="n">
        <v>0</v>
      </c>
      <c r="P164" t="n">
        <v>0</v>
      </c>
      <c r="Q164" t="n">
        <v>0</v>
      </c>
      <c r="R164" s="2" t="inlineStr"/>
    </row>
    <row r="165" ht="15" customHeight="1">
      <c r="A165" t="inlineStr">
        <is>
          <t>A 64199-2021</t>
        </is>
      </c>
      <c r="B165" s="1" t="n">
        <v>44510</v>
      </c>
      <c r="C165" s="1" t="n">
        <v>45983</v>
      </c>
      <c r="D165" t="inlineStr">
        <is>
          <t>VÄSTRA GÖTALANDS LÄN</t>
        </is>
      </c>
      <c r="E165" t="inlineStr">
        <is>
          <t>ALE</t>
        </is>
      </c>
      <c r="G165" t="n">
        <v>5.7</v>
      </c>
      <c r="H165" t="n">
        <v>0</v>
      </c>
      <c r="I165" t="n">
        <v>0</v>
      </c>
      <c r="J165" t="n">
        <v>0</v>
      </c>
      <c r="K165" t="n">
        <v>0</v>
      </c>
      <c r="L165" t="n">
        <v>0</v>
      </c>
      <c r="M165" t="n">
        <v>0</v>
      </c>
      <c r="N165" t="n">
        <v>0</v>
      </c>
      <c r="O165" t="n">
        <v>0</v>
      </c>
      <c r="P165" t="n">
        <v>0</v>
      </c>
      <c r="Q165" t="n">
        <v>0</v>
      </c>
      <c r="R165" s="2" t="inlineStr"/>
    </row>
    <row r="166">
      <c r="A166" t="inlineStr">
        <is>
          <t>A 15582-2025</t>
        </is>
      </c>
      <c r="B166" s="1" t="n">
        <v>45747.81394675926</v>
      </c>
      <c r="C166" s="1" t="n">
        <v>45983</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2025-11-22T10:14:50Z</dcterms:created>
  <dcterms:modified xmlns:dcterms="http://purl.org/dc/terms/" xmlns:xsi="http://www.w3.org/2001/XMLSchema-instance" xsi:type="dcterms:W3CDTF">2025-11-22T10:14:50Z</dcterms:modified>
</cp:coreProperties>
</file>