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46011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46011</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46011</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46011</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46011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46011</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46011</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46011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46011</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46011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46011</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46011</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46011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46011</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563-2024</t>
        </is>
      </c>
      <c r="B17" s="1" t="n">
        <v>45299</v>
      </c>
      <c r="C17" s="1" t="n">
        <v>46011</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24162-2025</t>
        </is>
      </c>
      <c r="B18" s="1" t="n">
        <v>45796.66684027778</v>
      </c>
      <c r="C18" s="1" t="n">
        <v>46011</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26491-2024</t>
        </is>
      </c>
      <c r="B19" s="1" t="n">
        <v>45469</v>
      </c>
      <c r="C19" s="1" t="n">
        <v>46011</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46011</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19934-2025</t>
        </is>
      </c>
      <c r="B21" s="1" t="n">
        <v>45771</v>
      </c>
      <c r="C21" s="1" t="n">
        <v>46011</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63575-2023</t>
        </is>
      </c>
      <c r="B22" s="1" t="n">
        <v>45275.39715277778</v>
      </c>
      <c r="C22" s="1" t="n">
        <v>46011</v>
      </c>
      <c r="D22" t="inlineStr">
        <is>
          <t>VÄSTRA GÖTALANDS LÄN</t>
        </is>
      </c>
      <c r="E22" t="inlineStr">
        <is>
          <t>ALE</t>
        </is>
      </c>
      <c r="G22" t="n">
        <v>1.2</v>
      </c>
      <c r="H22" t="n">
        <v>3</v>
      </c>
      <c r="I22" t="n">
        <v>0</v>
      </c>
      <c r="J22" t="n">
        <v>3</v>
      </c>
      <c r="K22" t="n">
        <v>0</v>
      </c>
      <c r="L22" t="n">
        <v>0</v>
      </c>
      <c r="M22" t="n">
        <v>0</v>
      </c>
      <c r="N22" t="n">
        <v>0</v>
      </c>
      <c r="O22" t="n">
        <v>3</v>
      </c>
      <c r="P22" t="n">
        <v>0</v>
      </c>
      <c r="Q22" t="n">
        <v>3</v>
      </c>
      <c r="R22" s="2" t="inlineStr">
        <is>
          <t>Gulsparv
Spillkråka
Talltita</t>
        </is>
      </c>
      <c r="S22">
        <f>HYPERLINK("https://klasma.github.io/Logging_1440/artfynd/A 63575-2023 artfynd.xlsx", "A 63575-2023")</f>
        <v/>
      </c>
      <c r="T22">
        <f>HYPERLINK("https://klasma.github.io/Logging_1440/kartor/A 63575-2023 karta.png", "A 63575-2023")</f>
        <v/>
      </c>
      <c r="V22">
        <f>HYPERLINK("https://klasma.github.io/Logging_1440/klagomål/A 63575-2023 FSC-klagomål.docx", "A 63575-2023")</f>
        <v/>
      </c>
      <c r="W22">
        <f>HYPERLINK("https://klasma.github.io/Logging_1440/klagomålsmail/A 63575-2023 FSC-klagomål mail.docx", "A 63575-2023")</f>
        <v/>
      </c>
      <c r="X22">
        <f>HYPERLINK("https://klasma.github.io/Logging_1440/tillsyn/A 63575-2023 tillsynsbegäran.docx", "A 63575-2023")</f>
        <v/>
      </c>
      <c r="Y22">
        <f>HYPERLINK("https://klasma.github.io/Logging_1440/tillsynsmail/A 63575-2023 tillsynsbegäran mail.docx", "A 63575-2023")</f>
        <v/>
      </c>
      <c r="Z22">
        <f>HYPERLINK("https://klasma.github.io/Logging_1440/fåglar/A 63575-2023 prioriterade fågelarter.docx", "A 63575-2023")</f>
        <v/>
      </c>
    </row>
    <row r="23" ht="15" customHeight="1">
      <c r="A23" t="inlineStr">
        <is>
          <t>A 58954-2022</t>
        </is>
      </c>
      <c r="B23" s="1" t="n">
        <v>44903</v>
      </c>
      <c r="C23" s="1" t="n">
        <v>46011</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40931-2025</t>
        </is>
      </c>
      <c r="B24" s="1" t="n">
        <v>45897.64783564815</v>
      </c>
      <c r="C24" s="1" t="n">
        <v>46011</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2270-2025</t>
        </is>
      </c>
      <c r="B25" s="1" t="n">
        <v>45673.54403935185</v>
      </c>
      <c r="C25" s="1" t="n">
        <v>46011</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46011</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46011</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46011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46011</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46011</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63569-2023</t>
        </is>
      </c>
      <c r="B31" s="1" t="n">
        <v>45275</v>
      </c>
      <c r="C31" s="1" t="n">
        <v>46011</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8955-2025</t>
        </is>
      </c>
      <c r="B32" s="1" t="n">
        <v>45713.46528935185</v>
      </c>
      <c r="C32" s="1" t="n">
        <v>46011</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42660-2024</t>
        </is>
      </c>
      <c r="B33" s="1" t="n">
        <v>45566.33841435185</v>
      </c>
      <c r="C33" s="1" t="n">
        <v>46011</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26677-2025</t>
        </is>
      </c>
      <c r="B34" s="1" t="n">
        <v>45810.42446759259</v>
      </c>
      <c r="C34" s="1" t="n">
        <v>46011</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13902-2025</t>
        </is>
      </c>
      <c r="B35" s="1" t="n">
        <v>45737.63446759259</v>
      </c>
      <c r="C35" s="1" t="n">
        <v>46011</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62524-2025</t>
        </is>
      </c>
      <c r="B36" s="1" t="n">
        <v>46007.6247337963</v>
      </c>
      <c r="C36" s="1" t="n">
        <v>46011</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26493-2024</t>
        </is>
      </c>
      <c r="B37" s="1" t="n">
        <v>45469</v>
      </c>
      <c r="C37" s="1" t="n">
        <v>46011</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12084-2025</t>
        </is>
      </c>
      <c r="B38" s="1" t="n">
        <v>45728.95387731482</v>
      </c>
      <c r="C38" s="1" t="n">
        <v>46011</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12982-2024</t>
        </is>
      </c>
      <c r="B39" s="1" t="n">
        <v>45385.53569444444</v>
      </c>
      <c r="C39" s="1" t="n">
        <v>46011</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21281-2021</t>
        </is>
      </c>
      <c r="B40" s="1" t="n">
        <v>44320.61850694445</v>
      </c>
      <c r="C40" s="1" t="n">
        <v>46011</v>
      </c>
      <c r="D40" t="inlineStr">
        <is>
          <t>VÄSTRA GÖTALANDS LÄN</t>
        </is>
      </c>
      <c r="E40" t="inlineStr">
        <is>
          <t>ALE</t>
        </is>
      </c>
      <c r="G40" t="n">
        <v>1.4</v>
      </c>
      <c r="H40" t="n">
        <v>0</v>
      </c>
      <c r="I40" t="n">
        <v>0</v>
      </c>
      <c r="J40" t="n">
        <v>0</v>
      </c>
      <c r="K40" t="n">
        <v>0</v>
      </c>
      <c r="L40" t="n">
        <v>0</v>
      </c>
      <c r="M40" t="n">
        <v>0</v>
      </c>
      <c r="N40" t="n">
        <v>0</v>
      </c>
      <c r="O40" t="n">
        <v>0</v>
      </c>
      <c r="P40" t="n">
        <v>0</v>
      </c>
      <c r="Q40" t="n">
        <v>0</v>
      </c>
      <c r="R40" s="2" t="inlineStr"/>
    </row>
    <row r="41" ht="15" customHeight="1">
      <c r="A41" t="inlineStr">
        <is>
          <t>A 14517-2021</t>
        </is>
      </c>
      <c r="B41" s="1" t="n">
        <v>44279.64517361111</v>
      </c>
      <c r="C41" s="1" t="n">
        <v>46011</v>
      </c>
      <c r="D41" t="inlineStr">
        <is>
          <t>VÄSTRA GÖTALANDS LÄN</t>
        </is>
      </c>
      <c r="E41" t="inlineStr">
        <is>
          <t>ALE</t>
        </is>
      </c>
      <c r="G41" t="n">
        <v>1.1</v>
      </c>
      <c r="H41" t="n">
        <v>0</v>
      </c>
      <c r="I41" t="n">
        <v>0</v>
      </c>
      <c r="J41" t="n">
        <v>0</v>
      </c>
      <c r="K41" t="n">
        <v>0</v>
      </c>
      <c r="L41" t="n">
        <v>0</v>
      </c>
      <c r="M41" t="n">
        <v>0</v>
      </c>
      <c r="N41" t="n">
        <v>0</v>
      </c>
      <c r="O41" t="n">
        <v>0</v>
      </c>
      <c r="P41" t="n">
        <v>0</v>
      </c>
      <c r="Q41" t="n">
        <v>0</v>
      </c>
      <c r="R41" s="2" t="inlineStr"/>
    </row>
    <row r="42" ht="15" customHeight="1">
      <c r="A42" t="inlineStr">
        <is>
          <t>A 2003-2021</t>
        </is>
      </c>
      <c r="B42" s="1" t="n">
        <v>44210</v>
      </c>
      <c r="C42" s="1" t="n">
        <v>46011</v>
      </c>
      <c r="D42" t="inlineStr">
        <is>
          <t>VÄSTRA GÖTALANDS LÄN</t>
        </is>
      </c>
      <c r="E42" t="inlineStr">
        <is>
          <t>ALE</t>
        </is>
      </c>
      <c r="F42" t="inlineStr">
        <is>
          <t>Kommuner</t>
        </is>
      </c>
      <c r="G42" t="n">
        <v>0.6</v>
      </c>
      <c r="H42" t="n">
        <v>0</v>
      </c>
      <c r="I42" t="n">
        <v>0</v>
      </c>
      <c r="J42" t="n">
        <v>0</v>
      </c>
      <c r="K42" t="n">
        <v>0</v>
      </c>
      <c r="L42" t="n">
        <v>0</v>
      </c>
      <c r="M42" t="n">
        <v>0</v>
      </c>
      <c r="N42" t="n">
        <v>0</v>
      </c>
      <c r="O42" t="n">
        <v>0</v>
      </c>
      <c r="P42" t="n">
        <v>0</v>
      </c>
      <c r="Q42" t="n">
        <v>0</v>
      </c>
      <c r="R42" s="2" t="inlineStr"/>
    </row>
    <row r="43" ht="15" customHeight="1">
      <c r="A43" t="inlineStr">
        <is>
          <t>A 62855-2021</t>
        </is>
      </c>
      <c r="B43" s="1" t="n">
        <v>44504.58171296296</v>
      </c>
      <c r="C43" s="1" t="n">
        <v>46011</v>
      </c>
      <c r="D43" t="inlineStr">
        <is>
          <t>VÄSTRA GÖTALANDS LÄN</t>
        </is>
      </c>
      <c r="E43" t="inlineStr">
        <is>
          <t>ALE</t>
        </is>
      </c>
      <c r="G43" t="n">
        <v>5.6</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46011</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46011</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46011</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36394-2021</t>
        </is>
      </c>
      <c r="B47" s="1" t="n">
        <v>44389</v>
      </c>
      <c r="C47" s="1" t="n">
        <v>46011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46011</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46011</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46011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46011</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46011</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46011</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46011</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46011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46011</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45986-2021</t>
        </is>
      </c>
      <c r="B57" s="1" t="n">
        <v>44441</v>
      </c>
      <c r="C57" s="1" t="n">
        <v>46011</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46011</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46011</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46011</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46011</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46011</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46011</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46011</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46011</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36763-2022</t>
        </is>
      </c>
      <c r="B66" s="1" t="n">
        <v>44805</v>
      </c>
      <c r="C66" s="1" t="n">
        <v>46011</v>
      </c>
      <c r="D66" t="inlineStr">
        <is>
          <t>VÄSTRA GÖTALANDS LÄN</t>
        </is>
      </c>
      <c r="E66" t="inlineStr">
        <is>
          <t>ALE</t>
        </is>
      </c>
      <c r="G66" t="n">
        <v>6.1</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46011</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5875-2023</t>
        </is>
      </c>
      <c r="B68" s="1" t="n">
        <v>44963</v>
      </c>
      <c r="C68" s="1" t="n">
        <v>46011</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46011</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3407-2023</t>
        </is>
      </c>
      <c r="B70" s="1" t="n">
        <v>44949.54909722223</v>
      </c>
      <c r="C70" s="1" t="n">
        <v>46011</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51564-2023</t>
        </is>
      </c>
      <c r="B71" s="1" t="n">
        <v>45222</v>
      </c>
      <c r="C71" s="1" t="n">
        <v>46011</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25849-2025</t>
        </is>
      </c>
      <c r="B72" s="1" t="n">
        <v>45804</v>
      </c>
      <c r="C72" s="1" t="n">
        <v>46011</v>
      </c>
      <c r="D72" t="inlineStr">
        <is>
          <t>VÄSTRA GÖTALANDS LÄN</t>
        </is>
      </c>
      <c r="E72" t="inlineStr">
        <is>
          <t>ALE</t>
        </is>
      </c>
      <c r="G72" t="n">
        <v>0.8</v>
      </c>
      <c r="H72" t="n">
        <v>0</v>
      </c>
      <c r="I72" t="n">
        <v>0</v>
      </c>
      <c r="J72" t="n">
        <v>0</v>
      </c>
      <c r="K72" t="n">
        <v>0</v>
      </c>
      <c r="L72" t="n">
        <v>0</v>
      </c>
      <c r="M72" t="n">
        <v>0</v>
      </c>
      <c r="N72" t="n">
        <v>0</v>
      </c>
      <c r="O72" t="n">
        <v>0</v>
      </c>
      <c r="P72" t="n">
        <v>0</v>
      </c>
      <c r="Q72" t="n">
        <v>0</v>
      </c>
      <c r="R72" s="2" t="inlineStr"/>
    </row>
    <row r="73" ht="15" customHeight="1">
      <c r="A73" t="inlineStr">
        <is>
          <t>A 25848-2025</t>
        </is>
      </c>
      <c r="B73" s="1" t="n">
        <v>45804</v>
      </c>
      <c r="C73" s="1" t="n">
        <v>46011</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25840-2025</t>
        </is>
      </c>
      <c r="B74" s="1" t="n">
        <v>45804</v>
      </c>
      <c r="C74" s="1" t="n">
        <v>46011</v>
      </c>
      <c r="D74" t="inlineStr">
        <is>
          <t>VÄSTRA GÖTALANDS LÄN</t>
        </is>
      </c>
      <c r="E74" t="inlineStr">
        <is>
          <t>ALE</t>
        </is>
      </c>
      <c r="G74" t="n">
        <v>3.8</v>
      </c>
      <c r="H74" t="n">
        <v>0</v>
      </c>
      <c r="I74" t="n">
        <v>0</v>
      </c>
      <c r="J74" t="n">
        <v>0</v>
      </c>
      <c r="K74" t="n">
        <v>0</v>
      </c>
      <c r="L74" t="n">
        <v>0</v>
      </c>
      <c r="M74" t="n">
        <v>0</v>
      </c>
      <c r="N74" t="n">
        <v>0</v>
      </c>
      <c r="O74" t="n">
        <v>0</v>
      </c>
      <c r="P74" t="n">
        <v>0</v>
      </c>
      <c r="Q74" t="n">
        <v>0</v>
      </c>
      <c r="R74" s="2" t="inlineStr"/>
    </row>
    <row r="75" ht="15" customHeight="1">
      <c r="A75" t="inlineStr">
        <is>
          <t>A 36403-2024</t>
        </is>
      </c>
      <c r="B75" s="1" t="n">
        <v>45535.69445601852</v>
      </c>
      <c r="C75" s="1" t="n">
        <v>46011</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46011</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55405-2021</t>
        </is>
      </c>
      <c r="B77" s="1" t="n">
        <v>44475.53733796296</v>
      </c>
      <c r="C77" s="1" t="n">
        <v>46011</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8659-2025</t>
        </is>
      </c>
      <c r="B78" s="1" t="n">
        <v>45712</v>
      </c>
      <c r="C78" s="1" t="n">
        <v>46011</v>
      </c>
      <c r="D78" t="inlineStr">
        <is>
          <t>VÄSTRA GÖTALANDS LÄN</t>
        </is>
      </c>
      <c r="E78" t="inlineStr">
        <is>
          <t>ALE</t>
        </is>
      </c>
      <c r="G78" t="n">
        <v>5.7</v>
      </c>
      <c r="H78" t="n">
        <v>0</v>
      </c>
      <c r="I78" t="n">
        <v>0</v>
      </c>
      <c r="J78" t="n">
        <v>0</v>
      </c>
      <c r="K78" t="n">
        <v>0</v>
      </c>
      <c r="L78" t="n">
        <v>0</v>
      </c>
      <c r="M78" t="n">
        <v>0</v>
      </c>
      <c r="N78" t="n">
        <v>0</v>
      </c>
      <c r="O78" t="n">
        <v>0</v>
      </c>
      <c r="P78" t="n">
        <v>0</v>
      </c>
      <c r="Q78" t="n">
        <v>0</v>
      </c>
      <c r="R78" s="2" t="inlineStr"/>
    </row>
    <row r="79" ht="15" customHeight="1">
      <c r="A79" t="inlineStr">
        <is>
          <t>A 5344-2024</t>
        </is>
      </c>
      <c r="B79" s="1" t="n">
        <v>45331</v>
      </c>
      <c r="C79" s="1" t="n">
        <v>46011</v>
      </c>
      <c r="D79" t="inlineStr">
        <is>
          <t>VÄSTRA GÖTALANDS LÄN</t>
        </is>
      </c>
      <c r="E79" t="inlineStr">
        <is>
          <t>ALE</t>
        </is>
      </c>
      <c r="G79" t="n">
        <v>2.5</v>
      </c>
      <c r="H79" t="n">
        <v>0</v>
      </c>
      <c r="I79" t="n">
        <v>0</v>
      </c>
      <c r="J79" t="n">
        <v>0</v>
      </c>
      <c r="K79" t="n">
        <v>0</v>
      </c>
      <c r="L79" t="n">
        <v>0</v>
      </c>
      <c r="M79" t="n">
        <v>0</v>
      </c>
      <c r="N79" t="n">
        <v>0</v>
      </c>
      <c r="O79" t="n">
        <v>0</v>
      </c>
      <c r="P79" t="n">
        <v>0</v>
      </c>
      <c r="Q79" t="n">
        <v>0</v>
      </c>
      <c r="R79" s="2" t="inlineStr"/>
    </row>
    <row r="80" ht="15" customHeight="1">
      <c r="A80" t="inlineStr">
        <is>
          <t>A 18637-2023</t>
        </is>
      </c>
      <c r="B80" s="1" t="n">
        <v>45043</v>
      </c>
      <c r="C80" s="1" t="n">
        <v>46011</v>
      </c>
      <c r="D80" t="inlineStr">
        <is>
          <t>VÄSTRA GÖTALANDS LÄN</t>
        </is>
      </c>
      <c r="E80" t="inlineStr">
        <is>
          <t>ALE</t>
        </is>
      </c>
      <c r="G80" t="n">
        <v>3.6</v>
      </c>
      <c r="H80" t="n">
        <v>0</v>
      </c>
      <c r="I80" t="n">
        <v>0</v>
      </c>
      <c r="J80" t="n">
        <v>0</v>
      </c>
      <c r="K80" t="n">
        <v>0</v>
      </c>
      <c r="L80" t="n">
        <v>0</v>
      </c>
      <c r="M80" t="n">
        <v>0</v>
      </c>
      <c r="N80" t="n">
        <v>0</v>
      </c>
      <c r="O80" t="n">
        <v>0</v>
      </c>
      <c r="P80" t="n">
        <v>0</v>
      </c>
      <c r="Q80" t="n">
        <v>0</v>
      </c>
      <c r="R80" s="2" t="inlineStr"/>
    </row>
    <row r="81" ht="15" customHeight="1">
      <c r="A81" t="inlineStr">
        <is>
          <t>A 59933-2023</t>
        </is>
      </c>
      <c r="B81" s="1" t="n">
        <v>45257</v>
      </c>
      <c r="C81" s="1" t="n">
        <v>46011</v>
      </c>
      <c r="D81" t="inlineStr">
        <is>
          <t>VÄSTRA GÖTALANDS LÄN</t>
        </is>
      </c>
      <c r="E81" t="inlineStr">
        <is>
          <t>ALE</t>
        </is>
      </c>
      <c r="G81" t="n">
        <v>2.7</v>
      </c>
      <c r="H81" t="n">
        <v>0</v>
      </c>
      <c r="I81" t="n">
        <v>0</v>
      </c>
      <c r="J81" t="n">
        <v>0</v>
      </c>
      <c r="K81" t="n">
        <v>0</v>
      </c>
      <c r="L81" t="n">
        <v>0</v>
      </c>
      <c r="M81" t="n">
        <v>0</v>
      </c>
      <c r="N81" t="n">
        <v>0</v>
      </c>
      <c r="O81" t="n">
        <v>0</v>
      </c>
      <c r="P81" t="n">
        <v>0</v>
      </c>
      <c r="Q81" t="n">
        <v>0</v>
      </c>
      <c r="R81" s="2" t="inlineStr"/>
    </row>
    <row r="82" ht="15" customHeight="1">
      <c r="A82" t="inlineStr">
        <is>
          <t>A 29373-2025</t>
        </is>
      </c>
      <c r="B82" s="1" t="n">
        <v>45824.579375</v>
      </c>
      <c r="C82" s="1" t="n">
        <v>46011</v>
      </c>
      <c r="D82" t="inlineStr">
        <is>
          <t>VÄSTRA GÖTALANDS LÄN</t>
        </is>
      </c>
      <c r="E82" t="inlineStr">
        <is>
          <t>ALE</t>
        </is>
      </c>
      <c r="G82" t="n">
        <v>4.6</v>
      </c>
      <c r="H82" t="n">
        <v>0</v>
      </c>
      <c r="I82" t="n">
        <v>0</v>
      </c>
      <c r="J82" t="n">
        <v>0</v>
      </c>
      <c r="K82" t="n">
        <v>0</v>
      </c>
      <c r="L82" t="n">
        <v>0</v>
      </c>
      <c r="M82" t="n">
        <v>0</v>
      </c>
      <c r="N82" t="n">
        <v>0</v>
      </c>
      <c r="O82" t="n">
        <v>0</v>
      </c>
      <c r="P82" t="n">
        <v>0</v>
      </c>
      <c r="Q82" t="n">
        <v>0</v>
      </c>
      <c r="R82" s="2" t="inlineStr"/>
    </row>
    <row r="83" ht="15" customHeight="1">
      <c r="A83" t="inlineStr">
        <is>
          <t>A 24642-2022</t>
        </is>
      </c>
      <c r="B83" s="1" t="n">
        <v>44727.59578703704</v>
      </c>
      <c r="C83" s="1" t="n">
        <v>46011</v>
      </c>
      <c r="D83" t="inlineStr">
        <is>
          <t>VÄSTRA GÖTALANDS LÄN</t>
        </is>
      </c>
      <c r="E83" t="inlineStr">
        <is>
          <t>ALE</t>
        </is>
      </c>
      <c r="G83" t="n">
        <v>10</v>
      </c>
      <c r="H83" t="n">
        <v>0</v>
      </c>
      <c r="I83" t="n">
        <v>0</v>
      </c>
      <c r="J83" t="n">
        <v>0</v>
      </c>
      <c r="K83" t="n">
        <v>0</v>
      </c>
      <c r="L83" t="n">
        <v>0</v>
      </c>
      <c r="M83" t="n">
        <v>0</v>
      </c>
      <c r="N83" t="n">
        <v>0</v>
      </c>
      <c r="O83" t="n">
        <v>0</v>
      </c>
      <c r="P83" t="n">
        <v>0</v>
      </c>
      <c r="Q83" t="n">
        <v>0</v>
      </c>
      <c r="R83" s="2" t="inlineStr"/>
    </row>
    <row r="84" ht="15" customHeight="1">
      <c r="A84" t="inlineStr">
        <is>
          <t>A 13382-2025</t>
        </is>
      </c>
      <c r="B84" s="1" t="n">
        <v>45735.67928240741</v>
      </c>
      <c r="C84" s="1" t="n">
        <v>46011</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13426-2025</t>
        </is>
      </c>
      <c r="B85" s="1" t="n">
        <v>45736.32780092592</v>
      </c>
      <c r="C85" s="1" t="n">
        <v>46011</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13903-2025</t>
        </is>
      </c>
      <c r="B86" s="1" t="n">
        <v>45737.63481481482</v>
      </c>
      <c r="C86" s="1" t="n">
        <v>46011</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31407-2025</t>
        </is>
      </c>
      <c r="B87" s="1" t="n">
        <v>45833</v>
      </c>
      <c r="C87" s="1" t="n">
        <v>46011</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46011</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31533-2025</t>
        </is>
      </c>
      <c r="B89" s="1" t="n">
        <v>45833</v>
      </c>
      <c r="C89" s="1" t="n">
        <v>46011</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31488-2025</t>
        </is>
      </c>
      <c r="B90" s="1" t="n">
        <v>45833</v>
      </c>
      <c r="C90" s="1" t="n">
        <v>46011</v>
      </c>
      <c r="D90" t="inlineStr">
        <is>
          <t>VÄSTRA GÖTALANDS LÄN</t>
        </is>
      </c>
      <c r="E90" t="inlineStr">
        <is>
          <t>ALE</t>
        </is>
      </c>
      <c r="G90" t="n">
        <v>1.8</v>
      </c>
      <c r="H90" t="n">
        <v>0</v>
      </c>
      <c r="I90" t="n">
        <v>0</v>
      </c>
      <c r="J90" t="n">
        <v>0</v>
      </c>
      <c r="K90" t="n">
        <v>0</v>
      </c>
      <c r="L90" t="n">
        <v>0</v>
      </c>
      <c r="M90" t="n">
        <v>0</v>
      </c>
      <c r="N90" t="n">
        <v>0</v>
      </c>
      <c r="O90" t="n">
        <v>0</v>
      </c>
      <c r="P90" t="n">
        <v>0</v>
      </c>
      <c r="Q90" t="n">
        <v>0</v>
      </c>
      <c r="R90" s="2" t="inlineStr"/>
    </row>
    <row r="91" ht="15" customHeight="1">
      <c r="A91" t="inlineStr">
        <is>
          <t>A 46226-2025</t>
        </is>
      </c>
      <c r="B91" s="1" t="n">
        <v>45924</v>
      </c>
      <c r="C91" s="1" t="n">
        <v>46011</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26083-2023</t>
        </is>
      </c>
      <c r="B92" s="1" t="n">
        <v>45091</v>
      </c>
      <c r="C92" s="1" t="n">
        <v>46011</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46011</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47330-2025</t>
        </is>
      </c>
      <c r="B94" s="1" t="n">
        <v>45930.56170138889</v>
      </c>
      <c r="C94" s="1" t="n">
        <v>46011</v>
      </c>
      <c r="D94" t="inlineStr">
        <is>
          <t>VÄSTRA GÖTALANDS LÄN</t>
        </is>
      </c>
      <c r="E94" t="inlineStr">
        <is>
          <t>ALE</t>
        </is>
      </c>
      <c r="G94" t="n">
        <v>3.7</v>
      </c>
      <c r="H94" t="n">
        <v>0</v>
      </c>
      <c r="I94" t="n">
        <v>0</v>
      </c>
      <c r="J94" t="n">
        <v>0</v>
      </c>
      <c r="K94" t="n">
        <v>0</v>
      </c>
      <c r="L94" t="n">
        <v>0</v>
      </c>
      <c r="M94" t="n">
        <v>0</v>
      </c>
      <c r="N94" t="n">
        <v>0</v>
      </c>
      <c r="O94" t="n">
        <v>0</v>
      </c>
      <c r="P94" t="n">
        <v>0</v>
      </c>
      <c r="Q94" t="n">
        <v>0</v>
      </c>
      <c r="R94" s="2" t="inlineStr"/>
    </row>
    <row r="95" ht="15" customHeight="1">
      <c r="A95" t="inlineStr">
        <is>
          <t>A 47592-2025</t>
        </is>
      </c>
      <c r="B95" s="1" t="n">
        <v>45931.44649305556</v>
      </c>
      <c r="C95" s="1" t="n">
        <v>46011</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47593-2025</t>
        </is>
      </c>
      <c r="B96" s="1" t="n">
        <v>45931.4480787037</v>
      </c>
      <c r="C96" s="1" t="n">
        <v>46011</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46011</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57473-2022</t>
        </is>
      </c>
      <c r="B98" s="1" t="n">
        <v>44896</v>
      </c>
      <c r="C98" s="1" t="n">
        <v>46011</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56905-2025</t>
        </is>
      </c>
      <c r="B99" s="1" t="n">
        <v>45978.57502314815</v>
      </c>
      <c r="C99" s="1" t="n">
        <v>46011</v>
      </c>
      <c r="D99" t="inlineStr">
        <is>
          <t>VÄSTRA GÖTALANDS LÄN</t>
        </is>
      </c>
      <c r="E99" t="inlineStr">
        <is>
          <t>ALE</t>
        </is>
      </c>
      <c r="G99" t="n">
        <v>5.2</v>
      </c>
      <c r="H99" t="n">
        <v>0</v>
      </c>
      <c r="I99" t="n">
        <v>0</v>
      </c>
      <c r="J99" t="n">
        <v>0</v>
      </c>
      <c r="K99" t="n">
        <v>0</v>
      </c>
      <c r="L99" t="n">
        <v>0</v>
      </c>
      <c r="M99" t="n">
        <v>0</v>
      </c>
      <c r="N99" t="n">
        <v>0</v>
      </c>
      <c r="O99" t="n">
        <v>0</v>
      </c>
      <c r="P99" t="n">
        <v>0</v>
      </c>
      <c r="Q99" t="n">
        <v>0</v>
      </c>
      <c r="R99" s="2" t="inlineStr"/>
    </row>
    <row r="100" ht="15" customHeight="1">
      <c r="A100" t="inlineStr">
        <is>
          <t>A 1566-2022</t>
        </is>
      </c>
      <c r="B100" s="1" t="n">
        <v>44573</v>
      </c>
      <c r="C100" s="1" t="n">
        <v>46011</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12445-2022</t>
        </is>
      </c>
      <c r="B101" s="1" t="n">
        <v>44638</v>
      </c>
      <c r="C101" s="1" t="n">
        <v>46011</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48213-2025</t>
        </is>
      </c>
      <c r="B102" s="1" t="n">
        <v>45933</v>
      </c>
      <c r="C102" s="1" t="n">
        <v>46011</v>
      </c>
      <c r="D102" t="inlineStr">
        <is>
          <t>VÄSTRA GÖTALANDS LÄN</t>
        </is>
      </c>
      <c r="E102" t="inlineStr">
        <is>
          <t>ALE</t>
        </is>
      </c>
      <c r="G102" t="n">
        <v>3.3</v>
      </c>
      <c r="H102" t="n">
        <v>0</v>
      </c>
      <c r="I102" t="n">
        <v>0</v>
      </c>
      <c r="J102" t="n">
        <v>0</v>
      </c>
      <c r="K102" t="n">
        <v>0</v>
      </c>
      <c r="L102" t="n">
        <v>0</v>
      </c>
      <c r="M102" t="n">
        <v>0</v>
      </c>
      <c r="N102" t="n">
        <v>0</v>
      </c>
      <c r="O102" t="n">
        <v>0</v>
      </c>
      <c r="P102" t="n">
        <v>0</v>
      </c>
      <c r="Q102" t="n">
        <v>0</v>
      </c>
      <c r="R102" s="2" t="inlineStr"/>
    </row>
    <row r="103" ht="15" customHeight="1">
      <c r="A103" t="inlineStr">
        <is>
          <t>A 48218-2025</t>
        </is>
      </c>
      <c r="B103" s="1" t="n">
        <v>45933</v>
      </c>
      <c r="C103" s="1" t="n">
        <v>46011</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35959-2022</t>
        </is>
      </c>
      <c r="B104" s="1" t="n">
        <v>44802.57002314815</v>
      </c>
      <c r="C104" s="1" t="n">
        <v>46011</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46011</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49955-2021</t>
        </is>
      </c>
      <c r="B106" s="1" t="n">
        <v>44456</v>
      </c>
      <c r="C106" s="1" t="n">
        <v>46011</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17044-2025</t>
        </is>
      </c>
      <c r="B107" s="1" t="n">
        <v>45755.58891203703</v>
      </c>
      <c r="C107" s="1" t="n">
        <v>46011</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50189-2025</t>
        </is>
      </c>
      <c r="B108" s="1" t="n">
        <v>45943.63476851852</v>
      </c>
      <c r="C108" s="1" t="n">
        <v>46011</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58414-2025</t>
        </is>
      </c>
      <c r="B109" s="1" t="n">
        <v>45985.57778935185</v>
      </c>
      <c r="C109" s="1" t="n">
        <v>46011</v>
      </c>
      <c r="D109" t="inlineStr">
        <is>
          <t>VÄSTRA GÖTALANDS LÄN</t>
        </is>
      </c>
      <c r="E109" t="inlineStr">
        <is>
          <t>ALE</t>
        </is>
      </c>
      <c r="G109" t="n">
        <v>4.3</v>
      </c>
      <c r="H109" t="n">
        <v>0</v>
      </c>
      <c r="I109" t="n">
        <v>0</v>
      </c>
      <c r="J109" t="n">
        <v>0</v>
      </c>
      <c r="K109" t="n">
        <v>0</v>
      </c>
      <c r="L109" t="n">
        <v>0</v>
      </c>
      <c r="M109" t="n">
        <v>0</v>
      </c>
      <c r="N109" t="n">
        <v>0</v>
      </c>
      <c r="O109" t="n">
        <v>0</v>
      </c>
      <c r="P109" t="n">
        <v>0</v>
      </c>
      <c r="Q109" t="n">
        <v>0</v>
      </c>
      <c r="R109" s="2" t="inlineStr"/>
    </row>
    <row r="110" ht="15" customHeight="1">
      <c r="A110" t="inlineStr">
        <is>
          <t>A 58412-2025</t>
        </is>
      </c>
      <c r="B110" s="1" t="n">
        <v>45985.57564814815</v>
      </c>
      <c r="C110" s="1" t="n">
        <v>46011</v>
      </c>
      <c r="D110" t="inlineStr">
        <is>
          <t>VÄSTRA GÖTALANDS LÄN</t>
        </is>
      </c>
      <c r="E110" t="inlineStr">
        <is>
          <t>ALE</t>
        </is>
      </c>
      <c r="G110" t="n">
        <v>3.2</v>
      </c>
      <c r="H110" t="n">
        <v>0</v>
      </c>
      <c r="I110" t="n">
        <v>0</v>
      </c>
      <c r="J110" t="n">
        <v>0</v>
      </c>
      <c r="K110" t="n">
        <v>0</v>
      </c>
      <c r="L110" t="n">
        <v>0</v>
      </c>
      <c r="M110" t="n">
        <v>0</v>
      </c>
      <c r="N110" t="n">
        <v>0</v>
      </c>
      <c r="O110" t="n">
        <v>0</v>
      </c>
      <c r="P110" t="n">
        <v>0</v>
      </c>
      <c r="Q110" t="n">
        <v>0</v>
      </c>
      <c r="R110" s="2" t="inlineStr"/>
    </row>
    <row r="111" ht="15" customHeight="1">
      <c r="A111" t="inlineStr">
        <is>
          <t>A 59409-2025</t>
        </is>
      </c>
      <c r="B111" s="1" t="n">
        <v>45989.49545138889</v>
      </c>
      <c r="C111" s="1" t="n">
        <v>46011</v>
      </c>
      <c r="D111" t="inlineStr">
        <is>
          <t>VÄSTRA GÖTALANDS LÄN</t>
        </is>
      </c>
      <c r="E111" t="inlineStr">
        <is>
          <t>ALE</t>
        </is>
      </c>
      <c r="G111" t="n">
        <v>0.3</v>
      </c>
      <c r="H111" t="n">
        <v>0</v>
      </c>
      <c r="I111" t="n">
        <v>0</v>
      </c>
      <c r="J111" t="n">
        <v>0</v>
      </c>
      <c r="K111" t="n">
        <v>0</v>
      </c>
      <c r="L111" t="n">
        <v>0</v>
      </c>
      <c r="M111" t="n">
        <v>0</v>
      </c>
      <c r="N111" t="n">
        <v>0</v>
      </c>
      <c r="O111" t="n">
        <v>0</v>
      </c>
      <c r="P111" t="n">
        <v>0</v>
      </c>
      <c r="Q111" t="n">
        <v>0</v>
      </c>
      <c r="R111" s="2" t="inlineStr"/>
    </row>
    <row r="112" ht="15" customHeight="1">
      <c r="A112" t="inlineStr">
        <is>
          <t>A 50973-2025</t>
        </is>
      </c>
      <c r="B112" s="1" t="n">
        <v>45947.31263888889</v>
      </c>
      <c r="C112" s="1" t="n">
        <v>46011</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34104-2024</t>
        </is>
      </c>
      <c r="B113" s="1" t="n">
        <v>45523.79202546296</v>
      </c>
      <c r="C113" s="1" t="n">
        <v>46011</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60287-2025</t>
        </is>
      </c>
      <c r="B114" s="1" t="n">
        <v>45994.64711805555</v>
      </c>
      <c r="C114" s="1" t="n">
        <v>46011</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51976-2025</t>
        </is>
      </c>
      <c r="B115" s="1" t="n">
        <v>45952.56412037037</v>
      </c>
      <c r="C115" s="1" t="n">
        <v>46011</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60293-2025</t>
        </is>
      </c>
      <c r="B116" s="1" t="n">
        <v>45994.65568287037</v>
      </c>
      <c r="C116" s="1" t="n">
        <v>46011</v>
      </c>
      <c r="D116" t="inlineStr">
        <is>
          <t>VÄSTRA GÖTALANDS LÄN</t>
        </is>
      </c>
      <c r="E116" t="inlineStr">
        <is>
          <t>ALE</t>
        </is>
      </c>
      <c r="G116" t="n">
        <v>1.9</v>
      </c>
      <c r="H116" t="n">
        <v>0</v>
      </c>
      <c r="I116" t="n">
        <v>0</v>
      </c>
      <c r="J116" t="n">
        <v>0</v>
      </c>
      <c r="K116" t="n">
        <v>0</v>
      </c>
      <c r="L116" t="n">
        <v>0</v>
      </c>
      <c r="M116" t="n">
        <v>0</v>
      </c>
      <c r="N116" t="n">
        <v>0</v>
      </c>
      <c r="O116" t="n">
        <v>0</v>
      </c>
      <c r="P116" t="n">
        <v>0</v>
      </c>
      <c r="Q116" t="n">
        <v>0</v>
      </c>
      <c r="R116" s="2" t="inlineStr"/>
    </row>
    <row r="117" ht="15" customHeight="1">
      <c r="A117" t="inlineStr">
        <is>
          <t>A 48257-2022</t>
        </is>
      </c>
      <c r="B117" s="1" t="n">
        <v>44858.47591435185</v>
      </c>
      <c r="C117" s="1" t="n">
        <v>46011</v>
      </c>
      <c r="D117" t="inlineStr">
        <is>
          <t>VÄSTRA GÖTALANDS LÄN</t>
        </is>
      </c>
      <c r="E117" t="inlineStr">
        <is>
          <t>ALE</t>
        </is>
      </c>
      <c r="G117" t="n">
        <v>1</v>
      </c>
      <c r="H117" t="n">
        <v>0</v>
      </c>
      <c r="I117" t="n">
        <v>0</v>
      </c>
      <c r="J117" t="n">
        <v>0</v>
      </c>
      <c r="K117" t="n">
        <v>0</v>
      </c>
      <c r="L117" t="n">
        <v>0</v>
      </c>
      <c r="M117" t="n">
        <v>0</v>
      </c>
      <c r="N117" t="n">
        <v>0</v>
      </c>
      <c r="O117" t="n">
        <v>0</v>
      </c>
      <c r="P117" t="n">
        <v>0</v>
      </c>
      <c r="Q117" t="n">
        <v>0</v>
      </c>
      <c r="R117" s="2" t="inlineStr"/>
    </row>
    <row r="118" ht="15" customHeight="1">
      <c r="A118" t="inlineStr">
        <is>
          <t>A 18999-2021</t>
        </is>
      </c>
      <c r="B118" s="1" t="n">
        <v>44308</v>
      </c>
      <c r="C118" s="1" t="n">
        <v>46011</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52391-2025</t>
        </is>
      </c>
      <c r="B119" s="1" t="n">
        <v>45954.34305555555</v>
      </c>
      <c r="C119" s="1" t="n">
        <v>46011</v>
      </c>
      <c r="D119" t="inlineStr">
        <is>
          <t>VÄSTRA GÖTALANDS LÄN</t>
        </is>
      </c>
      <c r="E119" t="inlineStr">
        <is>
          <t>ALE</t>
        </is>
      </c>
      <c r="G119" t="n">
        <v>10.6</v>
      </c>
      <c r="H119" t="n">
        <v>0</v>
      </c>
      <c r="I119" t="n">
        <v>0</v>
      </c>
      <c r="J119" t="n">
        <v>0</v>
      </c>
      <c r="K119" t="n">
        <v>0</v>
      </c>
      <c r="L119" t="n">
        <v>0</v>
      </c>
      <c r="M119" t="n">
        <v>0</v>
      </c>
      <c r="N119" t="n">
        <v>0</v>
      </c>
      <c r="O119" t="n">
        <v>0</v>
      </c>
      <c r="P119" t="n">
        <v>0</v>
      </c>
      <c r="Q119" t="n">
        <v>0</v>
      </c>
      <c r="R119" s="2" t="inlineStr"/>
    </row>
    <row r="120" ht="15" customHeight="1">
      <c r="A120" t="inlineStr">
        <is>
          <t>A 52423-2025</t>
        </is>
      </c>
      <c r="B120" s="1" t="n">
        <v>45954.37650462963</v>
      </c>
      <c r="C120" s="1" t="n">
        <v>46011</v>
      </c>
      <c r="D120" t="inlineStr">
        <is>
          <t>VÄSTRA GÖTALANDS LÄN</t>
        </is>
      </c>
      <c r="E120" t="inlineStr">
        <is>
          <t>ALE</t>
        </is>
      </c>
      <c r="G120" t="n">
        <v>4.1</v>
      </c>
      <c r="H120" t="n">
        <v>0</v>
      </c>
      <c r="I120" t="n">
        <v>0</v>
      </c>
      <c r="J120" t="n">
        <v>0</v>
      </c>
      <c r="K120" t="n">
        <v>0</v>
      </c>
      <c r="L120" t="n">
        <v>0</v>
      </c>
      <c r="M120" t="n">
        <v>0</v>
      </c>
      <c r="N120" t="n">
        <v>0</v>
      </c>
      <c r="O120" t="n">
        <v>0</v>
      </c>
      <c r="P120" t="n">
        <v>0</v>
      </c>
      <c r="Q120" t="n">
        <v>0</v>
      </c>
      <c r="R120" s="2" t="inlineStr"/>
    </row>
    <row r="121" ht="15" customHeight="1">
      <c r="A121" t="inlineStr">
        <is>
          <t>A 1687-2024</t>
        </is>
      </c>
      <c r="B121" s="1" t="n">
        <v>45306</v>
      </c>
      <c r="C121" s="1" t="n">
        <v>46011</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50451-2024</t>
        </is>
      </c>
      <c r="B122" s="1" t="n">
        <v>45601.44248842593</v>
      </c>
      <c r="C122" s="1" t="n">
        <v>46011</v>
      </c>
      <c r="D122" t="inlineStr">
        <is>
          <t>VÄSTRA GÖTALANDS LÄN</t>
        </is>
      </c>
      <c r="E122" t="inlineStr">
        <is>
          <t>ALE</t>
        </is>
      </c>
      <c r="G122" t="n">
        <v>2.9</v>
      </c>
      <c r="H122" t="n">
        <v>0</v>
      </c>
      <c r="I122" t="n">
        <v>0</v>
      </c>
      <c r="J122" t="n">
        <v>0</v>
      </c>
      <c r="K122" t="n">
        <v>0</v>
      </c>
      <c r="L122" t="n">
        <v>0</v>
      </c>
      <c r="M122" t="n">
        <v>0</v>
      </c>
      <c r="N122" t="n">
        <v>0</v>
      </c>
      <c r="O122" t="n">
        <v>0</v>
      </c>
      <c r="P122" t="n">
        <v>0</v>
      </c>
      <c r="Q122" t="n">
        <v>0</v>
      </c>
      <c r="R122" s="2" t="inlineStr"/>
    </row>
    <row r="123" ht="15" customHeight="1">
      <c r="A123" t="inlineStr">
        <is>
          <t>A 49680-2024</t>
        </is>
      </c>
      <c r="B123" s="1" t="n">
        <v>45596.66880787037</v>
      </c>
      <c r="C123" s="1" t="n">
        <v>46011</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61771-2025</t>
        </is>
      </c>
      <c r="B124" s="1" t="n">
        <v>46002.6478587963</v>
      </c>
      <c r="C124" s="1" t="n">
        <v>46011</v>
      </c>
      <c r="D124" t="inlineStr">
        <is>
          <t>VÄSTRA GÖTALANDS LÄN</t>
        </is>
      </c>
      <c r="E124" t="inlineStr">
        <is>
          <t>ALE</t>
        </is>
      </c>
      <c r="G124" t="n">
        <v>3.9</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46011</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61819-2025</t>
        </is>
      </c>
      <c r="B126" s="1" t="n">
        <v>46003.3241087963</v>
      </c>
      <c r="C126" s="1" t="n">
        <v>46011</v>
      </c>
      <c r="D126" t="inlineStr">
        <is>
          <t>VÄSTRA GÖTALANDS LÄN</t>
        </is>
      </c>
      <c r="E126" t="inlineStr">
        <is>
          <t>ALE</t>
        </is>
      </c>
      <c r="G126" t="n">
        <v>5.1</v>
      </c>
      <c r="H126" t="n">
        <v>0</v>
      </c>
      <c r="I126" t="n">
        <v>0</v>
      </c>
      <c r="J126" t="n">
        <v>0</v>
      </c>
      <c r="K126" t="n">
        <v>0</v>
      </c>
      <c r="L126" t="n">
        <v>0</v>
      </c>
      <c r="M126" t="n">
        <v>0</v>
      </c>
      <c r="N126" t="n">
        <v>0</v>
      </c>
      <c r="O126" t="n">
        <v>0</v>
      </c>
      <c r="P126" t="n">
        <v>0</v>
      </c>
      <c r="Q126" t="n">
        <v>0</v>
      </c>
      <c r="R126" s="2" t="inlineStr"/>
    </row>
    <row r="127" ht="15" customHeight="1">
      <c r="A127" t="inlineStr">
        <is>
          <t>A 62828-2025</t>
        </is>
      </c>
      <c r="B127" s="1" t="n">
        <v>46008.66553240741</v>
      </c>
      <c r="C127" s="1" t="n">
        <v>46011</v>
      </c>
      <c r="D127" t="inlineStr">
        <is>
          <t>VÄSTRA GÖTALANDS LÄN</t>
        </is>
      </c>
      <c r="E127" t="inlineStr">
        <is>
          <t>ALE</t>
        </is>
      </c>
      <c r="G127" t="n">
        <v>2.6</v>
      </c>
      <c r="H127" t="n">
        <v>0</v>
      </c>
      <c r="I127" t="n">
        <v>0</v>
      </c>
      <c r="J127" t="n">
        <v>0</v>
      </c>
      <c r="K127" t="n">
        <v>0</v>
      </c>
      <c r="L127" t="n">
        <v>0</v>
      </c>
      <c r="M127" t="n">
        <v>0</v>
      </c>
      <c r="N127" t="n">
        <v>0</v>
      </c>
      <c r="O127" t="n">
        <v>0</v>
      </c>
      <c r="P127" t="n">
        <v>0</v>
      </c>
      <c r="Q127" t="n">
        <v>0</v>
      </c>
      <c r="R127" s="2" t="inlineStr"/>
    </row>
    <row r="128" ht="15" customHeight="1">
      <c r="A128" t="inlineStr">
        <is>
          <t>A 7807-2023</t>
        </is>
      </c>
      <c r="B128" s="1" t="n">
        <v>44973</v>
      </c>
      <c r="C128" s="1" t="n">
        <v>46011</v>
      </c>
      <c r="D128" t="inlineStr">
        <is>
          <t>VÄSTRA GÖTALANDS LÄN</t>
        </is>
      </c>
      <c r="E128" t="inlineStr">
        <is>
          <t>ALE</t>
        </is>
      </c>
      <c r="G128" t="n">
        <v>10.5</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46011</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63239-2025</t>
        </is>
      </c>
      <c r="B130" s="1" t="n">
        <v>46010.52755787037</v>
      </c>
      <c r="C130" s="1" t="n">
        <v>46011</v>
      </c>
      <c r="D130" t="inlineStr">
        <is>
          <t>VÄSTRA GÖTALANDS LÄN</t>
        </is>
      </c>
      <c r="E130" t="inlineStr">
        <is>
          <t>ALE</t>
        </is>
      </c>
      <c r="G130" t="n">
        <v>1.4</v>
      </c>
      <c r="H130" t="n">
        <v>0</v>
      </c>
      <c r="I130" t="n">
        <v>0</v>
      </c>
      <c r="J130" t="n">
        <v>0</v>
      </c>
      <c r="K130" t="n">
        <v>0</v>
      </c>
      <c r="L130" t="n">
        <v>0</v>
      </c>
      <c r="M130" t="n">
        <v>0</v>
      </c>
      <c r="N130" t="n">
        <v>0</v>
      </c>
      <c r="O130" t="n">
        <v>0</v>
      </c>
      <c r="P130" t="n">
        <v>0</v>
      </c>
      <c r="Q130" t="n">
        <v>0</v>
      </c>
      <c r="R130" s="2" t="inlineStr"/>
    </row>
    <row r="131" ht="15" customHeight="1">
      <c r="A131" t="inlineStr">
        <is>
          <t>A 42446-2023</t>
        </is>
      </c>
      <c r="B131" s="1" t="n">
        <v>45180</v>
      </c>
      <c r="C131" s="1" t="n">
        <v>46011</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67160-2021</t>
        </is>
      </c>
      <c r="B132" s="1" t="n">
        <v>44523</v>
      </c>
      <c r="C132" s="1" t="n">
        <v>46011</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46011</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32762-2023</t>
        </is>
      </c>
      <c r="B134" s="1" t="n">
        <v>45123.46649305556</v>
      </c>
      <c r="C134" s="1" t="n">
        <v>46011</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44827.4609837963</v>
      </c>
      <c r="C135" s="1" t="n">
        <v>46011</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14458-2024</t>
        </is>
      </c>
      <c r="B136" s="1" t="n">
        <v>45394</v>
      </c>
      <c r="C136" s="1" t="n">
        <v>46011</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47087-2023</t>
        </is>
      </c>
      <c r="B137" s="1" t="n">
        <v>45196</v>
      </c>
      <c r="C137" s="1" t="n">
        <v>46011</v>
      </c>
      <c r="D137" t="inlineStr">
        <is>
          <t>VÄSTRA GÖTALANDS LÄN</t>
        </is>
      </c>
      <c r="E137" t="inlineStr">
        <is>
          <t>ALE</t>
        </is>
      </c>
      <c r="G137" t="n">
        <v>1.6</v>
      </c>
      <c r="H137" t="n">
        <v>0</v>
      </c>
      <c r="I137" t="n">
        <v>0</v>
      </c>
      <c r="J137" t="n">
        <v>0</v>
      </c>
      <c r="K137" t="n">
        <v>0</v>
      </c>
      <c r="L137" t="n">
        <v>0</v>
      </c>
      <c r="M137" t="n">
        <v>0</v>
      </c>
      <c r="N137" t="n">
        <v>0</v>
      </c>
      <c r="O137" t="n">
        <v>0</v>
      </c>
      <c r="P137" t="n">
        <v>0</v>
      </c>
      <c r="Q137" t="n">
        <v>0</v>
      </c>
      <c r="R137" s="2" t="inlineStr"/>
    </row>
    <row r="138" ht="15" customHeight="1">
      <c r="A138" t="inlineStr">
        <is>
          <t>A 4642-2024</t>
        </is>
      </c>
      <c r="B138" s="1" t="n">
        <v>45328.43502314815</v>
      </c>
      <c r="C138" s="1" t="n">
        <v>46011</v>
      </c>
      <c r="D138" t="inlineStr">
        <is>
          <t>VÄSTRA GÖTALANDS LÄN</t>
        </is>
      </c>
      <c r="E138" t="inlineStr">
        <is>
          <t>ALE</t>
        </is>
      </c>
      <c r="G138" t="n">
        <v>7.1</v>
      </c>
      <c r="H138" t="n">
        <v>0</v>
      </c>
      <c r="I138" t="n">
        <v>0</v>
      </c>
      <c r="J138" t="n">
        <v>0</v>
      </c>
      <c r="K138" t="n">
        <v>0</v>
      </c>
      <c r="L138" t="n">
        <v>0</v>
      </c>
      <c r="M138" t="n">
        <v>0</v>
      </c>
      <c r="N138" t="n">
        <v>0</v>
      </c>
      <c r="O138" t="n">
        <v>0</v>
      </c>
      <c r="P138" t="n">
        <v>0</v>
      </c>
      <c r="Q138" t="n">
        <v>0</v>
      </c>
      <c r="R138" s="2" t="inlineStr"/>
    </row>
    <row r="139" ht="15" customHeight="1">
      <c r="A139" t="inlineStr">
        <is>
          <t>A 14731-2022</t>
        </is>
      </c>
      <c r="B139" s="1" t="n">
        <v>44656</v>
      </c>
      <c r="C139" s="1" t="n">
        <v>46011</v>
      </c>
      <c r="D139" t="inlineStr">
        <is>
          <t>VÄSTRA GÖTALANDS LÄN</t>
        </is>
      </c>
      <c r="E139" t="inlineStr">
        <is>
          <t>ALE</t>
        </is>
      </c>
      <c r="G139" t="n">
        <v>1.8</v>
      </c>
      <c r="H139" t="n">
        <v>0</v>
      </c>
      <c r="I139" t="n">
        <v>0</v>
      </c>
      <c r="J139" t="n">
        <v>0</v>
      </c>
      <c r="K139" t="n">
        <v>0</v>
      </c>
      <c r="L139" t="n">
        <v>0</v>
      </c>
      <c r="M139" t="n">
        <v>0</v>
      </c>
      <c r="N139" t="n">
        <v>0</v>
      </c>
      <c r="O139" t="n">
        <v>0</v>
      </c>
      <c r="P139" t="n">
        <v>0</v>
      </c>
      <c r="Q139" t="n">
        <v>0</v>
      </c>
      <c r="R139" s="2" t="inlineStr"/>
    </row>
    <row r="140" ht="15" customHeight="1">
      <c r="A140" t="inlineStr">
        <is>
          <t>A 3520-2022</t>
        </is>
      </c>
      <c r="B140" s="1" t="n">
        <v>44585.72818287037</v>
      </c>
      <c r="C140" s="1" t="n">
        <v>46011</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33237-2024</t>
        </is>
      </c>
      <c r="B141" s="1" t="n">
        <v>45518.59173611111</v>
      </c>
      <c r="C141" s="1" t="n">
        <v>46011</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44429-2023</t>
        </is>
      </c>
      <c r="B142" s="1" t="n">
        <v>45189.35101851852</v>
      </c>
      <c r="C142" s="1" t="n">
        <v>46011</v>
      </c>
      <c r="D142" t="inlineStr">
        <is>
          <t>VÄSTRA GÖTALANDS LÄN</t>
        </is>
      </c>
      <c r="E142" t="inlineStr">
        <is>
          <t>ALE</t>
        </is>
      </c>
      <c r="G142" t="n">
        <v>0.1</v>
      </c>
      <c r="H142" t="n">
        <v>0</v>
      </c>
      <c r="I142" t="n">
        <v>0</v>
      </c>
      <c r="J142" t="n">
        <v>0</v>
      </c>
      <c r="K142" t="n">
        <v>0</v>
      </c>
      <c r="L142" t="n">
        <v>0</v>
      </c>
      <c r="M142" t="n">
        <v>0</v>
      </c>
      <c r="N142" t="n">
        <v>0</v>
      </c>
      <c r="O142" t="n">
        <v>0</v>
      </c>
      <c r="P142" t="n">
        <v>0</v>
      </c>
      <c r="Q142" t="n">
        <v>0</v>
      </c>
      <c r="R142" s="2" t="inlineStr"/>
    </row>
    <row r="143" ht="15" customHeight="1">
      <c r="A143" t="inlineStr">
        <is>
          <t>A 7892-2024</t>
        </is>
      </c>
      <c r="B143" s="1" t="n">
        <v>45350.40921296296</v>
      </c>
      <c r="C143" s="1" t="n">
        <v>46011</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51164-2024</t>
        </is>
      </c>
      <c r="B144" s="1" t="n">
        <v>45603.5830787037</v>
      </c>
      <c r="C144" s="1" t="n">
        <v>46011</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4444-2024</t>
        </is>
      </c>
      <c r="B145" s="1" t="n">
        <v>45327</v>
      </c>
      <c r="C145" s="1" t="n">
        <v>46011</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72801-2021</t>
        </is>
      </c>
      <c r="B146" s="1" t="n">
        <v>44546</v>
      </c>
      <c r="C146" s="1" t="n">
        <v>46011</v>
      </c>
      <c r="D146" t="inlineStr">
        <is>
          <t>VÄSTRA GÖTALANDS LÄN</t>
        </is>
      </c>
      <c r="E146" t="inlineStr">
        <is>
          <t>ALE</t>
        </is>
      </c>
      <c r="F146" t="inlineStr">
        <is>
          <t>Naturvårdsverket</t>
        </is>
      </c>
      <c r="G146" t="n">
        <v>1.4</v>
      </c>
      <c r="H146" t="n">
        <v>0</v>
      </c>
      <c r="I146" t="n">
        <v>0</v>
      </c>
      <c r="J146" t="n">
        <v>0</v>
      </c>
      <c r="K146" t="n">
        <v>0</v>
      </c>
      <c r="L146" t="n">
        <v>0</v>
      </c>
      <c r="M146" t="n">
        <v>0</v>
      </c>
      <c r="N146" t="n">
        <v>0</v>
      </c>
      <c r="O146" t="n">
        <v>0</v>
      </c>
      <c r="P146" t="n">
        <v>0</v>
      </c>
      <c r="Q146" t="n">
        <v>0</v>
      </c>
      <c r="R146" s="2" t="inlineStr"/>
    </row>
    <row r="147" ht="15" customHeight="1">
      <c r="A147" t="inlineStr">
        <is>
          <t>A 8956-2025</t>
        </is>
      </c>
      <c r="B147" s="1" t="n">
        <v>45713.46825231481</v>
      </c>
      <c r="C147" s="1" t="n">
        <v>46011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1822-2024</t>
        </is>
      </c>
      <c r="B148" s="1" t="n">
        <v>45307.6205787037</v>
      </c>
      <c r="C148" s="1" t="n">
        <v>46011</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15241-2025</t>
        </is>
      </c>
      <c r="B149" s="1" t="n">
        <v>45744.61255787037</v>
      </c>
      <c r="C149" s="1" t="n">
        <v>46011</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6947-2024</t>
        </is>
      </c>
      <c r="B150" s="1" t="n">
        <v>45343</v>
      </c>
      <c r="C150" s="1" t="n">
        <v>46011</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34153-2024</t>
        </is>
      </c>
      <c r="B151" s="1" t="n">
        <v>45524.38400462963</v>
      </c>
      <c r="C151" s="1" t="n">
        <v>46011</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46011</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46011</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46011</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46011</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46011</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46011</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46011</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46011</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46011</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69325-2020</t>
        </is>
      </c>
      <c r="B161" s="1" t="n">
        <v>44193</v>
      </c>
      <c r="C161" s="1" t="n">
        <v>46011</v>
      </c>
      <c r="D161" t="inlineStr">
        <is>
          <t>VÄSTRA GÖTALANDS LÄN</t>
        </is>
      </c>
      <c r="E161" t="inlineStr">
        <is>
          <t>ALE</t>
        </is>
      </c>
      <c r="G161" t="n">
        <v>1</v>
      </c>
      <c r="H161" t="n">
        <v>0</v>
      </c>
      <c r="I161" t="n">
        <v>0</v>
      </c>
      <c r="J161" t="n">
        <v>0</v>
      </c>
      <c r="K161" t="n">
        <v>0</v>
      </c>
      <c r="L161" t="n">
        <v>0</v>
      </c>
      <c r="M161" t="n">
        <v>0</v>
      </c>
      <c r="N161" t="n">
        <v>0</v>
      </c>
      <c r="O161" t="n">
        <v>0</v>
      </c>
      <c r="P161" t="n">
        <v>0</v>
      </c>
      <c r="Q161" t="n">
        <v>0</v>
      </c>
      <c r="R161" s="2" t="inlineStr"/>
    </row>
    <row r="162" ht="15" customHeight="1">
      <c r="A162" t="inlineStr">
        <is>
          <t>A 5916-2023</t>
        </is>
      </c>
      <c r="B162" s="1" t="n">
        <v>44963</v>
      </c>
      <c r="C162" s="1" t="n">
        <v>46011</v>
      </c>
      <c r="D162" t="inlineStr">
        <is>
          <t>VÄSTRA GÖTALANDS LÄN</t>
        </is>
      </c>
      <c r="E162" t="inlineStr">
        <is>
          <t>ALE</t>
        </is>
      </c>
      <c r="G162" t="n">
        <v>4.2</v>
      </c>
      <c r="H162" t="n">
        <v>0</v>
      </c>
      <c r="I162" t="n">
        <v>0</v>
      </c>
      <c r="J162" t="n">
        <v>0</v>
      </c>
      <c r="K162" t="n">
        <v>0</v>
      </c>
      <c r="L162" t="n">
        <v>0</v>
      </c>
      <c r="M162" t="n">
        <v>0</v>
      </c>
      <c r="N162" t="n">
        <v>0</v>
      </c>
      <c r="O162" t="n">
        <v>0</v>
      </c>
      <c r="P162" t="n">
        <v>0</v>
      </c>
      <c r="Q162" t="n">
        <v>0</v>
      </c>
      <c r="R162" s="2" t="inlineStr"/>
    </row>
    <row r="163" ht="15" customHeight="1">
      <c r="A163" t="inlineStr">
        <is>
          <t>A 4363-2024</t>
        </is>
      </c>
      <c r="B163" s="1" t="n">
        <v>45325</v>
      </c>
      <c r="C163" s="1" t="n">
        <v>46011</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16601-2025</t>
        </is>
      </c>
      <c r="B164" s="1" t="n">
        <v>45753.53189814815</v>
      </c>
      <c r="C164" s="1" t="n">
        <v>46011</v>
      </c>
      <c r="D164" t="inlineStr">
        <is>
          <t>VÄSTRA GÖTALANDS LÄN</t>
        </is>
      </c>
      <c r="E164" t="inlineStr">
        <is>
          <t>ALE</t>
        </is>
      </c>
      <c r="G164" t="n">
        <v>1.7</v>
      </c>
      <c r="H164" t="n">
        <v>0</v>
      </c>
      <c r="I164" t="n">
        <v>0</v>
      </c>
      <c r="J164" t="n">
        <v>0</v>
      </c>
      <c r="K164" t="n">
        <v>0</v>
      </c>
      <c r="L164" t="n">
        <v>0</v>
      </c>
      <c r="M164" t="n">
        <v>0</v>
      </c>
      <c r="N164" t="n">
        <v>0</v>
      </c>
      <c r="O164" t="n">
        <v>0</v>
      </c>
      <c r="P164" t="n">
        <v>0</v>
      </c>
      <c r="Q164" t="n">
        <v>0</v>
      </c>
      <c r="R164" s="2" t="inlineStr"/>
    </row>
    <row r="165" ht="15" customHeight="1">
      <c r="A165" t="inlineStr">
        <is>
          <t>A 20067-2023</t>
        </is>
      </c>
      <c r="B165" s="1" t="n">
        <v>45054</v>
      </c>
      <c r="C165" s="1" t="n">
        <v>46011</v>
      </c>
      <c r="D165" t="inlineStr">
        <is>
          <t>VÄSTRA GÖTALANDS LÄN</t>
        </is>
      </c>
      <c r="E165" t="inlineStr">
        <is>
          <t>ALE</t>
        </is>
      </c>
      <c r="G165" t="n">
        <v>0.4</v>
      </c>
      <c r="H165" t="n">
        <v>0</v>
      </c>
      <c r="I165" t="n">
        <v>0</v>
      </c>
      <c r="J165" t="n">
        <v>0</v>
      </c>
      <c r="K165" t="n">
        <v>0</v>
      </c>
      <c r="L165" t="n">
        <v>0</v>
      </c>
      <c r="M165" t="n">
        <v>0</v>
      </c>
      <c r="N165" t="n">
        <v>0</v>
      </c>
      <c r="O165" t="n">
        <v>0</v>
      </c>
      <c r="P165" t="n">
        <v>0</v>
      </c>
      <c r="Q165" t="n">
        <v>0</v>
      </c>
      <c r="R165" s="2" t="inlineStr"/>
    </row>
    <row r="166" ht="15" customHeight="1">
      <c r="A166" t="inlineStr">
        <is>
          <t>A 1500-2024</t>
        </is>
      </c>
      <c r="B166" s="1" t="n">
        <v>45306</v>
      </c>
      <c r="C166" s="1" t="n">
        <v>46011</v>
      </c>
      <c r="D166" t="inlineStr">
        <is>
          <t>VÄSTRA GÖTALANDS LÄN</t>
        </is>
      </c>
      <c r="E166" t="inlineStr">
        <is>
          <t>ALE</t>
        </is>
      </c>
      <c r="G166" t="n">
        <v>1.3</v>
      </c>
      <c r="H166" t="n">
        <v>0</v>
      </c>
      <c r="I166" t="n">
        <v>0</v>
      </c>
      <c r="J166" t="n">
        <v>0</v>
      </c>
      <c r="K166" t="n">
        <v>0</v>
      </c>
      <c r="L166" t="n">
        <v>0</v>
      </c>
      <c r="M166" t="n">
        <v>0</v>
      </c>
      <c r="N166" t="n">
        <v>0</v>
      </c>
      <c r="O166" t="n">
        <v>0</v>
      </c>
      <c r="P166" t="n">
        <v>0</v>
      </c>
      <c r="Q166" t="n">
        <v>0</v>
      </c>
      <c r="R166" s="2" t="inlineStr"/>
    </row>
    <row r="167" ht="15" customHeight="1">
      <c r="A167" t="inlineStr">
        <is>
          <t>A 6916-2023</t>
        </is>
      </c>
      <c r="B167" s="1" t="n">
        <v>44967.53349537037</v>
      </c>
      <c r="C167" s="1" t="n">
        <v>46011</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64199-2021</t>
        </is>
      </c>
      <c r="B168" s="1" t="n">
        <v>44510</v>
      </c>
      <c r="C168" s="1" t="n">
        <v>46011</v>
      </c>
      <c r="D168" t="inlineStr">
        <is>
          <t>VÄSTRA GÖTALANDS LÄN</t>
        </is>
      </c>
      <c r="E168" t="inlineStr">
        <is>
          <t>ALE</t>
        </is>
      </c>
      <c r="G168" t="n">
        <v>5.7</v>
      </c>
      <c r="H168" t="n">
        <v>0</v>
      </c>
      <c r="I168" t="n">
        <v>0</v>
      </c>
      <c r="J168" t="n">
        <v>0</v>
      </c>
      <c r="K168" t="n">
        <v>0</v>
      </c>
      <c r="L168" t="n">
        <v>0</v>
      </c>
      <c r="M168" t="n">
        <v>0</v>
      </c>
      <c r="N168" t="n">
        <v>0</v>
      </c>
      <c r="O168" t="n">
        <v>0</v>
      </c>
      <c r="P168" t="n">
        <v>0</v>
      </c>
      <c r="Q168" t="n">
        <v>0</v>
      </c>
      <c r="R168" s="2" t="inlineStr"/>
    </row>
    <row r="169" ht="15" customHeight="1">
      <c r="A169" t="inlineStr">
        <is>
          <t>A 15582-2025</t>
        </is>
      </c>
      <c r="B169" s="1" t="n">
        <v>45747.81394675926</v>
      </c>
      <c r="C169" s="1" t="n">
        <v>46011</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46011</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ht="15" customHeight="1">
      <c r="A171" t="inlineStr">
        <is>
          <t>A 4971-2024</t>
        </is>
      </c>
      <c r="B171" s="1" t="n">
        <v>45329</v>
      </c>
      <c r="C171" s="1" t="n">
        <v>46011</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c r="A172" t="inlineStr">
        <is>
          <t>A 37461-2024</t>
        </is>
      </c>
      <c r="B172" s="1" t="n">
        <v>45540.72516203704</v>
      </c>
      <c r="C172" s="1" t="n">
        <v>46011</v>
      </c>
      <c r="D172" t="inlineStr">
        <is>
          <t>VÄSTRA GÖTALANDS LÄN</t>
        </is>
      </c>
      <c r="E172" t="inlineStr">
        <is>
          <t>ALE</t>
        </is>
      </c>
      <c r="G172" t="n">
        <v>1.6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2025-12-20T14:09:13Z</dcterms:created>
  <dcterms:modified xmlns:dcterms="http://purl.org/dc/terms/" xmlns:xsi="http://www.w3.org/2001/XMLSchema-instance" xsi:type="dcterms:W3CDTF">2025-12-20T14:09:14Z</dcterms:modified>
</cp:coreProperties>
</file>