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46202</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46202</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46202</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46202</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46202</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7903-2024</t>
        </is>
      </c>
      <c r="B7" s="1" t="n">
        <v>45350</v>
      </c>
      <c r="C7" s="1" t="n">
        <v>46202</v>
      </c>
      <c r="D7" t="inlineStr">
        <is>
          <t>VÄSTRA GÖTALANDS LÄN</t>
        </is>
      </c>
      <c r="E7" t="inlineStr">
        <is>
          <t>ALE</t>
        </is>
      </c>
      <c r="G7" t="n">
        <v>4.2</v>
      </c>
      <c r="H7" t="n">
        <v>5</v>
      </c>
      <c r="I7" t="n">
        <v>3</v>
      </c>
      <c r="J7" t="n">
        <v>2</v>
      </c>
      <c r="K7" t="n">
        <v>0</v>
      </c>
      <c r="L7" t="n">
        <v>0</v>
      </c>
      <c r="M7" t="n">
        <v>0</v>
      </c>
      <c r="N7" t="n">
        <v>0</v>
      </c>
      <c r="O7" t="n">
        <v>2</v>
      </c>
      <c r="P7" t="n">
        <v>0</v>
      </c>
      <c r="Q7" t="n">
        <v>8</v>
      </c>
      <c r="R7" s="2" t="inlineStr">
        <is>
          <t>Entita
Talltita
Björksplintborre
Guldlockmossa
Platt fjädermossa
Spillkråka
Kungsfågel
Vanlig snok</t>
        </is>
      </c>
      <c r="S7">
        <f>HYPERLINK("https://klasma.github.io/Logging_1440/artfynd/A 7903-2024 artfynd.xlsx", "A 7903-2024")</f>
        <v/>
      </c>
      <c r="T7">
        <f>HYPERLINK("https://klasma.github.io/Logging_1440/kartor/A 7903-2024 karta.png", "A 7903-2024")</f>
        <v/>
      </c>
      <c r="V7">
        <f>HYPERLINK("https://klasma.github.io/Logging_1440/klagomål/A 7903-2024 FSC-klagomål.docx", "A 7903-2024")</f>
        <v/>
      </c>
      <c r="W7">
        <f>HYPERLINK("https://klasma.github.io/Logging_1440/klagomålsmail/A 7903-2024 FSC-klagomål mail.docx", "A 7903-2024")</f>
        <v/>
      </c>
      <c r="X7">
        <f>HYPERLINK("https://klasma.github.io/Logging_1440/tillsyn/A 7903-2024 tillsynsbegäran.docx", "A 7903-2024")</f>
        <v/>
      </c>
      <c r="Y7">
        <f>HYPERLINK("https://klasma.github.io/Logging_1440/tillsynsmail/A 7903-2024 tillsynsbegäran mail.docx", "A 7903-2024")</f>
        <v/>
      </c>
      <c r="Z7">
        <f>HYPERLINK("https://klasma.github.io/Logging_1440/fåglar/A 7903-2024 prioriterade fågelarter.docx", "A 7903-2024")</f>
        <v/>
      </c>
    </row>
    <row r="8" ht="15" customHeight="1">
      <c r="A8" t="inlineStr">
        <is>
          <t>A 15890-2026</t>
        </is>
      </c>
      <c r="B8" s="1" t="n">
        <v>46107</v>
      </c>
      <c r="C8" s="1" t="n">
        <v>46202</v>
      </c>
      <c r="D8" t="inlineStr">
        <is>
          <t>VÄSTRA GÖTALANDS LÄN</t>
        </is>
      </c>
      <c r="E8" t="inlineStr">
        <is>
          <t>ALE</t>
        </is>
      </c>
      <c r="G8" t="n">
        <v>6.1</v>
      </c>
      <c r="H8" t="n">
        <v>6</v>
      </c>
      <c r="I8" t="n">
        <v>1</v>
      </c>
      <c r="J8" t="n">
        <v>2</v>
      </c>
      <c r="K8" t="n">
        <v>0</v>
      </c>
      <c r="L8" t="n">
        <v>0</v>
      </c>
      <c r="M8" t="n">
        <v>0</v>
      </c>
      <c r="N8" t="n">
        <v>0</v>
      </c>
      <c r="O8" t="n">
        <v>2</v>
      </c>
      <c r="P8" t="n">
        <v>0</v>
      </c>
      <c r="Q8" t="n">
        <v>8</v>
      </c>
      <c r="R8" s="2" t="inlineStr">
        <is>
          <t>Gulsparv
Talltita
Björksplintborre
Spillkråka
Späd frullania
Kungsfågel
Lopplummer (aggregat)
Revlummer</t>
        </is>
      </c>
      <c r="S8">
        <f>HYPERLINK("https://klasma.github.io/Logging_1440/artfynd/A 15890-2026 artfynd.xlsx", "A 15890-2026")</f>
        <v/>
      </c>
      <c r="T8">
        <f>HYPERLINK("https://klasma.github.io/Logging_1440/kartor/A 15890-2026 karta.png", "A 15890-2026")</f>
        <v/>
      </c>
      <c r="V8">
        <f>HYPERLINK("https://klasma.github.io/Logging_1440/klagomål/A 15890-2026 FSC-klagomål.docx", "A 15890-2026")</f>
        <v/>
      </c>
      <c r="W8">
        <f>HYPERLINK("https://klasma.github.io/Logging_1440/klagomålsmail/A 15890-2026 FSC-klagomål mail.docx", "A 15890-2026")</f>
        <v/>
      </c>
      <c r="X8">
        <f>HYPERLINK("https://klasma.github.io/Logging_1440/tillsyn/A 15890-2026 tillsynsbegäran.docx", "A 15890-2026")</f>
        <v/>
      </c>
      <c r="Y8">
        <f>HYPERLINK("https://klasma.github.io/Logging_1440/tillsynsmail/A 15890-2026 tillsynsbegäran mail.docx", "A 15890-2026")</f>
        <v/>
      </c>
      <c r="Z8">
        <f>HYPERLINK("https://klasma.github.io/Logging_1440/fåglar/A 15890-2026 prioriterade fågelarter.docx", "A 15890-2026")</f>
        <v/>
      </c>
    </row>
    <row r="9" ht="15" customHeight="1">
      <c r="A9" t="inlineStr">
        <is>
          <t>A 40059-2025</t>
        </is>
      </c>
      <c r="B9" s="1" t="n">
        <v>45894</v>
      </c>
      <c r="C9" s="1" t="n">
        <v>46202</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46202</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46202</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46202</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63575-2023</t>
        </is>
      </c>
      <c r="B13" s="1" t="n">
        <v>45275</v>
      </c>
      <c r="C13" s="1" t="n">
        <v>46202</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46202</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46202</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46202</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46202</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46202</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37461-2024</t>
        </is>
      </c>
      <c r="B19" s="1" t="n">
        <v>45540</v>
      </c>
      <c r="C19" s="1" t="n">
        <v>46202</v>
      </c>
      <c r="D19" t="inlineStr">
        <is>
          <t>VÄSTRA GÖTALANDS LÄN</t>
        </is>
      </c>
      <c r="E19" t="inlineStr">
        <is>
          <t>ALE</t>
        </is>
      </c>
      <c r="G19" t="n">
        <v>1.6</v>
      </c>
      <c r="H19" t="n">
        <v>1</v>
      </c>
      <c r="I19" t="n">
        <v>2</v>
      </c>
      <c r="J19" t="n">
        <v>0</v>
      </c>
      <c r="K19" t="n">
        <v>0</v>
      </c>
      <c r="L19" t="n">
        <v>0</v>
      </c>
      <c r="M19" t="n">
        <v>0</v>
      </c>
      <c r="N19" t="n">
        <v>0</v>
      </c>
      <c r="O19" t="n">
        <v>0</v>
      </c>
      <c r="P19" t="n">
        <v>0</v>
      </c>
      <c r="Q19" t="n">
        <v>3</v>
      </c>
      <c r="R19" s="2" t="inlineStr">
        <is>
          <t>Björksplintborre
Gulnål
Spillkråka</t>
        </is>
      </c>
      <c r="S19">
        <f>HYPERLINK("https://klasma.github.io/Logging_1440/artfynd/A 37461-2024 artfynd.xlsx", "A 37461-2024")</f>
        <v/>
      </c>
      <c r="T19">
        <f>HYPERLINK("https://klasma.github.io/Logging_1440/kartor/A 37461-2024 karta.png", "A 37461-2024")</f>
        <v/>
      </c>
      <c r="V19">
        <f>HYPERLINK("https://klasma.github.io/Logging_1440/klagomål/A 37461-2024 FSC-klagomål.docx", "A 37461-2024")</f>
        <v/>
      </c>
      <c r="W19">
        <f>HYPERLINK("https://klasma.github.io/Logging_1440/klagomålsmail/A 37461-2024 FSC-klagomål mail.docx", "A 37461-2024")</f>
        <v/>
      </c>
      <c r="X19">
        <f>HYPERLINK("https://klasma.github.io/Logging_1440/tillsyn/A 37461-2024 tillsynsbegäran.docx", "A 37461-2024")</f>
        <v/>
      </c>
      <c r="Y19">
        <f>HYPERLINK("https://klasma.github.io/Logging_1440/tillsynsmail/A 37461-2024 tillsynsbegäran mail.docx", "A 37461-2024")</f>
        <v/>
      </c>
      <c r="Z19">
        <f>HYPERLINK("https://klasma.github.io/Logging_1440/fåglar/A 37461-2024 prioriterade fågelarter.docx", "A 37461-2024")</f>
        <v/>
      </c>
    </row>
    <row r="20" ht="15" customHeight="1">
      <c r="A20" t="inlineStr">
        <is>
          <t>A 47330-2025</t>
        </is>
      </c>
      <c r="B20" s="1" t="n">
        <v>45930</v>
      </c>
      <c r="C20" s="1" t="n">
        <v>46202</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46202</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45986-2021</t>
        </is>
      </c>
      <c r="B22" s="1" t="n">
        <v>44441</v>
      </c>
      <c r="C22" s="1" t="n">
        <v>46202</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3413-2023</t>
        </is>
      </c>
      <c r="B23" s="1" t="n">
        <v>44949</v>
      </c>
      <c r="C23" s="1" t="n">
        <v>46202</v>
      </c>
      <c r="D23" t="inlineStr">
        <is>
          <t>VÄSTRA GÖTALANDS LÄN</t>
        </is>
      </c>
      <c r="E23" t="inlineStr">
        <is>
          <t>ALE</t>
        </is>
      </c>
      <c r="G23" t="n">
        <v>2.3</v>
      </c>
      <c r="H23" t="n">
        <v>2</v>
      </c>
      <c r="I23" t="n">
        <v>0</v>
      </c>
      <c r="J23" t="n">
        <v>0</v>
      </c>
      <c r="K23" t="n">
        <v>0</v>
      </c>
      <c r="L23" t="n">
        <v>0</v>
      </c>
      <c r="M23" t="n">
        <v>0</v>
      </c>
      <c r="N23" t="n">
        <v>0</v>
      </c>
      <c r="O23" t="n">
        <v>0</v>
      </c>
      <c r="P23" t="n">
        <v>0</v>
      </c>
      <c r="Q23" t="n">
        <v>2</v>
      </c>
      <c r="R23" s="2" t="inlineStr">
        <is>
          <t>Vanlig padda
Revlummer</t>
        </is>
      </c>
      <c r="S23">
        <f>HYPERLINK("https://klasma.github.io/Logging_1440/artfynd/A 3413-2023 artfynd.xlsx", "A 3413-2023")</f>
        <v/>
      </c>
      <c r="T23">
        <f>HYPERLINK("https://klasma.github.io/Logging_1440/kartor/A 3413-2023 karta.png", "A 3413-2023")</f>
        <v/>
      </c>
      <c r="V23">
        <f>HYPERLINK("https://klasma.github.io/Logging_1440/klagomål/A 3413-2023 FSC-klagomål.docx", "A 3413-2023")</f>
        <v/>
      </c>
      <c r="W23">
        <f>HYPERLINK("https://klasma.github.io/Logging_1440/klagomålsmail/A 3413-2023 FSC-klagomål mail.docx", "A 3413-2023")</f>
        <v/>
      </c>
      <c r="X23">
        <f>HYPERLINK("https://klasma.github.io/Logging_1440/tillsyn/A 3413-2023 tillsynsbegäran.docx", "A 3413-2023")</f>
        <v/>
      </c>
      <c r="Y23">
        <f>HYPERLINK("https://klasma.github.io/Logging_1440/tillsynsmail/A 3413-2023 tillsynsbegäran mail.docx", "A 3413-2023")</f>
        <v/>
      </c>
    </row>
    <row r="24" ht="15" customHeight="1">
      <c r="A24" t="inlineStr">
        <is>
          <t>A 1503-2024</t>
        </is>
      </c>
      <c r="B24" s="1" t="n">
        <v>45306</v>
      </c>
      <c r="C24" s="1" t="n">
        <v>46202</v>
      </c>
      <c r="D24" t="inlineStr">
        <is>
          <t>VÄSTRA GÖTALANDS LÄN</t>
        </is>
      </c>
      <c r="E24" t="inlineStr">
        <is>
          <t>ALE</t>
        </is>
      </c>
      <c r="G24" t="n">
        <v>6.6</v>
      </c>
      <c r="H24" t="n">
        <v>2</v>
      </c>
      <c r="I24" t="n">
        <v>0</v>
      </c>
      <c r="J24" t="n">
        <v>0</v>
      </c>
      <c r="K24" t="n">
        <v>0</v>
      </c>
      <c r="L24" t="n">
        <v>0</v>
      </c>
      <c r="M24" t="n">
        <v>0</v>
      </c>
      <c r="N24" t="n">
        <v>0</v>
      </c>
      <c r="O24" t="n">
        <v>0</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v>
      </c>
      <c r="C25" s="1" t="n">
        <v>46202</v>
      </c>
      <c r="D25" t="inlineStr">
        <is>
          <t>VÄSTRA GÖTALANDS LÄN</t>
        </is>
      </c>
      <c r="E25" t="inlineStr">
        <is>
          <t>ALE</t>
        </is>
      </c>
      <c r="G25" t="n">
        <v>4.1</v>
      </c>
      <c r="H25" t="n">
        <v>2</v>
      </c>
      <c r="I25" t="n">
        <v>0</v>
      </c>
      <c r="J25" t="n">
        <v>0</v>
      </c>
      <c r="K25" t="n">
        <v>0</v>
      </c>
      <c r="L25" t="n">
        <v>0</v>
      </c>
      <c r="M25" t="n">
        <v>0</v>
      </c>
      <c r="N25" t="n">
        <v>0</v>
      </c>
      <c r="O25" t="n">
        <v>0</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13380-2025</t>
        </is>
      </c>
      <c r="B26" s="1" t="n">
        <v>45735</v>
      </c>
      <c r="C26" s="1" t="n">
        <v>46202</v>
      </c>
      <c r="D26" t="inlineStr">
        <is>
          <t>VÄSTRA GÖTALANDS LÄN</t>
        </is>
      </c>
      <c r="E26" t="inlineStr">
        <is>
          <t>ALE</t>
        </is>
      </c>
      <c r="G26" t="n">
        <v>1.8</v>
      </c>
      <c r="H26" t="n">
        <v>2</v>
      </c>
      <c r="I26" t="n">
        <v>0</v>
      </c>
      <c r="J26" t="n">
        <v>1</v>
      </c>
      <c r="K26" t="n">
        <v>0</v>
      </c>
      <c r="L26" t="n">
        <v>0</v>
      </c>
      <c r="M26" t="n">
        <v>0</v>
      </c>
      <c r="N26" t="n">
        <v>0</v>
      </c>
      <c r="O26" t="n">
        <v>1</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v>
      </c>
      <c r="C27" s="1" t="n">
        <v>46202</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46202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v>
      </c>
      <c r="C29" s="1" t="n">
        <v>46202</v>
      </c>
      <c r="D29" t="inlineStr">
        <is>
          <t>VÄSTRA GÖTALANDS LÄN</t>
        </is>
      </c>
      <c r="E29" t="inlineStr">
        <is>
          <t>ALE</t>
        </is>
      </c>
      <c r="G29" t="n">
        <v>8.6</v>
      </c>
      <c r="H29" t="n">
        <v>1</v>
      </c>
      <c r="I29" t="n">
        <v>1</v>
      </c>
      <c r="J29" t="n">
        <v>0</v>
      </c>
      <c r="K29" t="n">
        <v>0</v>
      </c>
      <c r="L29" t="n">
        <v>0</v>
      </c>
      <c r="M29" t="n">
        <v>0</v>
      </c>
      <c r="N29" t="n">
        <v>0</v>
      </c>
      <c r="O29" t="n">
        <v>0</v>
      </c>
      <c r="P29" t="n">
        <v>0</v>
      </c>
      <c r="Q29" t="n">
        <v>2</v>
      </c>
      <c r="R29" s="2" t="inlineStr">
        <is>
          <t>Blåmossa
Spillkråka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12982-2024</t>
        </is>
      </c>
      <c r="B30" s="1" t="n">
        <v>45385</v>
      </c>
      <c r="C30" s="1" t="n">
        <v>46202</v>
      </c>
      <c r="D30" t="inlineStr">
        <is>
          <t>VÄSTRA GÖTALANDS LÄN</t>
        </is>
      </c>
      <c r="E30" t="inlineStr">
        <is>
          <t>ALE</t>
        </is>
      </c>
      <c r="G30" t="n">
        <v>3.3</v>
      </c>
      <c r="H30" t="n">
        <v>2</v>
      </c>
      <c r="I30" t="n">
        <v>0</v>
      </c>
      <c r="J30" t="n">
        <v>0</v>
      </c>
      <c r="K30" t="n">
        <v>0</v>
      </c>
      <c r="L30" t="n">
        <v>0</v>
      </c>
      <c r="M30" t="n">
        <v>0</v>
      </c>
      <c r="N30" t="n">
        <v>0</v>
      </c>
      <c r="O30" t="n">
        <v>0</v>
      </c>
      <c r="P30" t="n">
        <v>0</v>
      </c>
      <c r="Q30" t="n">
        <v>2</v>
      </c>
      <c r="R30" s="2" t="inlineStr">
        <is>
          <t>Orre
Revlummer</t>
        </is>
      </c>
      <c r="S30">
        <f>HYPERLINK("https://klasma.github.io/Logging_1440/artfynd/A 12982-2024 artfynd.xlsx", "A 12982-2024")</f>
        <v/>
      </c>
      <c r="T30">
        <f>HYPERLINK("https://klasma.github.io/Logging_1440/kartor/A 12982-2024 karta.png", "A 12982-2024")</f>
        <v/>
      </c>
      <c r="V30">
        <f>HYPERLINK("https://klasma.github.io/Logging_1440/klagomål/A 12982-2024 FSC-klagomål.docx", "A 12982-2024")</f>
        <v/>
      </c>
      <c r="W30">
        <f>HYPERLINK("https://klasma.github.io/Logging_1440/klagomålsmail/A 12982-2024 FSC-klagomål mail.docx", "A 12982-2024")</f>
        <v/>
      </c>
      <c r="X30">
        <f>HYPERLINK("https://klasma.github.io/Logging_1440/tillsyn/A 12982-2024 tillsynsbegäran.docx", "A 12982-2024")</f>
        <v/>
      </c>
      <c r="Y30">
        <f>HYPERLINK("https://klasma.github.io/Logging_1440/tillsynsmail/A 12982-2024 tillsynsbegäran mail.docx", "A 12982-2024")</f>
        <v/>
      </c>
      <c r="Z30">
        <f>HYPERLINK("https://klasma.github.io/Logging_1440/fåglar/A 12982-2024 prioriterade fågelarter.docx", "A 12982-2024")</f>
        <v/>
      </c>
    </row>
    <row r="31" ht="15" customHeight="1">
      <c r="A31" t="inlineStr">
        <is>
          <t>A 13306-2026</t>
        </is>
      </c>
      <c r="B31" s="1" t="n">
        <v>46094</v>
      </c>
      <c r="C31" s="1" t="n">
        <v>46202</v>
      </c>
      <c r="D31" t="inlineStr">
        <is>
          <t>VÄSTRA GÖTALANDS LÄN</t>
        </is>
      </c>
      <c r="E31" t="inlineStr">
        <is>
          <t>ALE</t>
        </is>
      </c>
      <c r="G31" t="n">
        <v>9.699999999999999</v>
      </c>
      <c r="H31" t="n">
        <v>2</v>
      </c>
      <c r="I31" t="n">
        <v>0</v>
      </c>
      <c r="J31" t="n">
        <v>0</v>
      </c>
      <c r="K31" t="n">
        <v>0</v>
      </c>
      <c r="L31" t="n">
        <v>0</v>
      </c>
      <c r="M31" t="n">
        <v>0</v>
      </c>
      <c r="N31" t="n">
        <v>0</v>
      </c>
      <c r="O31" t="n">
        <v>0</v>
      </c>
      <c r="P31" t="n">
        <v>0</v>
      </c>
      <c r="Q31" t="n">
        <v>2</v>
      </c>
      <c r="R31" s="2" t="inlineStr">
        <is>
          <t>Större vattensalamander
Åkergroda</t>
        </is>
      </c>
      <c r="S31">
        <f>HYPERLINK("https://klasma.github.io/Logging_1440/artfynd/A 13306-2026 artfynd.xlsx", "A 13306-2026")</f>
        <v/>
      </c>
      <c r="T31">
        <f>HYPERLINK("https://klasma.github.io/Logging_1440/kartor/A 13306-2026 karta.png", "A 13306-2026")</f>
        <v/>
      </c>
      <c r="V31">
        <f>HYPERLINK("https://klasma.github.io/Logging_1440/klagomål/A 13306-2026 FSC-klagomål.docx", "A 13306-2026")</f>
        <v/>
      </c>
      <c r="W31">
        <f>HYPERLINK("https://klasma.github.io/Logging_1440/klagomålsmail/A 13306-2026 FSC-klagomål mail.docx", "A 13306-2026")</f>
        <v/>
      </c>
      <c r="X31">
        <f>HYPERLINK("https://klasma.github.io/Logging_1440/tillsyn/A 13306-2026 tillsynsbegäran.docx", "A 13306-2026")</f>
        <v/>
      </c>
      <c r="Y31">
        <f>HYPERLINK("https://klasma.github.io/Logging_1440/tillsynsmail/A 13306-2026 tillsynsbegäran mail.docx", "A 13306-2026")</f>
        <v/>
      </c>
    </row>
    <row r="32" ht="15" customHeight="1">
      <c r="A32" t="inlineStr">
        <is>
          <t>A 63569-2023</t>
        </is>
      </c>
      <c r="B32" s="1" t="n">
        <v>45275</v>
      </c>
      <c r="C32" s="1" t="n">
        <v>46202</v>
      </c>
      <c r="D32" t="inlineStr">
        <is>
          <t>VÄSTRA GÖTALANDS LÄN</t>
        </is>
      </c>
      <c r="E32" t="inlineStr">
        <is>
          <t>ALE</t>
        </is>
      </c>
      <c r="G32" t="n">
        <v>2.4</v>
      </c>
      <c r="H32" t="n">
        <v>2</v>
      </c>
      <c r="I32" t="n">
        <v>0</v>
      </c>
      <c r="J32" t="n">
        <v>1</v>
      </c>
      <c r="K32" t="n">
        <v>0</v>
      </c>
      <c r="L32" t="n">
        <v>0</v>
      </c>
      <c r="M32" t="n">
        <v>0</v>
      </c>
      <c r="N32" t="n">
        <v>0</v>
      </c>
      <c r="O32" t="n">
        <v>1</v>
      </c>
      <c r="P32" t="n">
        <v>0</v>
      </c>
      <c r="Q32" t="n">
        <v>2</v>
      </c>
      <c r="R32" s="2" t="inlineStr">
        <is>
          <t>Talltita
Spillkråka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41607-2022</t>
        </is>
      </c>
      <c r="B33" s="1" t="n">
        <v>44827</v>
      </c>
      <c r="C33" s="1" t="n">
        <v>46202</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26493-2024</t>
        </is>
      </c>
      <c r="B34" s="1" t="n">
        <v>45469</v>
      </c>
      <c r="C34" s="1" t="n">
        <v>46202</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41598-2022</t>
        </is>
      </c>
      <c r="B35" s="1" t="n">
        <v>44827</v>
      </c>
      <c r="C35" s="1" t="n">
        <v>46202</v>
      </c>
      <c r="D35" t="inlineStr">
        <is>
          <t>VÄSTRA GÖTALANDS LÄN</t>
        </is>
      </c>
      <c r="E35" t="inlineStr">
        <is>
          <t>ALE</t>
        </is>
      </c>
      <c r="G35" t="n">
        <v>2</v>
      </c>
      <c r="H35" t="n">
        <v>1</v>
      </c>
      <c r="I35" t="n">
        <v>0</v>
      </c>
      <c r="J35" t="n">
        <v>0</v>
      </c>
      <c r="K35" t="n">
        <v>0</v>
      </c>
      <c r="L35" t="n">
        <v>0</v>
      </c>
      <c r="M35" t="n">
        <v>0</v>
      </c>
      <c r="N35" t="n">
        <v>0</v>
      </c>
      <c r="O35" t="n">
        <v>0</v>
      </c>
      <c r="P35" t="n">
        <v>0</v>
      </c>
      <c r="Q35" t="n">
        <v>1</v>
      </c>
      <c r="R35" s="2" t="inlineStr">
        <is>
          <t>Grönvit nattviol</t>
        </is>
      </c>
      <c r="S35">
        <f>HYPERLINK("https://klasma.github.io/Logging_1440/artfynd/A 41598-2022 artfynd.xlsx", "A 41598-2022")</f>
        <v/>
      </c>
      <c r="T35">
        <f>HYPERLINK("https://klasma.github.io/Logging_1440/kartor/A 41598-2022 karta.png", "A 41598-2022")</f>
        <v/>
      </c>
      <c r="V35">
        <f>HYPERLINK("https://klasma.github.io/Logging_1440/klagomål/A 41598-2022 FSC-klagomål.docx", "A 41598-2022")</f>
        <v/>
      </c>
      <c r="W35">
        <f>HYPERLINK("https://klasma.github.io/Logging_1440/klagomålsmail/A 41598-2022 FSC-klagomål mail.docx", "A 41598-2022")</f>
        <v/>
      </c>
      <c r="X35">
        <f>HYPERLINK("https://klasma.github.io/Logging_1440/tillsyn/A 41598-2022 tillsynsbegäran.docx", "A 41598-2022")</f>
        <v/>
      </c>
      <c r="Y35">
        <f>HYPERLINK("https://klasma.github.io/Logging_1440/tillsynsmail/A 41598-2022 tillsynsbegäran mail.docx", "A 41598-2022")</f>
        <v/>
      </c>
    </row>
    <row r="36" ht="15" customHeight="1">
      <c r="A36" t="inlineStr">
        <is>
          <t>A 200-2022</t>
        </is>
      </c>
      <c r="B36" s="1" t="n">
        <v>44564</v>
      </c>
      <c r="C36" s="1" t="n">
        <v>46202</v>
      </c>
      <c r="D36" t="inlineStr">
        <is>
          <t>VÄSTRA GÖTALANDS LÄN</t>
        </is>
      </c>
      <c r="E36" t="inlineStr">
        <is>
          <t>ALE</t>
        </is>
      </c>
      <c r="G36" t="n">
        <v>6.8</v>
      </c>
      <c r="H36" t="n">
        <v>1</v>
      </c>
      <c r="I36" t="n">
        <v>0</v>
      </c>
      <c r="J36" t="n">
        <v>0</v>
      </c>
      <c r="K36" t="n">
        <v>0</v>
      </c>
      <c r="L36" t="n">
        <v>0</v>
      </c>
      <c r="M36" t="n">
        <v>0</v>
      </c>
      <c r="N36" t="n">
        <v>0</v>
      </c>
      <c r="O36" t="n">
        <v>0</v>
      </c>
      <c r="P36" t="n">
        <v>0</v>
      </c>
      <c r="Q36" t="n">
        <v>1</v>
      </c>
      <c r="R36" s="2" t="inlineStr">
        <is>
          <t>Spillkråka</t>
        </is>
      </c>
      <c r="S36">
        <f>HYPERLINK("https://klasma.github.io/Logging_1440/artfynd/A 200-2022 artfynd.xlsx", "A 200-2022")</f>
        <v/>
      </c>
      <c r="T36">
        <f>HYPERLINK("https://klasma.github.io/Logging_1440/kartor/A 200-2022 karta.png", "A 200-2022")</f>
        <v/>
      </c>
      <c r="V36">
        <f>HYPERLINK("https://klasma.github.io/Logging_1440/klagomål/A 200-2022 FSC-klagomål.docx", "A 200-2022")</f>
        <v/>
      </c>
      <c r="W36">
        <f>HYPERLINK("https://klasma.github.io/Logging_1440/klagomålsmail/A 200-2022 FSC-klagomål mail.docx", "A 200-2022")</f>
        <v/>
      </c>
      <c r="X36">
        <f>HYPERLINK("https://klasma.github.io/Logging_1440/tillsyn/A 200-2022 tillsynsbegäran.docx", "A 200-2022")</f>
        <v/>
      </c>
      <c r="Y36">
        <f>HYPERLINK("https://klasma.github.io/Logging_1440/tillsynsmail/A 200-2022 tillsynsbegäran mail.docx", "A 200-2022")</f>
        <v/>
      </c>
      <c r="Z36">
        <f>HYPERLINK("https://klasma.github.io/Logging_1440/fåglar/A 200-2022 prioriterade fågelarter.docx", "A 200-2022")</f>
        <v/>
      </c>
    </row>
    <row r="37" ht="15" customHeight="1">
      <c r="A37" t="inlineStr">
        <is>
          <t>A 26677-2025</t>
        </is>
      </c>
      <c r="B37" s="1" t="n">
        <v>45810</v>
      </c>
      <c r="C37" s="1" t="n">
        <v>46202</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5344-2024</t>
        </is>
      </c>
      <c r="B38" s="1" t="n">
        <v>45331</v>
      </c>
      <c r="C38" s="1" t="n">
        <v>46202</v>
      </c>
      <c r="D38" t="inlineStr">
        <is>
          <t>VÄSTRA GÖTALANDS LÄN</t>
        </is>
      </c>
      <c r="E38" t="inlineStr">
        <is>
          <t>ALE</t>
        </is>
      </c>
      <c r="G38" t="n">
        <v>2.5</v>
      </c>
      <c r="H38" t="n">
        <v>0</v>
      </c>
      <c r="I38" t="n">
        <v>1</v>
      </c>
      <c r="J38" t="n">
        <v>0</v>
      </c>
      <c r="K38" t="n">
        <v>0</v>
      </c>
      <c r="L38" t="n">
        <v>0</v>
      </c>
      <c r="M38" t="n">
        <v>0</v>
      </c>
      <c r="N38" t="n">
        <v>0</v>
      </c>
      <c r="O38" t="n">
        <v>0</v>
      </c>
      <c r="P38" t="n">
        <v>0</v>
      </c>
      <c r="Q38" t="n">
        <v>1</v>
      </c>
      <c r="R38" s="2" t="inlineStr">
        <is>
          <t>Blåmossa</t>
        </is>
      </c>
      <c r="S38">
        <f>HYPERLINK("https://klasma.github.io/Logging_1440/artfynd/A 5344-2024 artfynd.xlsx", "A 5344-2024")</f>
        <v/>
      </c>
      <c r="T38">
        <f>HYPERLINK("https://klasma.github.io/Logging_1440/kartor/A 5344-2024 karta.png", "A 5344-2024")</f>
        <v/>
      </c>
      <c r="V38">
        <f>HYPERLINK("https://klasma.github.io/Logging_1440/klagomål/A 5344-2024 FSC-klagomål.docx", "A 5344-2024")</f>
        <v/>
      </c>
      <c r="W38">
        <f>HYPERLINK("https://klasma.github.io/Logging_1440/klagomålsmail/A 5344-2024 FSC-klagomål mail.docx", "A 5344-2024")</f>
        <v/>
      </c>
      <c r="X38">
        <f>HYPERLINK("https://klasma.github.io/Logging_1440/tillsyn/A 5344-2024 tillsynsbegäran.docx", "A 5344-2024")</f>
        <v/>
      </c>
      <c r="Y38">
        <f>HYPERLINK("https://klasma.github.io/Logging_1440/tillsynsmail/A 5344-2024 tillsynsbegäran mail.docx", "A 5344-2024")</f>
        <v/>
      </c>
    </row>
    <row r="39" ht="15" customHeight="1">
      <c r="A39" t="inlineStr">
        <is>
          <t>A 13902-2025</t>
        </is>
      </c>
      <c r="B39" s="1" t="n">
        <v>45737</v>
      </c>
      <c r="C39" s="1" t="n">
        <v>46202</v>
      </c>
      <c r="D39" t="inlineStr">
        <is>
          <t>VÄSTRA GÖTALANDS LÄN</t>
        </is>
      </c>
      <c r="E39" t="inlineStr">
        <is>
          <t>ALE</t>
        </is>
      </c>
      <c r="G39" t="n">
        <v>1.4</v>
      </c>
      <c r="H39" t="n">
        <v>1</v>
      </c>
      <c r="I39" t="n">
        <v>0</v>
      </c>
      <c r="J39" t="n">
        <v>0</v>
      </c>
      <c r="K39" t="n">
        <v>0</v>
      </c>
      <c r="L39" t="n">
        <v>0</v>
      </c>
      <c r="M39" t="n">
        <v>0</v>
      </c>
      <c r="N39" t="n">
        <v>0</v>
      </c>
      <c r="O39" t="n">
        <v>0</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row>
    <row r="40" ht="15" customHeight="1">
      <c r="A40" t="inlineStr">
        <is>
          <t>A 14493-2024</t>
        </is>
      </c>
      <c r="B40" s="1" t="n">
        <v>45394</v>
      </c>
      <c r="C40" s="1" t="n">
        <v>46202</v>
      </c>
      <c r="D40" t="inlineStr">
        <is>
          <t>VÄSTRA GÖTALANDS LÄN</t>
        </is>
      </c>
      <c r="E40" t="inlineStr">
        <is>
          <t>ALE</t>
        </is>
      </c>
      <c r="G40" t="n">
        <v>2.3</v>
      </c>
      <c r="H40" t="n">
        <v>1</v>
      </c>
      <c r="I40" t="n">
        <v>0</v>
      </c>
      <c r="J40" t="n">
        <v>0</v>
      </c>
      <c r="K40" t="n">
        <v>0</v>
      </c>
      <c r="L40" t="n">
        <v>0</v>
      </c>
      <c r="M40" t="n">
        <v>0</v>
      </c>
      <c r="N40" t="n">
        <v>0</v>
      </c>
      <c r="O40" t="n">
        <v>0</v>
      </c>
      <c r="P40" t="n">
        <v>0</v>
      </c>
      <c r="Q40" t="n">
        <v>1</v>
      </c>
      <c r="R40" s="2" t="inlineStr">
        <is>
          <t>Orre</t>
        </is>
      </c>
      <c r="S40">
        <f>HYPERLINK("https://klasma.github.io/Logging_1440/artfynd/A 14493-2024 artfynd.xlsx", "A 14493-2024")</f>
        <v/>
      </c>
      <c r="T40">
        <f>HYPERLINK("https://klasma.github.io/Logging_1440/kartor/A 14493-2024 karta.png", "A 14493-2024")</f>
        <v/>
      </c>
      <c r="V40">
        <f>HYPERLINK("https://klasma.github.io/Logging_1440/klagomål/A 14493-2024 FSC-klagomål.docx", "A 14493-2024")</f>
        <v/>
      </c>
      <c r="W40">
        <f>HYPERLINK("https://klasma.github.io/Logging_1440/klagomålsmail/A 14493-2024 FSC-klagomål mail.docx", "A 14493-2024")</f>
        <v/>
      </c>
      <c r="X40">
        <f>HYPERLINK("https://klasma.github.io/Logging_1440/tillsyn/A 14493-2024 tillsynsbegäran.docx", "A 14493-2024")</f>
        <v/>
      </c>
      <c r="Y40">
        <f>HYPERLINK("https://klasma.github.io/Logging_1440/tillsynsmail/A 14493-2024 tillsynsbegäran mail.docx", "A 14493-2024")</f>
        <v/>
      </c>
      <c r="Z40">
        <f>HYPERLINK("https://klasma.github.io/Logging_1440/fåglar/A 14493-2024 prioriterade fågelarter.docx", "A 14493-2024")</f>
        <v/>
      </c>
    </row>
    <row r="41" ht="15" customHeight="1">
      <c r="A41" t="inlineStr">
        <is>
          <t>A 4363-2024</t>
        </is>
      </c>
      <c r="B41" s="1" t="n">
        <v>45325</v>
      </c>
      <c r="C41" s="1" t="n">
        <v>46202</v>
      </c>
      <c r="D41" t="inlineStr">
        <is>
          <t>VÄSTRA GÖTALANDS LÄN</t>
        </is>
      </c>
      <c r="E41" t="inlineStr">
        <is>
          <t>ALE</t>
        </is>
      </c>
      <c r="G41" t="n">
        <v>0.6</v>
      </c>
      <c r="H41" t="n">
        <v>1</v>
      </c>
      <c r="I41" t="n">
        <v>0</v>
      </c>
      <c r="J41" t="n">
        <v>0</v>
      </c>
      <c r="K41" t="n">
        <v>0</v>
      </c>
      <c r="L41" t="n">
        <v>0</v>
      </c>
      <c r="M41" t="n">
        <v>0</v>
      </c>
      <c r="N41" t="n">
        <v>0</v>
      </c>
      <c r="O41" t="n">
        <v>0</v>
      </c>
      <c r="P41" t="n">
        <v>0</v>
      </c>
      <c r="Q41" t="n">
        <v>1</v>
      </c>
      <c r="R41" s="2" t="inlineStr">
        <is>
          <t>Spillkråka</t>
        </is>
      </c>
      <c r="S41">
        <f>HYPERLINK("https://klasma.github.io/Logging_1440/artfynd/A 4363-2024 artfynd.xlsx", "A 4363-2024")</f>
        <v/>
      </c>
      <c r="T41">
        <f>HYPERLINK("https://klasma.github.io/Logging_1440/kartor/A 4363-2024 karta.png", "A 4363-2024")</f>
        <v/>
      </c>
      <c r="V41">
        <f>HYPERLINK("https://klasma.github.io/Logging_1440/klagomål/A 4363-2024 FSC-klagomål.docx", "A 4363-2024")</f>
        <v/>
      </c>
      <c r="W41">
        <f>HYPERLINK("https://klasma.github.io/Logging_1440/klagomålsmail/A 4363-2024 FSC-klagomål mail.docx", "A 4363-2024")</f>
        <v/>
      </c>
      <c r="X41">
        <f>HYPERLINK("https://klasma.github.io/Logging_1440/tillsyn/A 4363-2024 tillsynsbegäran.docx", "A 4363-2024")</f>
        <v/>
      </c>
      <c r="Y41">
        <f>HYPERLINK("https://klasma.github.io/Logging_1440/tillsynsmail/A 4363-2024 tillsynsbegäran mail.docx", "A 4363-2024")</f>
        <v/>
      </c>
      <c r="Z41">
        <f>HYPERLINK("https://klasma.github.io/Logging_1440/fåglar/A 4363-2024 prioriterade fågelarter.docx", "A 4363-2024")</f>
        <v/>
      </c>
    </row>
    <row r="42" ht="15" customHeight="1">
      <c r="A42" t="inlineStr">
        <is>
          <t>A 52423-2025</t>
        </is>
      </c>
      <c r="B42" s="1" t="n">
        <v>45954</v>
      </c>
      <c r="C42" s="1" t="n">
        <v>46202</v>
      </c>
      <c r="D42" t="inlineStr">
        <is>
          <t>VÄSTRA GÖTALANDS LÄN</t>
        </is>
      </c>
      <c r="E42" t="inlineStr">
        <is>
          <t>ALE</t>
        </is>
      </c>
      <c r="G42" t="n">
        <v>4.1</v>
      </c>
      <c r="H42" t="n">
        <v>1</v>
      </c>
      <c r="I42" t="n">
        <v>0</v>
      </c>
      <c r="J42" t="n">
        <v>0</v>
      </c>
      <c r="K42" t="n">
        <v>0</v>
      </c>
      <c r="L42" t="n">
        <v>0</v>
      </c>
      <c r="M42" t="n">
        <v>0</v>
      </c>
      <c r="N42" t="n">
        <v>0</v>
      </c>
      <c r="O42" t="n">
        <v>0</v>
      </c>
      <c r="P42" t="n">
        <v>0</v>
      </c>
      <c r="Q42" t="n">
        <v>1</v>
      </c>
      <c r="R42" s="2" t="inlineStr">
        <is>
          <t>Trana</t>
        </is>
      </c>
      <c r="S42">
        <f>HYPERLINK("https://klasma.github.io/Logging_1440/artfynd/A 52423-2025 artfynd.xlsx", "A 52423-2025")</f>
        <v/>
      </c>
      <c r="T42">
        <f>HYPERLINK("https://klasma.github.io/Logging_1440/kartor/A 52423-2025 karta.png", "A 52423-2025")</f>
        <v/>
      </c>
      <c r="V42">
        <f>HYPERLINK("https://klasma.github.io/Logging_1440/klagomål/A 52423-2025 FSC-klagomål.docx", "A 52423-2025")</f>
        <v/>
      </c>
      <c r="W42">
        <f>HYPERLINK("https://klasma.github.io/Logging_1440/klagomålsmail/A 52423-2025 FSC-klagomål mail.docx", "A 52423-2025")</f>
        <v/>
      </c>
      <c r="X42">
        <f>HYPERLINK("https://klasma.github.io/Logging_1440/tillsyn/A 52423-2025 tillsynsbegäran.docx", "A 52423-2025")</f>
        <v/>
      </c>
      <c r="Y42">
        <f>HYPERLINK("https://klasma.github.io/Logging_1440/tillsynsmail/A 52423-2025 tillsynsbegäran mail.docx", "A 52423-2025")</f>
        <v/>
      </c>
      <c r="Z42">
        <f>HYPERLINK("https://klasma.github.io/Logging_1440/fåglar/A 52423-2025 prioriterade fågelarter.docx", "A 52423-2025")</f>
        <v/>
      </c>
    </row>
    <row r="43" ht="15" customHeight="1">
      <c r="A43" t="inlineStr">
        <is>
          <t>A 33237-2024</t>
        </is>
      </c>
      <c r="B43" s="1" t="n">
        <v>45518</v>
      </c>
      <c r="C43" s="1" t="n">
        <v>46202</v>
      </c>
      <c r="D43" t="inlineStr">
        <is>
          <t>VÄSTRA GÖTALANDS LÄN</t>
        </is>
      </c>
      <c r="E43" t="inlineStr">
        <is>
          <t>ALE</t>
        </is>
      </c>
      <c r="G43" t="n">
        <v>0.6</v>
      </c>
      <c r="H43" t="n">
        <v>0</v>
      </c>
      <c r="I43" t="n">
        <v>0</v>
      </c>
      <c r="J43" t="n">
        <v>0</v>
      </c>
      <c r="K43" t="n">
        <v>1</v>
      </c>
      <c r="L43" t="n">
        <v>0</v>
      </c>
      <c r="M43" t="n">
        <v>0</v>
      </c>
      <c r="N43" t="n">
        <v>0</v>
      </c>
      <c r="O43" t="n">
        <v>1</v>
      </c>
      <c r="P43" t="n">
        <v>1</v>
      </c>
      <c r="Q43" t="n">
        <v>1</v>
      </c>
      <c r="R43" s="2" t="inlineStr">
        <is>
          <t>Igelkott</t>
        </is>
      </c>
      <c r="S43">
        <f>HYPERLINK("https://klasma.github.io/Logging_1440/artfynd/A 33237-2024 artfynd.xlsx", "A 33237-2024")</f>
        <v/>
      </c>
      <c r="T43">
        <f>HYPERLINK("https://klasma.github.io/Logging_1440/kartor/A 33237-2024 karta.png", "A 33237-2024")</f>
        <v/>
      </c>
      <c r="V43">
        <f>HYPERLINK("https://klasma.github.io/Logging_1440/klagomål/A 33237-2024 FSC-klagomål.docx", "A 33237-2024")</f>
        <v/>
      </c>
      <c r="W43">
        <f>HYPERLINK("https://klasma.github.io/Logging_1440/klagomålsmail/A 33237-2024 FSC-klagomål mail.docx", "A 33237-2024")</f>
        <v/>
      </c>
      <c r="X43">
        <f>HYPERLINK("https://klasma.github.io/Logging_1440/tillsyn/A 33237-2024 tillsynsbegäran.docx", "A 33237-2024")</f>
        <v/>
      </c>
      <c r="Y43">
        <f>HYPERLINK("https://klasma.github.io/Logging_1440/tillsynsmail/A 33237-2024 tillsynsbegäran mail.docx", "A 33237-2024")</f>
        <v/>
      </c>
    </row>
    <row r="44" ht="15" customHeight="1">
      <c r="A44" t="inlineStr">
        <is>
          <t>A 62524-2025</t>
        </is>
      </c>
      <c r="B44" s="1" t="n">
        <v>46007</v>
      </c>
      <c r="C44" s="1" t="n">
        <v>46202</v>
      </c>
      <c r="D44" t="inlineStr">
        <is>
          <t>VÄSTRA GÖTALANDS LÄN</t>
        </is>
      </c>
      <c r="E44" t="inlineStr">
        <is>
          <t>ALE</t>
        </is>
      </c>
      <c r="G44" t="n">
        <v>8</v>
      </c>
      <c r="H44" t="n">
        <v>1</v>
      </c>
      <c r="I44" t="n">
        <v>0</v>
      </c>
      <c r="J44" t="n">
        <v>0</v>
      </c>
      <c r="K44" t="n">
        <v>0</v>
      </c>
      <c r="L44" t="n">
        <v>0</v>
      </c>
      <c r="M44" t="n">
        <v>0</v>
      </c>
      <c r="N44" t="n">
        <v>0</v>
      </c>
      <c r="O44" t="n">
        <v>0</v>
      </c>
      <c r="P44" t="n">
        <v>0</v>
      </c>
      <c r="Q44" t="n">
        <v>1</v>
      </c>
      <c r="R44" s="2" t="inlineStr">
        <is>
          <t>Revlummer</t>
        </is>
      </c>
      <c r="S44">
        <f>HYPERLINK("https://klasma.github.io/Logging_1440/artfynd/A 62524-2025 artfynd.xlsx", "A 62524-2025")</f>
        <v/>
      </c>
      <c r="T44">
        <f>HYPERLINK("https://klasma.github.io/Logging_1440/kartor/A 62524-2025 karta.png", "A 62524-2025")</f>
        <v/>
      </c>
      <c r="V44">
        <f>HYPERLINK("https://klasma.github.io/Logging_1440/klagomål/A 62524-2025 FSC-klagomål.docx", "A 62524-2025")</f>
        <v/>
      </c>
      <c r="W44">
        <f>HYPERLINK("https://klasma.github.io/Logging_1440/klagomålsmail/A 62524-2025 FSC-klagomål mail.docx", "A 62524-2025")</f>
        <v/>
      </c>
      <c r="X44">
        <f>HYPERLINK("https://klasma.github.io/Logging_1440/tillsyn/A 62524-2025 tillsynsbegäran.docx", "A 62524-2025")</f>
        <v/>
      </c>
      <c r="Y44">
        <f>HYPERLINK("https://klasma.github.io/Logging_1440/tillsynsmail/A 62524-2025 tillsynsbegäran mail.docx", "A 62524-2025")</f>
        <v/>
      </c>
    </row>
    <row r="45" ht="15" customHeight="1">
      <c r="A45" t="inlineStr">
        <is>
          <t>A 8659-2025</t>
        </is>
      </c>
      <c r="B45" s="1" t="n">
        <v>45712</v>
      </c>
      <c r="C45" s="1" t="n">
        <v>46202</v>
      </c>
      <c r="D45" t="inlineStr">
        <is>
          <t>VÄSTRA GÖTALANDS LÄN</t>
        </is>
      </c>
      <c r="E45" t="inlineStr">
        <is>
          <t>ALE</t>
        </is>
      </c>
      <c r="G45" t="n">
        <v>5.7</v>
      </c>
      <c r="H45" t="n">
        <v>1</v>
      </c>
      <c r="I45" t="n">
        <v>0</v>
      </c>
      <c r="J45" t="n">
        <v>0</v>
      </c>
      <c r="K45" t="n">
        <v>0</v>
      </c>
      <c r="L45" t="n">
        <v>0</v>
      </c>
      <c r="M45" t="n">
        <v>0</v>
      </c>
      <c r="N45" t="n">
        <v>0</v>
      </c>
      <c r="O45" t="n">
        <v>0</v>
      </c>
      <c r="P45" t="n">
        <v>0</v>
      </c>
      <c r="Q45" t="n">
        <v>1</v>
      </c>
      <c r="R45" s="2" t="inlineStr">
        <is>
          <t>Kungsfågel</t>
        </is>
      </c>
      <c r="S45">
        <f>HYPERLINK("https://klasma.github.io/Logging_1440/artfynd/A 8659-2025 artfynd.xlsx", "A 8659-2025")</f>
        <v/>
      </c>
      <c r="T45">
        <f>HYPERLINK("https://klasma.github.io/Logging_1440/kartor/A 8659-2025 karta.png", "A 8659-2025")</f>
        <v/>
      </c>
      <c r="V45">
        <f>HYPERLINK("https://klasma.github.io/Logging_1440/klagomål/A 8659-2025 FSC-klagomål.docx", "A 8659-2025")</f>
        <v/>
      </c>
      <c r="W45">
        <f>HYPERLINK("https://klasma.github.io/Logging_1440/klagomålsmail/A 8659-2025 FSC-klagomål mail.docx", "A 8659-2025")</f>
        <v/>
      </c>
      <c r="X45">
        <f>HYPERLINK("https://klasma.github.io/Logging_1440/tillsyn/A 8659-2025 tillsynsbegäran.docx", "A 8659-2025")</f>
        <v/>
      </c>
      <c r="Y45">
        <f>HYPERLINK("https://klasma.github.io/Logging_1440/tillsynsmail/A 8659-2025 tillsynsbegäran mail.docx", "A 8659-2025")</f>
        <v/>
      </c>
    </row>
    <row r="46" ht="15" customHeight="1">
      <c r="A46" t="inlineStr">
        <is>
          <t>A 9783-2026</t>
        </is>
      </c>
      <c r="B46" s="1" t="n">
        <v>46072</v>
      </c>
      <c r="C46" s="1" t="n">
        <v>46202</v>
      </c>
      <c r="D46" t="inlineStr">
        <is>
          <t>VÄSTRA GÖTALANDS LÄN</t>
        </is>
      </c>
      <c r="E46" t="inlineStr">
        <is>
          <t>ALE</t>
        </is>
      </c>
      <c r="G46" t="n">
        <v>4.9</v>
      </c>
      <c r="H46" t="n">
        <v>1</v>
      </c>
      <c r="I46" t="n">
        <v>0</v>
      </c>
      <c r="J46" t="n">
        <v>0</v>
      </c>
      <c r="K46" t="n">
        <v>0</v>
      </c>
      <c r="L46" t="n">
        <v>0</v>
      </c>
      <c r="M46" t="n">
        <v>0</v>
      </c>
      <c r="N46" t="n">
        <v>0</v>
      </c>
      <c r="O46" t="n">
        <v>0</v>
      </c>
      <c r="P46" t="n">
        <v>0</v>
      </c>
      <c r="Q46" t="n">
        <v>1</v>
      </c>
      <c r="R46" s="2" t="inlineStr">
        <is>
          <t>Lopplummer (aggregat)</t>
        </is>
      </c>
      <c r="S46">
        <f>HYPERLINK("https://klasma.github.io/Logging_1440/artfynd/A 9783-2026 artfynd.xlsx", "A 9783-2026")</f>
        <v/>
      </c>
      <c r="T46">
        <f>HYPERLINK("https://klasma.github.io/Logging_1440/kartor/A 9783-2026 karta.png", "A 9783-2026")</f>
        <v/>
      </c>
      <c r="V46">
        <f>HYPERLINK("https://klasma.github.io/Logging_1440/klagomål/A 9783-2026 FSC-klagomål.docx", "A 9783-2026")</f>
        <v/>
      </c>
      <c r="W46">
        <f>HYPERLINK("https://klasma.github.io/Logging_1440/klagomålsmail/A 9783-2026 FSC-klagomål mail.docx", "A 9783-2026")</f>
        <v/>
      </c>
      <c r="X46">
        <f>HYPERLINK("https://klasma.github.io/Logging_1440/tillsyn/A 9783-2026 tillsynsbegäran.docx", "A 9783-2026")</f>
        <v/>
      </c>
      <c r="Y46">
        <f>HYPERLINK("https://klasma.github.io/Logging_1440/tillsynsmail/A 9783-2026 tillsynsbegäran mail.docx", "A 9783-2026")</f>
        <v/>
      </c>
    </row>
    <row r="47" ht="15" customHeight="1">
      <c r="A47" t="inlineStr">
        <is>
          <t>A 17355-2026</t>
        </is>
      </c>
      <c r="B47" s="1" t="n">
        <v>46119</v>
      </c>
      <c r="C47" s="1" t="n">
        <v>46202</v>
      </c>
      <c r="D47" t="inlineStr">
        <is>
          <t>VÄSTRA GÖTALANDS LÄN</t>
        </is>
      </c>
      <c r="E47" t="inlineStr">
        <is>
          <t>ALE</t>
        </is>
      </c>
      <c r="G47" t="n">
        <v>1.1</v>
      </c>
      <c r="H47" t="n">
        <v>1</v>
      </c>
      <c r="I47" t="n">
        <v>0</v>
      </c>
      <c r="J47" t="n">
        <v>0</v>
      </c>
      <c r="K47" t="n">
        <v>0</v>
      </c>
      <c r="L47" t="n">
        <v>0</v>
      </c>
      <c r="M47" t="n">
        <v>0</v>
      </c>
      <c r="N47" t="n">
        <v>0</v>
      </c>
      <c r="O47" t="n">
        <v>0</v>
      </c>
      <c r="P47" t="n">
        <v>0</v>
      </c>
      <c r="Q47" t="n">
        <v>1</v>
      </c>
      <c r="R47" s="2" t="inlineStr">
        <is>
          <t>Skogsödla</t>
        </is>
      </c>
      <c r="S47">
        <f>HYPERLINK("https://klasma.github.io/Logging_1440/artfynd/A 17355-2026 artfynd.xlsx", "A 17355-2026")</f>
        <v/>
      </c>
      <c r="T47">
        <f>HYPERLINK("https://klasma.github.io/Logging_1440/kartor/A 17355-2026 karta.png", "A 17355-2026")</f>
        <v/>
      </c>
      <c r="V47">
        <f>HYPERLINK("https://klasma.github.io/Logging_1440/klagomål/A 17355-2026 FSC-klagomål.docx", "A 17355-2026")</f>
        <v/>
      </c>
      <c r="W47">
        <f>HYPERLINK("https://klasma.github.io/Logging_1440/klagomålsmail/A 17355-2026 FSC-klagomål mail.docx", "A 17355-2026")</f>
        <v/>
      </c>
      <c r="X47">
        <f>HYPERLINK("https://klasma.github.io/Logging_1440/tillsyn/A 17355-2026 tillsynsbegäran.docx", "A 17355-2026")</f>
        <v/>
      </c>
      <c r="Y47">
        <f>HYPERLINK("https://klasma.github.io/Logging_1440/tillsynsmail/A 17355-2026 tillsynsbegäran mail.docx", "A 17355-2026")</f>
        <v/>
      </c>
    </row>
    <row r="48" ht="15" customHeight="1">
      <c r="A48" t="inlineStr">
        <is>
          <t>A 62855-2021</t>
        </is>
      </c>
      <c r="B48" s="1" t="n">
        <v>44504</v>
      </c>
      <c r="C48" s="1" t="n">
        <v>46202</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46202</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46202</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46202</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46202</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46202</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46202</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15508-2022</t>
        </is>
      </c>
      <c r="B55" s="1" t="n">
        <v>44662</v>
      </c>
      <c r="C55" s="1" t="n">
        <v>46202</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66893-2021</t>
        </is>
      </c>
      <c r="B56" s="1" t="n">
        <v>44522</v>
      </c>
      <c r="C56" s="1" t="n">
        <v>46202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46202</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46202</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v>
      </c>
      <c r="C59" s="1" t="n">
        <v>46202</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44429-2023</t>
        </is>
      </c>
      <c r="B60" s="1" t="n">
        <v>45189</v>
      </c>
      <c r="C60" s="1" t="n">
        <v>46202</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6916-2023</t>
        </is>
      </c>
      <c r="B61" s="1" t="n">
        <v>44967</v>
      </c>
      <c r="C61" s="1" t="n">
        <v>46202</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45988-2021</t>
        </is>
      </c>
      <c r="B62" s="1" t="n">
        <v>44441</v>
      </c>
      <c r="C62" s="1" t="n">
        <v>46202</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26157-2023</t>
        </is>
      </c>
      <c r="B63" s="1" t="n">
        <v>45091</v>
      </c>
      <c r="C63" s="1" t="n">
        <v>46202</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47087-2023</t>
        </is>
      </c>
      <c r="B64" s="1" t="n">
        <v>45196</v>
      </c>
      <c r="C64" s="1" t="n">
        <v>46202</v>
      </c>
      <c r="D64" t="inlineStr">
        <is>
          <t>VÄSTRA GÖTALANDS LÄN</t>
        </is>
      </c>
      <c r="E64" t="inlineStr">
        <is>
          <t>ALE</t>
        </is>
      </c>
      <c r="G64" t="n">
        <v>1.6</v>
      </c>
      <c r="H64" t="n">
        <v>0</v>
      </c>
      <c r="I64" t="n">
        <v>0</v>
      </c>
      <c r="J64" t="n">
        <v>0</v>
      </c>
      <c r="K64" t="n">
        <v>0</v>
      </c>
      <c r="L64" t="n">
        <v>0</v>
      </c>
      <c r="M64" t="n">
        <v>0</v>
      </c>
      <c r="N64" t="n">
        <v>0</v>
      </c>
      <c r="O64" t="n">
        <v>0</v>
      </c>
      <c r="P64" t="n">
        <v>0</v>
      </c>
      <c r="Q64" t="n">
        <v>0</v>
      </c>
      <c r="R64" s="2" t="inlineStr"/>
    </row>
    <row r="65" ht="15" customHeight="1">
      <c r="A65" t="inlineStr">
        <is>
          <t>A 1822-2024</t>
        </is>
      </c>
      <c r="B65" s="1" t="n">
        <v>45307</v>
      </c>
      <c r="C65" s="1" t="n">
        <v>46202</v>
      </c>
      <c r="D65" t="inlineStr">
        <is>
          <t>VÄSTRA GÖTALANDS LÄN</t>
        </is>
      </c>
      <c r="E65" t="inlineStr">
        <is>
          <t>ALE</t>
        </is>
      </c>
      <c r="G65" t="n">
        <v>2</v>
      </c>
      <c r="H65" t="n">
        <v>0</v>
      </c>
      <c r="I65" t="n">
        <v>0</v>
      </c>
      <c r="J65" t="n">
        <v>0</v>
      </c>
      <c r="K65" t="n">
        <v>0</v>
      </c>
      <c r="L65" t="n">
        <v>0</v>
      </c>
      <c r="M65" t="n">
        <v>0</v>
      </c>
      <c r="N65" t="n">
        <v>0</v>
      </c>
      <c r="O65" t="n">
        <v>0</v>
      </c>
      <c r="P65" t="n">
        <v>0</v>
      </c>
      <c r="Q65" t="n">
        <v>0</v>
      </c>
      <c r="R65" s="2" t="inlineStr"/>
    </row>
    <row r="66" ht="15" customHeight="1">
      <c r="A66" t="inlineStr">
        <is>
          <t>A 20067-2023</t>
        </is>
      </c>
      <c r="B66" s="1" t="n">
        <v>45054</v>
      </c>
      <c r="C66" s="1" t="n">
        <v>46202</v>
      </c>
      <c r="D66" t="inlineStr">
        <is>
          <t>VÄSTRA GÖTALANDS LÄN</t>
        </is>
      </c>
      <c r="E66" t="inlineStr">
        <is>
          <t>ALE</t>
        </is>
      </c>
      <c r="G66" t="n">
        <v>0.4</v>
      </c>
      <c r="H66" t="n">
        <v>0</v>
      </c>
      <c r="I66" t="n">
        <v>0</v>
      </c>
      <c r="J66" t="n">
        <v>0</v>
      </c>
      <c r="K66" t="n">
        <v>0</v>
      </c>
      <c r="L66" t="n">
        <v>0</v>
      </c>
      <c r="M66" t="n">
        <v>0</v>
      </c>
      <c r="N66" t="n">
        <v>0</v>
      </c>
      <c r="O66" t="n">
        <v>0</v>
      </c>
      <c r="P66" t="n">
        <v>0</v>
      </c>
      <c r="Q66" t="n">
        <v>0</v>
      </c>
      <c r="R66" s="2" t="inlineStr"/>
    </row>
    <row r="67" ht="15" customHeight="1">
      <c r="A67" t="inlineStr">
        <is>
          <t>A 34104-2024</t>
        </is>
      </c>
      <c r="B67" s="1" t="n">
        <v>45523</v>
      </c>
      <c r="C67" s="1" t="n">
        <v>46202</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3418-2023</t>
        </is>
      </c>
      <c r="B68" s="1" t="n">
        <v>44949</v>
      </c>
      <c r="C68" s="1" t="n">
        <v>46202</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5875-2023</t>
        </is>
      </c>
      <c r="B69" s="1" t="n">
        <v>44963</v>
      </c>
      <c r="C69" s="1" t="n">
        <v>46202</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64199-2021</t>
        </is>
      </c>
      <c r="B70" s="1" t="n">
        <v>44510</v>
      </c>
      <c r="C70" s="1" t="n">
        <v>46202</v>
      </c>
      <c r="D70" t="inlineStr">
        <is>
          <t>VÄSTRA GÖTALANDS LÄN</t>
        </is>
      </c>
      <c r="E70" t="inlineStr">
        <is>
          <t>ALE</t>
        </is>
      </c>
      <c r="G70" t="n">
        <v>5.7</v>
      </c>
      <c r="H70" t="n">
        <v>0</v>
      </c>
      <c r="I70" t="n">
        <v>0</v>
      </c>
      <c r="J70" t="n">
        <v>0</v>
      </c>
      <c r="K70" t="n">
        <v>0</v>
      </c>
      <c r="L70" t="n">
        <v>0</v>
      </c>
      <c r="M70" t="n">
        <v>0</v>
      </c>
      <c r="N70" t="n">
        <v>0</v>
      </c>
      <c r="O70" t="n">
        <v>0</v>
      </c>
      <c r="P70" t="n">
        <v>0</v>
      </c>
      <c r="Q70" t="n">
        <v>0</v>
      </c>
      <c r="R70" s="2" t="inlineStr"/>
    </row>
    <row r="71" ht="15" customHeight="1">
      <c r="A71" t="inlineStr">
        <is>
          <t>A 42660-2024</t>
        </is>
      </c>
      <c r="B71" s="1" t="n">
        <v>45566</v>
      </c>
      <c r="C71" s="1" t="n">
        <v>46202</v>
      </c>
      <c r="D71" t="inlineStr">
        <is>
          <t>VÄSTRA GÖTALANDS LÄN</t>
        </is>
      </c>
      <c r="E71" t="inlineStr">
        <is>
          <t>ALE</t>
        </is>
      </c>
      <c r="G71" t="n">
        <v>2.5</v>
      </c>
      <c r="H71" t="n">
        <v>0</v>
      </c>
      <c r="I71" t="n">
        <v>0</v>
      </c>
      <c r="J71" t="n">
        <v>0</v>
      </c>
      <c r="K71" t="n">
        <v>0</v>
      </c>
      <c r="L71" t="n">
        <v>0</v>
      </c>
      <c r="M71" t="n">
        <v>0</v>
      </c>
      <c r="N71" t="n">
        <v>0</v>
      </c>
      <c r="O71" t="n">
        <v>0</v>
      </c>
      <c r="P71" t="n">
        <v>0</v>
      </c>
      <c r="Q71" t="n">
        <v>0</v>
      </c>
      <c r="R71" s="2" t="inlineStr"/>
    </row>
    <row r="72" ht="15" customHeight="1">
      <c r="A72" t="inlineStr">
        <is>
          <t>A 15241-2025</t>
        </is>
      </c>
      <c r="B72" s="1" t="n">
        <v>45744</v>
      </c>
      <c r="C72" s="1" t="n">
        <v>46202</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48257-2022</t>
        </is>
      </c>
      <c r="B73" s="1" t="n">
        <v>44858</v>
      </c>
      <c r="C73" s="1" t="n">
        <v>46202</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67160-2021</t>
        </is>
      </c>
      <c r="B74" s="1" t="n">
        <v>44523</v>
      </c>
      <c r="C74" s="1" t="n">
        <v>46202</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1960-2024</t>
        </is>
      </c>
      <c r="B75" s="1" t="n">
        <v>45308</v>
      </c>
      <c r="C75" s="1" t="n">
        <v>46202</v>
      </c>
      <c r="D75" t="inlineStr">
        <is>
          <t>VÄSTRA GÖTALANDS LÄN</t>
        </is>
      </c>
      <c r="E75" t="inlineStr">
        <is>
          <t>ALE</t>
        </is>
      </c>
      <c r="G75" t="n">
        <v>1.9</v>
      </c>
      <c r="H75" t="n">
        <v>0</v>
      </c>
      <c r="I75" t="n">
        <v>0</v>
      </c>
      <c r="J75" t="n">
        <v>0</v>
      </c>
      <c r="K75" t="n">
        <v>0</v>
      </c>
      <c r="L75" t="n">
        <v>0</v>
      </c>
      <c r="M75" t="n">
        <v>0</v>
      </c>
      <c r="N75" t="n">
        <v>0</v>
      </c>
      <c r="O75" t="n">
        <v>0</v>
      </c>
      <c r="P75" t="n">
        <v>0</v>
      </c>
      <c r="Q75" t="n">
        <v>0</v>
      </c>
      <c r="R75" s="2" t="inlineStr"/>
    </row>
    <row r="76" ht="15" customHeight="1">
      <c r="A76" t="inlineStr">
        <is>
          <t>A 15499-2022</t>
        </is>
      </c>
      <c r="B76" s="1" t="n">
        <v>44662</v>
      </c>
      <c r="C76" s="1" t="n">
        <v>46202</v>
      </c>
      <c r="D76" t="inlineStr">
        <is>
          <t>VÄSTRA GÖTALANDS LÄN</t>
        </is>
      </c>
      <c r="E76" t="inlineStr">
        <is>
          <t>ALE</t>
        </is>
      </c>
      <c r="G76" t="n">
        <v>4.7</v>
      </c>
      <c r="H76" t="n">
        <v>0</v>
      </c>
      <c r="I76" t="n">
        <v>0</v>
      </c>
      <c r="J76" t="n">
        <v>0</v>
      </c>
      <c r="K76" t="n">
        <v>0</v>
      </c>
      <c r="L76" t="n">
        <v>0</v>
      </c>
      <c r="M76" t="n">
        <v>0</v>
      </c>
      <c r="N76" t="n">
        <v>0</v>
      </c>
      <c r="O76" t="n">
        <v>0</v>
      </c>
      <c r="P76" t="n">
        <v>0</v>
      </c>
      <c r="Q76" t="n">
        <v>0</v>
      </c>
      <c r="R76" s="2" t="inlineStr"/>
    </row>
    <row r="77" ht="15" customHeight="1">
      <c r="A77" t="inlineStr">
        <is>
          <t>A 41309-2024</t>
        </is>
      </c>
      <c r="B77" s="1" t="n">
        <v>45559</v>
      </c>
      <c r="C77" s="1" t="n">
        <v>46202</v>
      </c>
      <c r="D77" t="inlineStr">
        <is>
          <t>VÄSTRA GÖTALANDS LÄN</t>
        </is>
      </c>
      <c r="E77" t="inlineStr">
        <is>
          <t>ALE</t>
        </is>
      </c>
      <c r="G77" t="n">
        <v>8.4</v>
      </c>
      <c r="H77" t="n">
        <v>0</v>
      </c>
      <c r="I77" t="n">
        <v>0</v>
      </c>
      <c r="J77" t="n">
        <v>0</v>
      </c>
      <c r="K77" t="n">
        <v>0</v>
      </c>
      <c r="L77" t="n">
        <v>0</v>
      </c>
      <c r="M77" t="n">
        <v>0</v>
      </c>
      <c r="N77" t="n">
        <v>0</v>
      </c>
      <c r="O77" t="n">
        <v>0</v>
      </c>
      <c r="P77" t="n">
        <v>0</v>
      </c>
      <c r="Q77" t="n">
        <v>0</v>
      </c>
      <c r="R77" s="2" t="inlineStr"/>
    </row>
    <row r="78" ht="15" customHeight="1">
      <c r="A78" t="inlineStr">
        <is>
          <t>A 53476-2023</t>
        </is>
      </c>
      <c r="B78" s="1" t="n">
        <v>45230</v>
      </c>
      <c r="C78" s="1" t="n">
        <v>46202</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49680-2024</t>
        </is>
      </c>
      <c r="B79" s="1" t="n">
        <v>45596</v>
      </c>
      <c r="C79" s="1" t="n">
        <v>46202</v>
      </c>
      <c r="D79" t="inlineStr">
        <is>
          <t>VÄSTRA GÖTALANDS LÄN</t>
        </is>
      </c>
      <c r="E79" t="inlineStr">
        <is>
          <t>ALE</t>
        </is>
      </c>
      <c r="G79" t="n">
        <v>3.7</v>
      </c>
      <c r="H79" t="n">
        <v>0</v>
      </c>
      <c r="I79" t="n">
        <v>0</v>
      </c>
      <c r="J79" t="n">
        <v>0</v>
      </c>
      <c r="K79" t="n">
        <v>0</v>
      </c>
      <c r="L79" t="n">
        <v>0</v>
      </c>
      <c r="M79" t="n">
        <v>0</v>
      </c>
      <c r="N79" t="n">
        <v>0</v>
      </c>
      <c r="O79" t="n">
        <v>0</v>
      </c>
      <c r="P79" t="n">
        <v>0</v>
      </c>
      <c r="Q79" t="n">
        <v>0</v>
      </c>
      <c r="R79" s="2" t="inlineStr"/>
    </row>
    <row r="80" ht="15" customHeight="1">
      <c r="A80" t="inlineStr">
        <is>
          <t>A 34153-2024</t>
        </is>
      </c>
      <c r="B80" s="1" t="n">
        <v>45524</v>
      </c>
      <c r="C80" s="1" t="n">
        <v>46202</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14731-2022</t>
        </is>
      </c>
      <c r="B81" s="1" t="n">
        <v>44656</v>
      </c>
      <c r="C81" s="1" t="n">
        <v>46202</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46202</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51164-2024</t>
        </is>
      </c>
      <c r="B83" s="1" t="n">
        <v>45603</v>
      </c>
      <c r="C83" s="1" t="n">
        <v>46202</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7807-2023</t>
        </is>
      </c>
      <c r="B84" s="1" t="n">
        <v>44973</v>
      </c>
      <c r="C84" s="1" t="n">
        <v>46202</v>
      </c>
      <c r="D84" t="inlineStr">
        <is>
          <t>VÄSTRA GÖTALANDS LÄN</t>
        </is>
      </c>
      <c r="E84" t="inlineStr">
        <is>
          <t>ALE</t>
        </is>
      </c>
      <c r="G84" t="n">
        <v>10.5</v>
      </c>
      <c r="H84" t="n">
        <v>0</v>
      </c>
      <c r="I84" t="n">
        <v>0</v>
      </c>
      <c r="J84" t="n">
        <v>0</v>
      </c>
      <c r="K84" t="n">
        <v>0</v>
      </c>
      <c r="L84" t="n">
        <v>0</v>
      </c>
      <c r="M84" t="n">
        <v>0</v>
      </c>
      <c r="N84" t="n">
        <v>0</v>
      </c>
      <c r="O84" t="n">
        <v>0</v>
      </c>
      <c r="P84" t="n">
        <v>0</v>
      </c>
      <c r="Q84" t="n">
        <v>0</v>
      </c>
      <c r="R84" s="2" t="inlineStr"/>
    </row>
    <row r="85" ht="15" customHeight="1">
      <c r="A85" t="inlineStr">
        <is>
          <t>A 3520-2022</t>
        </is>
      </c>
      <c r="B85" s="1" t="n">
        <v>44585</v>
      </c>
      <c r="C85" s="1" t="n">
        <v>46202</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46202</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56493-2021</t>
        </is>
      </c>
      <c r="B87" s="1" t="n">
        <v>44480</v>
      </c>
      <c r="C87" s="1" t="n">
        <v>46202</v>
      </c>
      <c r="D87" t="inlineStr">
        <is>
          <t>VÄSTRA GÖTALANDS LÄN</t>
        </is>
      </c>
      <c r="E87" t="inlineStr">
        <is>
          <t>ALE</t>
        </is>
      </c>
      <c r="G87" t="n">
        <v>1.7</v>
      </c>
      <c r="H87" t="n">
        <v>0</v>
      </c>
      <c r="I87" t="n">
        <v>0</v>
      </c>
      <c r="J87" t="n">
        <v>0</v>
      </c>
      <c r="K87" t="n">
        <v>0</v>
      </c>
      <c r="L87" t="n">
        <v>0</v>
      </c>
      <c r="M87" t="n">
        <v>0</v>
      </c>
      <c r="N87" t="n">
        <v>0</v>
      </c>
      <c r="O87" t="n">
        <v>0</v>
      </c>
      <c r="P87" t="n">
        <v>0</v>
      </c>
      <c r="Q87" t="n">
        <v>0</v>
      </c>
      <c r="R87" s="2" t="inlineStr"/>
    </row>
    <row r="88" ht="15" customHeight="1">
      <c r="A88" t="inlineStr">
        <is>
          <t>A 24642-2022</t>
        </is>
      </c>
      <c r="B88" s="1" t="n">
        <v>44727</v>
      </c>
      <c r="C88" s="1" t="n">
        <v>46202</v>
      </c>
      <c r="D88" t="inlineStr">
        <is>
          <t>VÄSTRA GÖTALANDS LÄN</t>
        </is>
      </c>
      <c r="E88" t="inlineStr">
        <is>
          <t>ALE</t>
        </is>
      </c>
      <c r="G88" t="n">
        <v>10</v>
      </c>
      <c r="H88" t="n">
        <v>0</v>
      </c>
      <c r="I88" t="n">
        <v>0</v>
      </c>
      <c r="J88" t="n">
        <v>0</v>
      </c>
      <c r="K88" t="n">
        <v>0</v>
      </c>
      <c r="L88" t="n">
        <v>0</v>
      </c>
      <c r="M88" t="n">
        <v>0</v>
      </c>
      <c r="N88" t="n">
        <v>0</v>
      </c>
      <c r="O88" t="n">
        <v>0</v>
      </c>
      <c r="P88" t="n">
        <v>0</v>
      </c>
      <c r="Q88" t="n">
        <v>0</v>
      </c>
      <c r="R88" s="2" t="inlineStr"/>
    </row>
    <row r="89" ht="15" customHeight="1">
      <c r="A89" t="inlineStr">
        <is>
          <t>A 17044-2025</t>
        </is>
      </c>
      <c r="B89" s="1" t="n">
        <v>45755</v>
      </c>
      <c r="C89" s="1" t="n">
        <v>46202</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55488-2022</t>
        </is>
      </c>
      <c r="B90" s="1" t="n">
        <v>44887</v>
      </c>
      <c r="C90" s="1" t="n">
        <v>46202</v>
      </c>
      <c r="D90" t="inlineStr">
        <is>
          <t>VÄSTRA GÖTALANDS LÄN</t>
        </is>
      </c>
      <c r="E90" t="inlineStr">
        <is>
          <t>ALE</t>
        </is>
      </c>
      <c r="G90" t="n">
        <v>2.5</v>
      </c>
      <c r="H90" t="n">
        <v>0</v>
      </c>
      <c r="I90" t="n">
        <v>0</v>
      </c>
      <c r="J90" t="n">
        <v>0</v>
      </c>
      <c r="K90" t="n">
        <v>0</v>
      </c>
      <c r="L90" t="n">
        <v>0</v>
      </c>
      <c r="M90" t="n">
        <v>0</v>
      </c>
      <c r="N90" t="n">
        <v>0</v>
      </c>
      <c r="O90" t="n">
        <v>0</v>
      </c>
      <c r="P90" t="n">
        <v>0</v>
      </c>
      <c r="Q90" t="n">
        <v>0</v>
      </c>
      <c r="R90" s="2" t="inlineStr"/>
    </row>
    <row r="91" ht="15" customHeight="1">
      <c r="A91" t="inlineStr">
        <is>
          <t>A 32762-2023</t>
        </is>
      </c>
      <c r="B91" s="1" t="n">
        <v>45123</v>
      </c>
      <c r="C91" s="1" t="n">
        <v>46202</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16601-2025</t>
        </is>
      </c>
      <c r="B92" s="1" t="n">
        <v>45753</v>
      </c>
      <c r="C92" s="1" t="n">
        <v>46202</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51564-2023</t>
        </is>
      </c>
      <c r="B93" s="1" t="n">
        <v>45222</v>
      </c>
      <c r="C93" s="1" t="n">
        <v>46202</v>
      </c>
      <c r="D93" t="inlineStr">
        <is>
          <t>VÄSTRA GÖTALANDS LÄN</t>
        </is>
      </c>
      <c r="E93" t="inlineStr">
        <is>
          <t>ALE</t>
        </is>
      </c>
      <c r="G93" t="n">
        <v>1.5</v>
      </c>
      <c r="H93" t="n">
        <v>0</v>
      </c>
      <c r="I93" t="n">
        <v>0</v>
      </c>
      <c r="J93" t="n">
        <v>0</v>
      </c>
      <c r="K93" t="n">
        <v>0</v>
      </c>
      <c r="L93" t="n">
        <v>0</v>
      </c>
      <c r="M93" t="n">
        <v>0</v>
      </c>
      <c r="N93" t="n">
        <v>0</v>
      </c>
      <c r="O93" t="n">
        <v>0</v>
      </c>
      <c r="P93" t="n">
        <v>0</v>
      </c>
      <c r="Q93" t="n">
        <v>0</v>
      </c>
      <c r="R93" s="2" t="inlineStr"/>
    </row>
    <row r="94" ht="15" customHeight="1">
      <c r="A94" t="inlineStr">
        <is>
          <t>A 4642-2024</t>
        </is>
      </c>
      <c r="B94" s="1" t="n">
        <v>45328</v>
      </c>
      <c r="C94" s="1" t="n">
        <v>46202</v>
      </c>
      <c r="D94" t="inlineStr">
        <is>
          <t>VÄSTRA GÖTALANDS LÄN</t>
        </is>
      </c>
      <c r="E94" t="inlineStr">
        <is>
          <t>ALE</t>
        </is>
      </c>
      <c r="G94" t="n">
        <v>7.1</v>
      </c>
      <c r="H94" t="n">
        <v>0</v>
      </c>
      <c r="I94" t="n">
        <v>0</v>
      </c>
      <c r="J94" t="n">
        <v>0</v>
      </c>
      <c r="K94" t="n">
        <v>0</v>
      </c>
      <c r="L94" t="n">
        <v>0</v>
      </c>
      <c r="M94" t="n">
        <v>0</v>
      </c>
      <c r="N94" t="n">
        <v>0</v>
      </c>
      <c r="O94" t="n">
        <v>0</v>
      </c>
      <c r="P94" t="n">
        <v>0</v>
      </c>
      <c r="Q94" t="n">
        <v>0</v>
      </c>
      <c r="R94" s="2" t="inlineStr"/>
    </row>
    <row r="95" ht="15" customHeight="1">
      <c r="A95" t="inlineStr">
        <is>
          <t>A 36403-2024</t>
        </is>
      </c>
      <c r="B95" s="1" t="n">
        <v>45535</v>
      </c>
      <c r="C95" s="1" t="n">
        <v>46202</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15582-2025</t>
        </is>
      </c>
      <c r="B96" s="1" t="n">
        <v>45747</v>
      </c>
      <c r="C96" s="1" t="n">
        <v>46202</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7892-2024</t>
        </is>
      </c>
      <c r="B97" s="1" t="n">
        <v>45350</v>
      </c>
      <c r="C97" s="1" t="n">
        <v>46202</v>
      </c>
      <c r="D97" t="inlineStr">
        <is>
          <t>VÄSTRA GÖTALANDS LÄN</t>
        </is>
      </c>
      <c r="E97" t="inlineStr">
        <is>
          <t>ALE</t>
        </is>
      </c>
      <c r="G97" t="n">
        <v>3.6</v>
      </c>
      <c r="H97" t="n">
        <v>0</v>
      </c>
      <c r="I97" t="n">
        <v>0</v>
      </c>
      <c r="J97" t="n">
        <v>0</v>
      </c>
      <c r="K97" t="n">
        <v>0</v>
      </c>
      <c r="L97" t="n">
        <v>0</v>
      </c>
      <c r="M97" t="n">
        <v>0</v>
      </c>
      <c r="N97" t="n">
        <v>0</v>
      </c>
      <c r="O97" t="n">
        <v>0</v>
      </c>
      <c r="P97" t="n">
        <v>0</v>
      </c>
      <c r="Q97" t="n">
        <v>0</v>
      </c>
      <c r="R97" s="2" t="inlineStr"/>
    </row>
    <row r="98" ht="15" customHeight="1">
      <c r="A98" t="inlineStr">
        <is>
          <t>A 18637-2023</t>
        </is>
      </c>
      <c r="B98" s="1" t="n">
        <v>45043</v>
      </c>
      <c r="C98" s="1" t="n">
        <v>46202</v>
      </c>
      <c r="D98" t="inlineStr">
        <is>
          <t>VÄSTRA GÖTALANDS LÄN</t>
        </is>
      </c>
      <c r="E98" t="inlineStr">
        <is>
          <t>ALE</t>
        </is>
      </c>
      <c r="G98" t="n">
        <v>3.6</v>
      </c>
      <c r="H98" t="n">
        <v>0</v>
      </c>
      <c r="I98" t="n">
        <v>0</v>
      </c>
      <c r="J98" t="n">
        <v>0</v>
      </c>
      <c r="K98" t="n">
        <v>0</v>
      </c>
      <c r="L98" t="n">
        <v>0</v>
      </c>
      <c r="M98" t="n">
        <v>0</v>
      </c>
      <c r="N98" t="n">
        <v>0</v>
      </c>
      <c r="O98" t="n">
        <v>0</v>
      </c>
      <c r="P98" t="n">
        <v>0</v>
      </c>
      <c r="Q98" t="n">
        <v>0</v>
      </c>
      <c r="R98" s="2" t="inlineStr"/>
    </row>
    <row r="99" ht="15" customHeight="1">
      <c r="A99" t="inlineStr">
        <is>
          <t>A 59933-2023</t>
        </is>
      </c>
      <c r="B99" s="1" t="n">
        <v>45257</v>
      </c>
      <c r="C99" s="1" t="n">
        <v>46202</v>
      </c>
      <c r="D99" t="inlineStr">
        <is>
          <t>VÄSTRA GÖTALANDS LÄN</t>
        </is>
      </c>
      <c r="E99" t="inlineStr">
        <is>
          <t>ALE</t>
        </is>
      </c>
      <c r="G99" t="n">
        <v>2.7</v>
      </c>
      <c r="H99" t="n">
        <v>0</v>
      </c>
      <c r="I99" t="n">
        <v>0</v>
      </c>
      <c r="J99" t="n">
        <v>0</v>
      </c>
      <c r="K99" t="n">
        <v>0</v>
      </c>
      <c r="L99" t="n">
        <v>0</v>
      </c>
      <c r="M99" t="n">
        <v>0</v>
      </c>
      <c r="N99" t="n">
        <v>0</v>
      </c>
      <c r="O99" t="n">
        <v>0</v>
      </c>
      <c r="P99" t="n">
        <v>0</v>
      </c>
      <c r="Q99" t="n">
        <v>0</v>
      </c>
      <c r="R99" s="2" t="inlineStr"/>
    </row>
    <row r="100" ht="15" customHeight="1">
      <c r="A100" t="inlineStr">
        <is>
          <t>A 35959-2022</t>
        </is>
      </c>
      <c r="B100" s="1" t="n">
        <v>44802</v>
      </c>
      <c r="C100" s="1" t="n">
        <v>46202</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4444-2024</t>
        </is>
      </c>
      <c r="B101" s="1" t="n">
        <v>45327</v>
      </c>
      <c r="C101" s="1" t="n">
        <v>46202</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13903-2025</t>
        </is>
      </c>
      <c r="B102" s="1" t="n">
        <v>45737</v>
      </c>
      <c r="C102" s="1" t="n">
        <v>46202</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46202</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31409-2025</t>
        </is>
      </c>
      <c r="B104" s="1" t="n">
        <v>45833</v>
      </c>
      <c r="C104" s="1" t="n">
        <v>46202</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1687-2024</t>
        </is>
      </c>
      <c r="B105" s="1" t="n">
        <v>45306</v>
      </c>
      <c r="C105" s="1" t="n">
        <v>46202</v>
      </c>
      <c r="D105" t="inlineStr">
        <is>
          <t>VÄSTRA GÖTALANDS LÄN</t>
        </is>
      </c>
      <c r="E105" t="inlineStr">
        <is>
          <t>ALE</t>
        </is>
      </c>
      <c r="G105" t="n">
        <v>3.4</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46202</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31488-2025</t>
        </is>
      </c>
      <c r="B107" s="1" t="n">
        <v>45833</v>
      </c>
      <c r="C107" s="1" t="n">
        <v>46202</v>
      </c>
      <c r="D107" t="inlineStr">
        <is>
          <t>VÄSTRA GÖTALANDS LÄN</t>
        </is>
      </c>
      <c r="E107" t="inlineStr">
        <is>
          <t>ALE</t>
        </is>
      </c>
      <c r="G107" t="n">
        <v>1.8</v>
      </c>
      <c r="H107" t="n">
        <v>0</v>
      </c>
      <c r="I107" t="n">
        <v>0</v>
      </c>
      <c r="J107" t="n">
        <v>0</v>
      </c>
      <c r="K107" t="n">
        <v>0</v>
      </c>
      <c r="L107" t="n">
        <v>0</v>
      </c>
      <c r="M107" t="n">
        <v>0</v>
      </c>
      <c r="N107" t="n">
        <v>0</v>
      </c>
      <c r="O107" t="n">
        <v>0</v>
      </c>
      <c r="P107" t="n">
        <v>0</v>
      </c>
      <c r="Q107" t="n">
        <v>0</v>
      </c>
      <c r="R107" s="2" t="inlineStr"/>
    </row>
    <row r="108" ht="15" customHeight="1">
      <c r="A108" t="inlineStr">
        <is>
          <t>A 31533-2025</t>
        </is>
      </c>
      <c r="B108" s="1" t="n">
        <v>45833</v>
      </c>
      <c r="C108" s="1" t="n">
        <v>46202</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5916-2023</t>
        </is>
      </c>
      <c r="B109" s="1" t="n">
        <v>44963</v>
      </c>
      <c r="C109" s="1" t="n">
        <v>46202</v>
      </c>
      <c r="D109" t="inlineStr">
        <is>
          <t>VÄSTRA GÖTALANDS LÄN</t>
        </is>
      </c>
      <c r="E109" t="inlineStr">
        <is>
          <t>ALE</t>
        </is>
      </c>
      <c r="G109" t="n">
        <v>4.2</v>
      </c>
      <c r="H109" t="n">
        <v>0</v>
      </c>
      <c r="I109" t="n">
        <v>0</v>
      </c>
      <c r="J109" t="n">
        <v>0</v>
      </c>
      <c r="K109" t="n">
        <v>0</v>
      </c>
      <c r="L109" t="n">
        <v>0</v>
      </c>
      <c r="M109" t="n">
        <v>0</v>
      </c>
      <c r="N109" t="n">
        <v>0</v>
      </c>
      <c r="O109" t="n">
        <v>0</v>
      </c>
      <c r="P109" t="n">
        <v>0</v>
      </c>
      <c r="Q109" t="n">
        <v>0</v>
      </c>
      <c r="R109" s="2" t="inlineStr"/>
    </row>
    <row r="110" ht="15" customHeight="1">
      <c r="A110" t="inlineStr">
        <is>
          <t>A 3457-2022</t>
        </is>
      </c>
      <c r="B110" s="1" t="n">
        <v>44585</v>
      </c>
      <c r="C110" s="1" t="n">
        <v>46202</v>
      </c>
      <c r="D110" t="inlineStr">
        <is>
          <t>VÄSTRA GÖTALANDS LÄN</t>
        </is>
      </c>
      <c r="E110" t="inlineStr">
        <is>
          <t>ALE</t>
        </is>
      </c>
      <c r="G110" t="n">
        <v>5.1</v>
      </c>
      <c r="H110" t="n">
        <v>0</v>
      </c>
      <c r="I110" t="n">
        <v>0</v>
      </c>
      <c r="J110" t="n">
        <v>0</v>
      </c>
      <c r="K110" t="n">
        <v>0</v>
      </c>
      <c r="L110" t="n">
        <v>0</v>
      </c>
      <c r="M110" t="n">
        <v>0</v>
      </c>
      <c r="N110" t="n">
        <v>0</v>
      </c>
      <c r="O110" t="n">
        <v>0</v>
      </c>
      <c r="P110" t="n">
        <v>0</v>
      </c>
      <c r="Q110" t="n">
        <v>0</v>
      </c>
      <c r="R110" s="2" t="inlineStr"/>
    </row>
    <row r="111" ht="15" customHeight="1">
      <c r="A111" t="inlineStr">
        <is>
          <t>A 26083-2023</t>
        </is>
      </c>
      <c r="B111" s="1" t="n">
        <v>45091</v>
      </c>
      <c r="C111" s="1" t="n">
        <v>46202</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16344-2023</t>
        </is>
      </c>
      <c r="B112" s="1" t="n">
        <v>45028</v>
      </c>
      <c r="C112" s="1" t="n">
        <v>46202</v>
      </c>
      <c r="D112" t="inlineStr">
        <is>
          <t>VÄSTRA GÖTALANDS LÄN</t>
        </is>
      </c>
      <c r="E112" t="inlineStr">
        <is>
          <t>ALE</t>
        </is>
      </c>
      <c r="G112" t="n">
        <v>6.6</v>
      </c>
      <c r="H112" t="n">
        <v>0</v>
      </c>
      <c r="I112" t="n">
        <v>0</v>
      </c>
      <c r="J112" t="n">
        <v>0</v>
      </c>
      <c r="K112" t="n">
        <v>0</v>
      </c>
      <c r="L112" t="n">
        <v>0</v>
      </c>
      <c r="M112" t="n">
        <v>0</v>
      </c>
      <c r="N112" t="n">
        <v>0</v>
      </c>
      <c r="O112" t="n">
        <v>0</v>
      </c>
      <c r="P112" t="n">
        <v>0</v>
      </c>
      <c r="Q112" t="n">
        <v>0</v>
      </c>
      <c r="R112" s="2" t="inlineStr"/>
    </row>
    <row r="113" ht="15" customHeight="1">
      <c r="A113" t="inlineStr">
        <is>
          <t>A 14458-2024</t>
        </is>
      </c>
      <c r="B113" s="1" t="n">
        <v>45394</v>
      </c>
      <c r="C113" s="1" t="n">
        <v>46202</v>
      </c>
      <c r="D113" t="inlineStr">
        <is>
          <t>VÄSTRA GÖTALANDS LÄN</t>
        </is>
      </c>
      <c r="E113" t="inlineStr">
        <is>
          <t>ALE</t>
        </is>
      </c>
      <c r="G113" t="n">
        <v>0.5</v>
      </c>
      <c r="H113" t="n">
        <v>0</v>
      </c>
      <c r="I113" t="n">
        <v>0</v>
      </c>
      <c r="J113" t="n">
        <v>0</v>
      </c>
      <c r="K113" t="n">
        <v>0</v>
      </c>
      <c r="L113" t="n">
        <v>0</v>
      </c>
      <c r="M113" t="n">
        <v>0</v>
      </c>
      <c r="N113" t="n">
        <v>0</v>
      </c>
      <c r="O113" t="n">
        <v>0</v>
      </c>
      <c r="P113" t="n">
        <v>0</v>
      </c>
      <c r="Q113" t="n">
        <v>0</v>
      </c>
      <c r="R113" s="2" t="inlineStr"/>
    </row>
    <row r="114" ht="15" customHeight="1">
      <c r="A114" t="inlineStr">
        <is>
          <t>A 49955-2021</t>
        </is>
      </c>
      <c r="B114" s="1" t="n">
        <v>44456</v>
      </c>
      <c r="C114" s="1" t="n">
        <v>46202</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1566-2022</t>
        </is>
      </c>
      <c r="B115" s="1" t="n">
        <v>44573</v>
      </c>
      <c r="C115" s="1" t="n">
        <v>46202</v>
      </c>
      <c r="D115" t="inlineStr">
        <is>
          <t>VÄSTRA GÖTALANDS LÄN</t>
        </is>
      </c>
      <c r="E115" t="inlineStr">
        <is>
          <t>ALE</t>
        </is>
      </c>
      <c r="G115" t="n">
        <v>3</v>
      </c>
      <c r="H115" t="n">
        <v>0</v>
      </c>
      <c r="I115" t="n">
        <v>0</v>
      </c>
      <c r="J115" t="n">
        <v>0</v>
      </c>
      <c r="K115" t="n">
        <v>0</v>
      </c>
      <c r="L115" t="n">
        <v>0</v>
      </c>
      <c r="M115" t="n">
        <v>0</v>
      </c>
      <c r="N115" t="n">
        <v>0</v>
      </c>
      <c r="O115" t="n">
        <v>0</v>
      </c>
      <c r="P115" t="n">
        <v>0</v>
      </c>
      <c r="Q115" t="n">
        <v>0</v>
      </c>
      <c r="R115" s="2" t="inlineStr"/>
    </row>
    <row r="116" ht="15" customHeight="1">
      <c r="A116" t="inlineStr">
        <is>
          <t>A 12445-2022</t>
        </is>
      </c>
      <c r="B116" s="1" t="n">
        <v>44638</v>
      </c>
      <c r="C116" s="1" t="n">
        <v>46202</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57473-2022</t>
        </is>
      </c>
      <c r="B117" s="1" t="n">
        <v>44896</v>
      </c>
      <c r="C117" s="1" t="n">
        <v>46202</v>
      </c>
      <c r="D117" t="inlineStr">
        <is>
          <t>VÄSTRA GÖTALANDS LÄN</t>
        </is>
      </c>
      <c r="E117" t="inlineStr">
        <is>
          <t>ALE</t>
        </is>
      </c>
      <c r="G117" t="n">
        <v>0.7</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46202</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50189-2025</t>
        </is>
      </c>
      <c r="B119" s="1" t="n">
        <v>45943</v>
      </c>
      <c r="C119" s="1" t="n">
        <v>46202</v>
      </c>
      <c r="D119" t="inlineStr">
        <is>
          <t>VÄSTRA GÖTALANDS LÄN</t>
        </is>
      </c>
      <c r="E119" t="inlineStr">
        <is>
          <t>ALE</t>
        </is>
      </c>
      <c r="G119" t="n">
        <v>3</v>
      </c>
      <c r="H119" t="n">
        <v>0</v>
      </c>
      <c r="I119" t="n">
        <v>0</v>
      </c>
      <c r="J119" t="n">
        <v>0</v>
      </c>
      <c r="K119" t="n">
        <v>0</v>
      </c>
      <c r="L119" t="n">
        <v>0</v>
      </c>
      <c r="M119" t="n">
        <v>0</v>
      </c>
      <c r="N119" t="n">
        <v>0</v>
      </c>
      <c r="O119" t="n">
        <v>0</v>
      </c>
      <c r="P119" t="n">
        <v>0</v>
      </c>
      <c r="Q119" t="n">
        <v>0</v>
      </c>
      <c r="R119" s="2" t="inlineStr"/>
    </row>
    <row r="120" ht="15" customHeight="1">
      <c r="A120" t="inlineStr">
        <is>
          <t>A 50973-2025</t>
        </is>
      </c>
      <c r="B120" s="1" t="n">
        <v>45947</v>
      </c>
      <c r="C120" s="1" t="n">
        <v>46202</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51976-2025</t>
        </is>
      </c>
      <c r="B121" s="1" t="n">
        <v>45952</v>
      </c>
      <c r="C121" s="1" t="n">
        <v>46202</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4971-2024</t>
        </is>
      </c>
      <c r="B122" s="1" t="n">
        <v>45329</v>
      </c>
      <c r="C122" s="1" t="n">
        <v>46202</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12055-2022</t>
        </is>
      </c>
      <c r="B123" s="1" t="n">
        <v>44636</v>
      </c>
      <c r="C123" s="1" t="n">
        <v>46202</v>
      </c>
      <c r="D123" t="inlineStr">
        <is>
          <t>VÄSTRA GÖTALANDS LÄN</t>
        </is>
      </c>
      <c r="E123" t="inlineStr">
        <is>
          <t>ALE</t>
        </is>
      </c>
      <c r="G123" t="n">
        <v>0.2</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v>
      </c>
      <c r="C124" s="1" t="n">
        <v>46202</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36763-2022</t>
        </is>
      </c>
      <c r="B125" s="1" t="n">
        <v>44805</v>
      </c>
      <c r="C125" s="1" t="n">
        <v>46202</v>
      </c>
      <c r="D125" t="inlineStr">
        <is>
          <t>VÄSTRA GÖTALANDS LÄN</t>
        </is>
      </c>
      <c r="E125" t="inlineStr">
        <is>
          <t>ALE</t>
        </is>
      </c>
      <c r="G125" t="n">
        <v>6.1</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v>
      </c>
      <c r="C126" s="1" t="n">
        <v>46202</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46227-2025</t>
        </is>
      </c>
      <c r="B127" s="1" t="n">
        <v>45924</v>
      </c>
      <c r="C127" s="1" t="n">
        <v>46202</v>
      </c>
      <c r="D127" t="inlineStr">
        <is>
          <t>VÄSTRA GÖTALANDS LÄN</t>
        </is>
      </c>
      <c r="E127" t="inlineStr">
        <is>
          <t>ALE</t>
        </is>
      </c>
      <c r="G127" t="n">
        <v>0.3</v>
      </c>
      <c r="H127" t="n">
        <v>0</v>
      </c>
      <c r="I127" t="n">
        <v>0</v>
      </c>
      <c r="J127" t="n">
        <v>0</v>
      </c>
      <c r="K127" t="n">
        <v>0</v>
      </c>
      <c r="L127" t="n">
        <v>0</v>
      </c>
      <c r="M127" t="n">
        <v>0</v>
      </c>
      <c r="N127" t="n">
        <v>0</v>
      </c>
      <c r="O127" t="n">
        <v>0</v>
      </c>
      <c r="P127" t="n">
        <v>0</v>
      </c>
      <c r="Q127" t="n">
        <v>0</v>
      </c>
      <c r="R127" s="2" t="inlineStr"/>
    </row>
    <row r="128" ht="15" customHeight="1">
      <c r="A128" t="inlineStr">
        <is>
          <t>A 56905-2025</t>
        </is>
      </c>
      <c r="B128" s="1" t="n">
        <v>45978</v>
      </c>
      <c r="C128" s="1" t="n">
        <v>46202</v>
      </c>
      <c r="D128" t="inlineStr">
        <is>
          <t>VÄSTRA GÖTALANDS LÄN</t>
        </is>
      </c>
      <c r="E128" t="inlineStr">
        <is>
          <t>ALE</t>
        </is>
      </c>
      <c r="G128" t="n">
        <v>5.2</v>
      </c>
      <c r="H128" t="n">
        <v>0</v>
      </c>
      <c r="I128" t="n">
        <v>0</v>
      </c>
      <c r="J128" t="n">
        <v>0</v>
      </c>
      <c r="K128" t="n">
        <v>0</v>
      </c>
      <c r="L128" t="n">
        <v>0</v>
      </c>
      <c r="M128" t="n">
        <v>0</v>
      </c>
      <c r="N128" t="n">
        <v>0</v>
      </c>
      <c r="O128" t="n">
        <v>0</v>
      </c>
      <c r="P128" t="n">
        <v>0</v>
      </c>
      <c r="Q128" t="n">
        <v>0</v>
      </c>
      <c r="R128" s="2" t="inlineStr"/>
    </row>
    <row r="129" ht="15" customHeight="1">
      <c r="A129" t="inlineStr">
        <is>
          <t>A 47728-2025</t>
        </is>
      </c>
      <c r="B129" s="1" t="n">
        <v>45931</v>
      </c>
      <c r="C129" s="1" t="n">
        <v>46202</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31407-2025</t>
        </is>
      </c>
      <c r="B130" s="1" t="n">
        <v>45833</v>
      </c>
      <c r="C130" s="1" t="n">
        <v>46202</v>
      </c>
      <c r="D130" t="inlineStr">
        <is>
          <t>VÄSTRA GÖTALANDS LÄN</t>
        </is>
      </c>
      <c r="E130" t="inlineStr">
        <is>
          <t>ALE</t>
        </is>
      </c>
      <c r="G130" t="n">
        <v>0.8</v>
      </c>
      <c r="H130" t="n">
        <v>0</v>
      </c>
      <c r="I130" t="n">
        <v>0</v>
      </c>
      <c r="J130" t="n">
        <v>0</v>
      </c>
      <c r="K130" t="n">
        <v>0</v>
      </c>
      <c r="L130" t="n">
        <v>0</v>
      </c>
      <c r="M130" t="n">
        <v>0</v>
      </c>
      <c r="N130" t="n">
        <v>0</v>
      </c>
      <c r="O130" t="n">
        <v>0</v>
      </c>
      <c r="P130" t="n">
        <v>0</v>
      </c>
      <c r="Q130" t="n">
        <v>0</v>
      </c>
      <c r="R130" s="2" t="inlineStr"/>
    </row>
    <row r="131" ht="15" customHeight="1">
      <c r="A131" t="inlineStr">
        <is>
          <t>A 59409-2025</t>
        </is>
      </c>
      <c r="B131" s="1" t="n">
        <v>45989</v>
      </c>
      <c r="C131" s="1" t="n">
        <v>46202</v>
      </c>
      <c r="D131" t="inlineStr">
        <is>
          <t>VÄSTRA GÖTALANDS LÄN</t>
        </is>
      </c>
      <c r="E131" t="inlineStr">
        <is>
          <t>ALE</t>
        </is>
      </c>
      <c r="G131" t="n">
        <v>0.3</v>
      </c>
      <c r="H131" t="n">
        <v>0</v>
      </c>
      <c r="I131" t="n">
        <v>0</v>
      </c>
      <c r="J131" t="n">
        <v>0</v>
      </c>
      <c r="K131" t="n">
        <v>0</v>
      </c>
      <c r="L131" t="n">
        <v>0</v>
      </c>
      <c r="M131" t="n">
        <v>0</v>
      </c>
      <c r="N131" t="n">
        <v>0</v>
      </c>
      <c r="O131" t="n">
        <v>0</v>
      </c>
      <c r="P131" t="n">
        <v>0</v>
      </c>
      <c r="Q131" t="n">
        <v>0</v>
      </c>
      <c r="R131" s="2" t="inlineStr"/>
    </row>
    <row r="132" ht="15" customHeight="1">
      <c r="A132" t="inlineStr">
        <is>
          <t>A 60287-2025</t>
        </is>
      </c>
      <c r="B132" s="1" t="n">
        <v>45994</v>
      </c>
      <c r="C132" s="1" t="n">
        <v>46202</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25848-2025</t>
        </is>
      </c>
      <c r="B133" s="1" t="n">
        <v>45804</v>
      </c>
      <c r="C133" s="1" t="n">
        <v>46202</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61771-2025</t>
        </is>
      </c>
      <c r="B134" s="1" t="n">
        <v>46002</v>
      </c>
      <c r="C134" s="1" t="n">
        <v>46202</v>
      </c>
      <c r="D134" t="inlineStr">
        <is>
          <t>VÄSTRA GÖTALANDS LÄN</t>
        </is>
      </c>
      <c r="E134" t="inlineStr">
        <is>
          <t>ALE</t>
        </is>
      </c>
      <c r="G134" t="n">
        <v>3.9</v>
      </c>
      <c r="H134" t="n">
        <v>0</v>
      </c>
      <c r="I134" t="n">
        <v>0</v>
      </c>
      <c r="J134" t="n">
        <v>0</v>
      </c>
      <c r="K134" t="n">
        <v>0</v>
      </c>
      <c r="L134" t="n">
        <v>0</v>
      </c>
      <c r="M134" t="n">
        <v>0</v>
      </c>
      <c r="N134" t="n">
        <v>0</v>
      </c>
      <c r="O134" t="n">
        <v>0</v>
      </c>
      <c r="P134" t="n">
        <v>0</v>
      </c>
      <c r="Q134" t="n">
        <v>0</v>
      </c>
      <c r="R134" s="2" t="inlineStr"/>
    </row>
    <row r="135" ht="15" customHeight="1">
      <c r="A135" t="inlineStr">
        <is>
          <t>A 61744-2025</t>
        </is>
      </c>
      <c r="B135" s="1" t="n">
        <v>46002</v>
      </c>
      <c r="C135" s="1" t="n">
        <v>46202</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2414-2026</t>
        </is>
      </c>
      <c r="B136" s="1" t="n">
        <v>46036</v>
      </c>
      <c r="C136" s="1" t="n">
        <v>46202</v>
      </c>
      <c r="D136" t="inlineStr">
        <is>
          <t>VÄSTRA GÖTALANDS LÄN</t>
        </is>
      </c>
      <c r="E136" t="inlineStr">
        <is>
          <t>ALE</t>
        </is>
      </c>
      <c r="G136" t="n">
        <v>3.3</v>
      </c>
      <c r="H136" t="n">
        <v>0</v>
      </c>
      <c r="I136" t="n">
        <v>0</v>
      </c>
      <c r="J136" t="n">
        <v>0</v>
      </c>
      <c r="K136" t="n">
        <v>0</v>
      </c>
      <c r="L136" t="n">
        <v>0</v>
      </c>
      <c r="M136" t="n">
        <v>0</v>
      </c>
      <c r="N136" t="n">
        <v>0</v>
      </c>
      <c r="O136" t="n">
        <v>0</v>
      </c>
      <c r="P136" t="n">
        <v>0</v>
      </c>
      <c r="Q136" t="n">
        <v>0</v>
      </c>
      <c r="R136" s="2" t="inlineStr"/>
    </row>
    <row r="137" ht="15" customHeight="1">
      <c r="A137" t="inlineStr">
        <is>
          <t>A 6621-2026</t>
        </is>
      </c>
      <c r="B137" s="1" t="n">
        <v>46056</v>
      </c>
      <c r="C137" s="1" t="n">
        <v>46202</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7296-2026</t>
        </is>
      </c>
      <c r="B138" s="1" t="n">
        <v>46058</v>
      </c>
      <c r="C138" s="1" t="n">
        <v>46202</v>
      </c>
      <c r="D138" t="inlineStr">
        <is>
          <t>VÄSTRA GÖTALANDS LÄN</t>
        </is>
      </c>
      <c r="E138" t="inlineStr">
        <is>
          <t>ALE</t>
        </is>
      </c>
      <c r="G138" t="n">
        <v>7.2</v>
      </c>
      <c r="H138" t="n">
        <v>0</v>
      </c>
      <c r="I138" t="n">
        <v>0</v>
      </c>
      <c r="J138" t="n">
        <v>0</v>
      </c>
      <c r="K138" t="n">
        <v>0</v>
      </c>
      <c r="L138" t="n">
        <v>0</v>
      </c>
      <c r="M138" t="n">
        <v>0</v>
      </c>
      <c r="N138" t="n">
        <v>0</v>
      </c>
      <c r="O138" t="n">
        <v>0</v>
      </c>
      <c r="P138" t="n">
        <v>0</v>
      </c>
      <c r="Q138" t="n">
        <v>0</v>
      </c>
      <c r="R138" s="2" t="inlineStr"/>
    </row>
    <row r="139" ht="15" customHeight="1">
      <c r="A139" t="inlineStr">
        <is>
          <t>A 8112-2026</t>
        </is>
      </c>
      <c r="B139" s="1" t="n">
        <v>46062</v>
      </c>
      <c r="C139" s="1" t="n">
        <v>46202</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8111-2026</t>
        </is>
      </c>
      <c r="B140" s="1" t="n">
        <v>46062</v>
      </c>
      <c r="C140" s="1" t="n">
        <v>46202</v>
      </c>
      <c r="D140" t="inlineStr">
        <is>
          <t>VÄSTRA GÖTALANDS LÄN</t>
        </is>
      </c>
      <c r="E140" t="inlineStr">
        <is>
          <t>ALE</t>
        </is>
      </c>
      <c r="G140" t="n">
        <v>0.3</v>
      </c>
      <c r="H140" t="n">
        <v>0</v>
      </c>
      <c r="I140" t="n">
        <v>0</v>
      </c>
      <c r="J140" t="n">
        <v>0</v>
      </c>
      <c r="K140" t="n">
        <v>0</v>
      </c>
      <c r="L140" t="n">
        <v>0</v>
      </c>
      <c r="M140" t="n">
        <v>0</v>
      </c>
      <c r="N140" t="n">
        <v>0</v>
      </c>
      <c r="O140" t="n">
        <v>0</v>
      </c>
      <c r="P140" t="n">
        <v>0</v>
      </c>
      <c r="Q140" t="n">
        <v>0</v>
      </c>
      <c r="R140" s="2" t="inlineStr"/>
    </row>
    <row r="141" ht="15" customHeight="1">
      <c r="A141" t="inlineStr">
        <is>
          <t>A 8110-2026</t>
        </is>
      </c>
      <c r="B141" s="1" t="n">
        <v>46062</v>
      </c>
      <c r="C141" s="1" t="n">
        <v>46202</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10459-2026</t>
        </is>
      </c>
      <c r="B142" s="1" t="n">
        <v>46077</v>
      </c>
      <c r="C142" s="1" t="n">
        <v>46202</v>
      </c>
      <c r="D142" t="inlineStr">
        <is>
          <t>VÄSTRA GÖTALANDS LÄN</t>
        </is>
      </c>
      <c r="E142" t="inlineStr">
        <is>
          <t>ALE</t>
        </is>
      </c>
      <c r="G142" t="n">
        <v>3.8</v>
      </c>
      <c r="H142" t="n">
        <v>0</v>
      </c>
      <c r="I142" t="n">
        <v>0</v>
      </c>
      <c r="J142" t="n">
        <v>0</v>
      </c>
      <c r="K142" t="n">
        <v>0</v>
      </c>
      <c r="L142" t="n">
        <v>0</v>
      </c>
      <c r="M142" t="n">
        <v>0</v>
      </c>
      <c r="N142" t="n">
        <v>0</v>
      </c>
      <c r="O142" t="n">
        <v>0</v>
      </c>
      <c r="P142" t="n">
        <v>0</v>
      </c>
      <c r="Q142" t="n">
        <v>0</v>
      </c>
      <c r="R142" s="2" t="inlineStr"/>
    </row>
    <row r="143" ht="15" customHeight="1">
      <c r="A143" t="inlineStr">
        <is>
          <t>A 17199-2026</t>
        </is>
      </c>
      <c r="B143" s="1" t="n">
        <v>46118</v>
      </c>
      <c r="C143" s="1" t="n">
        <v>46202</v>
      </c>
      <c r="D143" t="inlineStr">
        <is>
          <t>VÄSTRA GÖTALANDS LÄN</t>
        </is>
      </c>
      <c r="E143" t="inlineStr">
        <is>
          <t>ALE</t>
        </is>
      </c>
      <c r="G143" t="n">
        <v>3.7</v>
      </c>
      <c r="H143" t="n">
        <v>0</v>
      </c>
      <c r="I143" t="n">
        <v>0</v>
      </c>
      <c r="J143" t="n">
        <v>0</v>
      </c>
      <c r="K143" t="n">
        <v>0</v>
      </c>
      <c r="L143" t="n">
        <v>0</v>
      </c>
      <c r="M143" t="n">
        <v>0</v>
      </c>
      <c r="N143" t="n">
        <v>0</v>
      </c>
      <c r="O143" t="n">
        <v>0</v>
      </c>
      <c r="P143" t="n">
        <v>0</v>
      </c>
      <c r="Q143" t="n">
        <v>0</v>
      </c>
      <c r="R143" s="2" t="inlineStr"/>
    </row>
    <row r="144" ht="15" customHeight="1">
      <c r="A144" t="inlineStr">
        <is>
          <t>A 19613-2026</t>
        </is>
      </c>
      <c r="B144" s="1" t="n">
        <v>46134</v>
      </c>
      <c r="C144" s="1" t="n">
        <v>46202</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40074-2025</t>
        </is>
      </c>
      <c r="B145" s="1" t="n">
        <v>45894</v>
      </c>
      <c r="C145" s="1" t="n">
        <v>46202</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62828-2025</t>
        </is>
      </c>
      <c r="B146" s="1" t="n">
        <v>46008</v>
      </c>
      <c r="C146" s="1" t="n">
        <v>46202</v>
      </c>
      <c r="D146" t="inlineStr">
        <is>
          <t>VÄSTRA GÖTALANDS LÄN</t>
        </is>
      </c>
      <c r="E146" t="inlineStr">
        <is>
          <t>ALE</t>
        </is>
      </c>
      <c r="G146" t="n">
        <v>2.6</v>
      </c>
      <c r="H146" t="n">
        <v>0</v>
      </c>
      <c r="I146" t="n">
        <v>0</v>
      </c>
      <c r="J146" t="n">
        <v>0</v>
      </c>
      <c r="K146" t="n">
        <v>0</v>
      </c>
      <c r="L146" t="n">
        <v>0</v>
      </c>
      <c r="M146" t="n">
        <v>0</v>
      </c>
      <c r="N146" t="n">
        <v>0</v>
      </c>
      <c r="O146" t="n">
        <v>0</v>
      </c>
      <c r="P146" t="n">
        <v>0</v>
      </c>
      <c r="Q146" t="n">
        <v>0</v>
      </c>
      <c r="R146" s="2" t="inlineStr"/>
    </row>
    <row r="147" ht="15" customHeight="1">
      <c r="A147" t="inlineStr">
        <is>
          <t>A 25840-2025</t>
        </is>
      </c>
      <c r="B147" s="1" t="n">
        <v>45804</v>
      </c>
      <c r="C147" s="1" t="n">
        <v>46202</v>
      </c>
      <c r="D147" t="inlineStr">
        <is>
          <t>VÄSTRA GÖTALANDS LÄN</t>
        </is>
      </c>
      <c r="E147" t="inlineStr">
        <is>
          <t>ALE</t>
        </is>
      </c>
      <c r="G147" t="n">
        <v>3.8</v>
      </c>
      <c r="H147" t="n">
        <v>0</v>
      </c>
      <c r="I147" t="n">
        <v>0</v>
      </c>
      <c r="J147" t="n">
        <v>0</v>
      </c>
      <c r="K147" t="n">
        <v>0</v>
      </c>
      <c r="L147" t="n">
        <v>0</v>
      </c>
      <c r="M147" t="n">
        <v>0</v>
      </c>
      <c r="N147" t="n">
        <v>0</v>
      </c>
      <c r="O147" t="n">
        <v>0</v>
      </c>
      <c r="P147" t="n">
        <v>0</v>
      </c>
      <c r="Q147" t="n">
        <v>0</v>
      </c>
      <c r="R147" s="2" t="inlineStr"/>
    </row>
    <row r="148" ht="15" customHeight="1">
      <c r="A148" t="inlineStr">
        <is>
          <t>A 28023-2026</t>
        </is>
      </c>
      <c r="B148" s="1" t="n">
        <v>46195</v>
      </c>
      <c r="C148" s="1" t="n">
        <v>46202</v>
      </c>
      <c r="D148" t="inlineStr">
        <is>
          <t>VÄSTRA GÖTALANDS LÄN</t>
        </is>
      </c>
      <c r="E148" t="inlineStr">
        <is>
          <t>ALE</t>
        </is>
      </c>
      <c r="G148" t="n">
        <v>1.7</v>
      </c>
      <c r="H148" t="n">
        <v>0</v>
      </c>
      <c r="I148" t="n">
        <v>0</v>
      </c>
      <c r="J148" t="n">
        <v>0</v>
      </c>
      <c r="K148" t="n">
        <v>0</v>
      </c>
      <c r="L148" t="n">
        <v>0</v>
      </c>
      <c r="M148" t="n">
        <v>0</v>
      </c>
      <c r="N148" t="n">
        <v>0</v>
      </c>
      <c r="O148" t="n">
        <v>0</v>
      </c>
      <c r="P148" t="n">
        <v>0</v>
      </c>
      <c r="Q148" t="n">
        <v>0</v>
      </c>
      <c r="R148" s="2" t="inlineStr"/>
    </row>
    <row r="149" ht="15" customHeight="1">
      <c r="A149" t="inlineStr">
        <is>
          <t>A 28028-2026</t>
        </is>
      </c>
      <c r="B149" s="1" t="n">
        <v>46195</v>
      </c>
      <c r="C149" s="1" t="n">
        <v>46202</v>
      </c>
      <c r="D149" t="inlineStr">
        <is>
          <t>VÄSTRA GÖTALANDS LÄN</t>
        </is>
      </c>
      <c r="E149" t="inlineStr">
        <is>
          <t>ALE</t>
        </is>
      </c>
      <c r="G149" t="n">
        <v>1.8</v>
      </c>
      <c r="H149" t="n">
        <v>0</v>
      </c>
      <c r="I149" t="n">
        <v>0</v>
      </c>
      <c r="J149" t="n">
        <v>0</v>
      </c>
      <c r="K149" t="n">
        <v>0</v>
      </c>
      <c r="L149" t="n">
        <v>0</v>
      </c>
      <c r="M149" t="n">
        <v>0</v>
      </c>
      <c r="N149" t="n">
        <v>0</v>
      </c>
      <c r="O149" t="n">
        <v>0</v>
      </c>
      <c r="P149" t="n">
        <v>0</v>
      </c>
      <c r="Q149" t="n">
        <v>0</v>
      </c>
      <c r="R149" s="2" t="inlineStr"/>
    </row>
    <row r="150">
      <c r="A150" t="inlineStr">
        <is>
          <t>A 22420-2026</t>
        </is>
      </c>
      <c r="B150" s="1" t="n">
        <v>46154</v>
      </c>
      <c r="C150" s="1" t="n">
        <v>46202</v>
      </c>
      <c r="D150" t="inlineStr">
        <is>
          <t>VÄSTRA GÖTALANDS LÄN</t>
        </is>
      </c>
      <c r="E150" t="inlineStr">
        <is>
          <t>ALE</t>
        </is>
      </c>
      <c r="G150" t="n">
        <v>5</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2026-06-29T00:55:07Z</dcterms:created>
  <dcterms:modified xmlns:dcterms="http://purl.org/dc/terms/" xmlns:xsi="http://www.w3.org/2001/XMLSchema-instance" xsi:type="dcterms:W3CDTF">2026-06-29T00:55:07Z</dcterms:modified>
</cp:coreProperties>
</file>