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45835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45835</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39575-2024</t>
        </is>
      </c>
      <c r="B4" s="1" t="n">
        <v>45552</v>
      </c>
      <c r="C4" s="1" t="n">
        <v>45835</v>
      </c>
      <c r="D4" t="inlineStr">
        <is>
          <t>VÄSTRA GÖTALANDS LÄN</t>
        </is>
      </c>
      <c r="E4" t="inlineStr">
        <is>
          <t>ALE</t>
        </is>
      </c>
      <c r="G4" t="n">
        <v>10.3</v>
      </c>
      <c r="H4" t="n">
        <v>8</v>
      </c>
      <c r="I4" t="n">
        <v>11</v>
      </c>
      <c r="J4" t="n">
        <v>4</v>
      </c>
      <c r="K4" t="n">
        <v>2</v>
      </c>
      <c r="L4" t="n">
        <v>1</v>
      </c>
      <c r="M4" t="n">
        <v>0</v>
      </c>
      <c r="N4" t="n">
        <v>0</v>
      </c>
      <c r="O4" t="n">
        <v>7</v>
      </c>
      <c r="P4" t="n">
        <v>3</v>
      </c>
      <c r="Q4" t="n">
        <v>23</v>
      </c>
      <c r="R4"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4">
        <f>HYPERLINK("https://klasma.github.io/Logging_1440/artfynd/A 39575-2024 artfynd.xlsx", "A 39575-2024")</f>
        <v/>
      </c>
      <c r="T4">
        <f>HYPERLINK("https://klasma.github.io/Logging_1440/kartor/A 39575-2024 karta.png", "A 39575-2024")</f>
        <v/>
      </c>
      <c r="V4">
        <f>HYPERLINK("https://klasma.github.io/Logging_1440/klagomål/A 39575-2024 FSC-klagomål.docx", "A 39575-2024")</f>
        <v/>
      </c>
      <c r="W4">
        <f>HYPERLINK("https://klasma.github.io/Logging_1440/klagomålsmail/A 39575-2024 FSC-klagomål mail.docx", "A 39575-2024")</f>
        <v/>
      </c>
      <c r="X4">
        <f>HYPERLINK("https://klasma.github.io/Logging_1440/tillsyn/A 39575-2024 tillsynsbegäran.docx", "A 39575-2024")</f>
        <v/>
      </c>
      <c r="Y4">
        <f>HYPERLINK("https://klasma.github.io/Logging_1440/tillsynsmail/A 39575-2024 tillsynsbegäran mail.docx", "A 39575-2024")</f>
        <v/>
      </c>
      <c r="Z4">
        <f>HYPERLINK("https://klasma.github.io/Logging_1440/fåglar/A 39575-2024 prioriterade fågelarter.docx", "A 39575-2024")</f>
        <v/>
      </c>
    </row>
    <row r="5" ht="15" customHeight="1">
      <c r="A5" t="inlineStr">
        <is>
          <t>A 13111-2022</t>
        </is>
      </c>
      <c r="B5" s="1" t="n">
        <v>44644</v>
      </c>
      <c r="C5" s="1" t="n">
        <v>45835</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39577-2024</t>
        </is>
      </c>
      <c r="B6" s="1" t="n">
        <v>45552</v>
      </c>
      <c r="C6" s="1" t="n">
        <v>45835</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45835</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22640-2025</t>
        </is>
      </c>
      <c r="B8" s="1" t="n">
        <v>45789</v>
      </c>
      <c r="C8" s="1" t="n">
        <v>45835</v>
      </c>
      <c r="D8" t="inlineStr">
        <is>
          <t>VÄSTRA GÖTALANDS LÄN</t>
        </is>
      </c>
      <c r="E8" t="inlineStr">
        <is>
          <t>ALE</t>
        </is>
      </c>
      <c r="G8" t="n">
        <v>5.8</v>
      </c>
      <c r="H8" t="n">
        <v>7</v>
      </c>
      <c r="I8" t="n">
        <v>8</v>
      </c>
      <c r="J8" t="n">
        <v>3</v>
      </c>
      <c r="K8" t="n">
        <v>1</v>
      </c>
      <c r="L8" t="n">
        <v>0</v>
      </c>
      <c r="M8" t="n">
        <v>0</v>
      </c>
      <c r="N8" t="n">
        <v>0</v>
      </c>
      <c r="O8" t="n">
        <v>4</v>
      </c>
      <c r="P8" t="n">
        <v>1</v>
      </c>
      <c r="Q8" t="n">
        <v>17</v>
      </c>
      <c r="R8" s="2" t="inlineStr">
        <is>
          <t>Brödtaggsvamp
Motaggsvamp
Spillkråka
Talltita
Björksplintborre
Blanksvart trämyra
Blåmossa
Dropptaggsvamp
Guldlockmossa
Platt fjädermossa
Stor revmossa
Västlig hakmossa
Kungsfågel
Vanlig groda
Vanlig snok
Revlummer
Äkta lopplummer</t>
        </is>
      </c>
      <c r="S8">
        <f>HYPERLINK("https://klasma.github.io/Logging_141440/artfynd/A 22640-2025 artfynd.xlsx", "A 22640-2025")</f>
        <v/>
      </c>
      <c r="T8">
        <f>HYPERLINK("https://klasma.github.io/Logging_141440/kartor/A 22640-2025 karta.png", "A 22640-2025")</f>
        <v/>
      </c>
      <c r="V8">
        <f>HYPERLINK("https://klasma.github.io/Logging_141440/klagomål/A 22640-2025 FSC-klagomål.docx", "A 22640-2025")</f>
        <v/>
      </c>
      <c r="W8">
        <f>HYPERLINK("https://klasma.github.io/Logging_141440/klagomålsmail/A 22640-2025 FSC-klagomål mail.docx", "A 22640-2025")</f>
        <v/>
      </c>
      <c r="X8">
        <f>HYPERLINK("https://klasma.github.io/Logging_141440/tillsyn/A 22640-2025 tillsynsbegäran.docx", "A 22640-2025")</f>
        <v/>
      </c>
      <c r="Y8">
        <f>HYPERLINK("https://klasma.github.io/Logging_141440/tillsynsmail/A 22640-2025 tillsynsbegäran mail.docx", "A 22640-2025")</f>
        <v/>
      </c>
      <c r="Z8">
        <f>HYPERLINK("https://klasma.github.io/Logging_141440/fåglar/A 22640-2025 prioriterade fågelarter.docx", "A 22640-2025")</f>
        <v/>
      </c>
    </row>
    <row r="9" ht="15" customHeight="1">
      <c r="A9" t="inlineStr">
        <is>
          <t>A 9045-2024</t>
        </is>
      </c>
      <c r="B9" s="1" t="n">
        <v>45357</v>
      </c>
      <c r="C9" s="1" t="n">
        <v>45835</v>
      </c>
      <c r="D9" t="inlineStr">
        <is>
          <t>VÄSTRA GÖTALANDS LÄN</t>
        </is>
      </c>
      <c r="E9" t="inlineStr">
        <is>
          <t>ALE</t>
        </is>
      </c>
      <c r="G9" t="n">
        <v>9.1</v>
      </c>
      <c r="H9" t="n">
        <v>7</v>
      </c>
      <c r="I9" t="n">
        <v>7</v>
      </c>
      <c r="J9" t="n">
        <v>3</v>
      </c>
      <c r="K9" t="n">
        <v>0</v>
      </c>
      <c r="L9" t="n">
        <v>0</v>
      </c>
      <c r="M9" t="n">
        <v>0</v>
      </c>
      <c r="N9" t="n">
        <v>0</v>
      </c>
      <c r="O9" t="n">
        <v>3</v>
      </c>
      <c r="P9" t="n">
        <v>0</v>
      </c>
      <c r="Q9" t="n">
        <v>15</v>
      </c>
      <c r="R9" s="2" t="inlineStr">
        <is>
          <t>Grönhjon
Spillkråka
Talltita
Björksplintborre
Blåmossa
Bronshjon
Klippfrullania
Stor revmossa
Västlig hakmossa
Vågbandad barkbock
Bivråk
Grönsiska
Kungsfågel
Orre
Tjäder</t>
        </is>
      </c>
      <c r="S9">
        <f>HYPERLINK("https://klasma.github.io/Logging_1440/artfynd/A 9045-2024 artfynd.xlsx", "A 9045-2024")</f>
        <v/>
      </c>
      <c r="T9">
        <f>HYPERLINK("https://klasma.github.io/Logging_1440/kartor/A 9045-2024 karta.png", "A 9045-2024")</f>
        <v/>
      </c>
      <c r="V9">
        <f>HYPERLINK("https://klasma.github.io/Logging_1440/klagomål/A 9045-2024 FSC-klagomål.docx", "A 9045-2024")</f>
        <v/>
      </c>
      <c r="W9">
        <f>HYPERLINK("https://klasma.github.io/Logging_1440/klagomålsmail/A 9045-2024 FSC-klagomål mail.docx", "A 9045-2024")</f>
        <v/>
      </c>
      <c r="X9">
        <f>HYPERLINK("https://klasma.github.io/Logging_1440/tillsyn/A 9045-2024 tillsynsbegäran.docx", "A 9045-2024")</f>
        <v/>
      </c>
      <c r="Y9">
        <f>HYPERLINK("https://klasma.github.io/Logging_1440/tillsynsmail/A 9045-2024 tillsynsbegäran mail.docx", "A 9045-2024")</f>
        <v/>
      </c>
      <c r="Z9">
        <f>HYPERLINK("https://klasma.github.io/Logging_1440/fåglar/A 9045-2024 prioriterade fågelarter.docx", "A 9045-2024")</f>
        <v/>
      </c>
    </row>
    <row r="10" ht="15" customHeight="1">
      <c r="A10" t="inlineStr">
        <is>
          <t>A 39593-2024</t>
        </is>
      </c>
      <c r="B10" s="1" t="n">
        <v>45552</v>
      </c>
      <c r="C10" s="1" t="n">
        <v>45835</v>
      </c>
      <c r="D10" t="inlineStr">
        <is>
          <t>VÄSTRA GÖTALANDS LÄN</t>
        </is>
      </c>
      <c r="E10" t="inlineStr">
        <is>
          <t>ALE</t>
        </is>
      </c>
      <c r="G10" t="n">
        <v>0.7</v>
      </c>
      <c r="H10" t="n">
        <v>3</v>
      </c>
      <c r="I10" t="n">
        <v>9</v>
      </c>
      <c r="J10" t="n">
        <v>4</v>
      </c>
      <c r="K10" t="n">
        <v>0</v>
      </c>
      <c r="L10" t="n">
        <v>0</v>
      </c>
      <c r="M10" t="n">
        <v>0</v>
      </c>
      <c r="N10" t="n">
        <v>0</v>
      </c>
      <c r="O10" t="n">
        <v>4</v>
      </c>
      <c r="P10" t="n">
        <v>0</v>
      </c>
      <c r="Q10" t="n">
        <v>15</v>
      </c>
      <c r="R10" s="2" t="inlineStr">
        <is>
          <t>Brunpudrad nållav
Grönhjon
Kortskaftad ärgspik
Spillkråka
Blåmossa
Bronshjon
Kattfotslav
Kornknutmossa
Smal svampklubba
Stor revmossa
Vedticka
Västlig hakmossa
Vågbandad barkbock
Kungsfågel
Vanlig snok</t>
        </is>
      </c>
      <c r="S10">
        <f>HYPERLINK("https://klasma.github.io/Logging_1440/artfynd/A 39593-2024 artfynd.xlsx", "A 39593-2024")</f>
        <v/>
      </c>
      <c r="T10">
        <f>HYPERLINK("https://klasma.github.io/Logging_1440/kartor/A 39593-2024 karta.png", "A 39593-2024")</f>
        <v/>
      </c>
      <c r="V10">
        <f>HYPERLINK("https://klasma.github.io/Logging_1440/klagomål/A 39593-2024 FSC-klagomål.docx", "A 39593-2024")</f>
        <v/>
      </c>
      <c r="W10">
        <f>HYPERLINK("https://klasma.github.io/Logging_1440/klagomålsmail/A 39593-2024 FSC-klagomål mail.docx", "A 39593-2024")</f>
        <v/>
      </c>
      <c r="X10">
        <f>HYPERLINK("https://klasma.github.io/Logging_1440/tillsyn/A 39593-2024 tillsynsbegäran.docx", "A 39593-2024")</f>
        <v/>
      </c>
      <c r="Y10">
        <f>HYPERLINK("https://klasma.github.io/Logging_1440/tillsynsmail/A 39593-2024 tillsynsbegäran mail.docx", "A 39593-2024")</f>
        <v/>
      </c>
      <c r="Z10">
        <f>HYPERLINK("https://klasma.github.io/Logging_1440/fåglar/A 39593-2024 prioriterade fågelarter.docx", "A 39593-2024")</f>
        <v/>
      </c>
    </row>
    <row r="11" ht="15" customHeight="1">
      <c r="A11" t="inlineStr">
        <is>
          <t>A 36325-2023</t>
        </is>
      </c>
      <c r="B11" s="1" t="n">
        <v>45152</v>
      </c>
      <c r="C11" s="1" t="n">
        <v>45835</v>
      </c>
      <c r="D11" t="inlineStr">
        <is>
          <t>VÄSTRA GÖTALANDS LÄN</t>
        </is>
      </c>
      <c r="E11" t="inlineStr">
        <is>
          <t>ALE</t>
        </is>
      </c>
      <c r="G11" t="n">
        <v>9.4</v>
      </c>
      <c r="H11" t="n">
        <v>5</v>
      </c>
      <c r="I11" t="n">
        <v>8</v>
      </c>
      <c r="J11" t="n">
        <v>3</v>
      </c>
      <c r="K11" t="n">
        <v>0</v>
      </c>
      <c r="L11" t="n">
        <v>0</v>
      </c>
      <c r="M11" t="n">
        <v>0</v>
      </c>
      <c r="N11" t="n">
        <v>0</v>
      </c>
      <c r="O11" t="n">
        <v>3</v>
      </c>
      <c r="P11" t="n">
        <v>0</v>
      </c>
      <c r="Q11" t="n">
        <v>13</v>
      </c>
      <c r="R11" s="2" t="inlineStr">
        <is>
          <t>Spillkråka
Talltita
Vedtrappmossa
Blomkålssvamp
Blåmossa
Grön sköldmossa
Klippfrullania
Kornknutmossa
Sotriska
Stor revmossa
Västlig hakmossa
Vanlig groda
Revlummer</t>
        </is>
      </c>
      <c r="S11">
        <f>HYPERLINK("https://klasma.github.io/Logging_1440/artfynd/A 36325-2023 artfynd.xlsx", "A 36325-2023")</f>
        <v/>
      </c>
      <c r="T11">
        <f>HYPERLINK("https://klasma.github.io/Logging_1440/kartor/A 36325-2023 karta.png", "A 36325-2023")</f>
        <v/>
      </c>
      <c r="V11">
        <f>HYPERLINK("https://klasma.github.io/Logging_1440/klagomål/A 36325-2023 FSC-klagomål.docx", "A 36325-2023")</f>
        <v/>
      </c>
      <c r="W11">
        <f>HYPERLINK("https://klasma.github.io/Logging_1440/klagomålsmail/A 36325-2023 FSC-klagomål mail.docx", "A 36325-2023")</f>
        <v/>
      </c>
      <c r="X11">
        <f>HYPERLINK("https://klasma.github.io/Logging_1440/tillsyn/A 36325-2023 tillsynsbegäran.docx", "A 36325-2023")</f>
        <v/>
      </c>
      <c r="Y11">
        <f>HYPERLINK("https://klasma.github.io/Logging_1440/tillsynsmail/A 36325-2023 tillsynsbegäran mail.docx", "A 36325-2023")</f>
        <v/>
      </c>
      <c r="Z11">
        <f>HYPERLINK("https://klasma.github.io/Logging_1440/fåglar/A 36325-2023 prioriterade fågelarter.docx", "A 36325-2023")</f>
        <v/>
      </c>
    </row>
    <row r="12" ht="15" customHeight="1">
      <c r="A12" t="inlineStr">
        <is>
          <t>A 53693-2019</t>
        </is>
      </c>
      <c r="B12" s="1" t="n">
        <v>43749</v>
      </c>
      <c r="C12" s="1" t="n">
        <v>45835</v>
      </c>
      <c r="D12" t="inlineStr">
        <is>
          <t>VÄSTRA GÖTALANDS LÄN</t>
        </is>
      </c>
      <c r="E12" t="inlineStr">
        <is>
          <t>ALE</t>
        </is>
      </c>
      <c r="G12" t="n">
        <v>11.2</v>
      </c>
      <c r="H12" t="n">
        <v>9</v>
      </c>
      <c r="I12" t="n">
        <v>2</v>
      </c>
      <c r="J12" t="n">
        <v>4</v>
      </c>
      <c r="K12" t="n">
        <v>0</v>
      </c>
      <c r="L12" t="n">
        <v>0</v>
      </c>
      <c r="M12" t="n">
        <v>0</v>
      </c>
      <c r="N12" t="n">
        <v>0</v>
      </c>
      <c r="O12" t="n">
        <v>4</v>
      </c>
      <c r="P12" t="n">
        <v>0</v>
      </c>
      <c r="Q12" t="n">
        <v>12</v>
      </c>
      <c r="R12" s="2" t="inlineStr">
        <is>
          <t>Grönhjon
Mindre hackspett
Spillkråka
Talltita
Björksplintborre
Havstulpanlav
Grönsiska
Kungsfågel
Orre
Sparvuggla
Tjäder
Vanlig groda</t>
        </is>
      </c>
      <c r="S12">
        <f>HYPERLINK("https://klasma.github.io/Logging_1440/artfynd/A 53693-2019 artfynd.xlsx", "A 53693-2019")</f>
        <v/>
      </c>
      <c r="T12">
        <f>HYPERLINK("https://klasma.github.io/Logging_1440/kartor/A 53693-2019 karta.png", "A 53693-2019")</f>
        <v/>
      </c>
      <c r="V12">
        <f>HYPERLINK("https://klasma.github.io/Logging_1440/klagomål/A 53693-2019 FSC-klagomål.docx", "A 53693-2019")</f>
        <v/>
      </c>
      <c r="W12">
        <f>HYPERLINK("https://klasma.github.io/Logging_1440/klagomålsmail/A 53693-2019 FSC-klagomål mail.docx", "A 53693-2019")</f>
        <v/>
      </c>
      <c r="X12">
        <f>HYPERLINK("https://klasma.github.io/Logging_1440/tillsyn/A 53693-2019 tillsynsbegäran.docx", "A 53693-2019")</f>
        <v/>
      </c>
      <c r="Y12">
        <f>HYPERLINK("https://klasma.github.io/Logging_1440/tillsynsmail/A 53693-2019 tillsynsbegäran mail.docx", "A 53693-2019")</f>
        <v/>
      </c>
      <c r="Z12">
        <f>HYPERLINK("https://klasma.github.io/Logging_1440/fåglar/A 53693-2019 prioriterade fågelarter.docx", "A 53693-2019")</f>
        <v/>
      </c>
    </row>
    <row r="13" ht="15" customHeight="1">
      <c r="A13" t="inlineStr">
        <is>
          <t>A 41294-2024</t>
        </is>
      </c>
      <c r="B13" s="1" t="n">
        <v>45559</v>
      </c>
      <c r="C13" s="1" t="n">
        <v>45835</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45835</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45835</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45835</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45835</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45835</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45835</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45835</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45835</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563-2024</t>
        </is>
      </c>
      <c r="B22" s="1" t="n">
        <v>45299</v>
      </c>
      <c r="C22" s="1" t="n">
        <v>45835</v>
      </c>
      <c r="D22" t="inlineStr">
        <is>
          <t>VÄSTRA GÖTALANDS LÄN</t>
        </is>
      </c>
      <c r="E22" t="inlineStr">
        <is>
          <t>ALE</t>
        </is>
      </c>
      <c r="F22" t="inlineStr">
        <is>
          <t>Kyrkan</t>
        </is>
      </c>
      <c r="G22" t="n">
        <v>26</v>
      </c>
      <c r="H22" t="n">
        <v>3</v>
      </c>
      <c r="I22" t="n">
        <v>1</v>
      </c>
      <c r="J22" t="n">
        <v>3</v>
      </c>
      <c r="K22" t="n">
        <v>0</v>
      </c>
      <c r="L22" t="n">
        <v>0</v>
      </c>
      <c r="M22" t="n">
        <v>0</v>
      </c>
      <c r="N22" t="n">
        <v>0</v>
      </c>
      <c r="O22" t="n">
        <v>3</v>
      </c>
      <c r="P22" t="n">
        <v>0</v>
      </c>
      <c r="Q22" t="n">
        <v>5</v>
      </c>
      <c r="R22" s="2" t="inlineStr">
        <is>
          <t>Kortskaftad ärgspik
Spillkråka
Talltita
Björksplintborre
Tjäder</t>
        </is>
      </c>
      <c r="S22">
        <f>HYPERLINK("https://klasma.github.io/Logging_1440/artfynd/A 563-2024 artfynd.xlsx", "A 563-2024")</f>
        <v/>
      </c>
      <c r="T22">
        <f>HYPERLINK("https://klasma.github.io/Logging_1440/kartor/A 563-2024 karta.png", "A 563-2024")</f>
        <v/>
      </c>
      <c r="V22">
        <f>HYPERLINK("https://klasma.github.io/Logging_1440/klagomål/A 563-2024 FSC-klagomål.docx", "A 563-2024")</f>
        <v/>
      </c>
      <c r="W22">
        <f>HYPERLINK("https://klasma.github.io/Logging_1440/klagomålsmail/A 563-2024 FSC-klagomål mail.docx", "A 563-2024")</f>
        <v/>
      </c>
      <c r="X22">
        <f>HYPERLINK("https://klasma.github.io/Logging_1440/tillsyn/A 563-2024 tillsynsbegäran.docx", "A 563-2024")</f>
        <v/>
      </c>
      <c r="Y22">
        <f>HYPERLINK("https://klasma.github.io/Logging_1440/tillsynsmail/A 563-2024 tillsynsbegäran mail.docx", "A 563-2024")</f>
        <v/>
      </c>
      <c r="Z22">
        <f>HYPERLINK("https://klasma.github.io/Logging_1440/fåglar/A 563-2024 prioriterade fågelarter.docx", "A 563-2024")</f>
        <v/>
      </c>
    </row>
    <row r="23" ht="15" customHeight="1">
      <c r="A23" t="inlineStr">
        <is>
          <t>A 7903-2024</t>
        </is>
      </c>
      <c r="B23" s="1" t="n">
        <v>45350</v>
      </c>
      <c r="C23" s="1" t="n">
        <v>45835</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24162-2025</t>
        </is>
      </c>
      <c r="B24" s="1" t="n">
        <v>45796</v>
      </c>
      <c r="C24" s="1" t="n">
        <v>45835</v>
      </c>
      <c r="D24" t="inlineStr">
        <is>
          <t>VÄSTRA GÖTALANDS LÄN</t>
        </is>
      </c>
      <c r="E24" t="inlineStr">
        <is>
          <t>ALE</t>
        </is>
      </c>
      <c r="G24" t="n">
        <v>5.5</v>
      </c>
      <c r="H24" t="n">
        <v>3</v>
      </c>
      <c r="I24" t="n">
        <v>2</v>
      </c>
      <c r="J24" t="n">
        <v>1</v>
      </c>
      <c r="K24" t="n">
        <v>0</v>
      </c>
      <c r="L24" t="n">
        <v>0</v>
      </c>
      <c r="M24" t="n">
        <v>0</v>
      </c>
      <c r="N24" t="n">
        <v>0</v>
      </c>
      <c r="O24" t="n">
        <v>1</v>
      </c>
      <c r="P24" t="n">
        <v>0</v>
      </c>
      <c r="Q24" t="n">
        <v>5</v>
      </c>
      <c r="R24" s="2" t="inlineStr">
        <is>
          <t>Spillkråka
Blanksvart trämyra
Blåmossa
Trana
Revlummer</t>
        </is>
      </c>
      <c r="S24">
        <f>HYPERLINK("https://klasma.github.io/Logging_141440/artfynd/A 24162-2025 artfynd.xlsx", "A 24162-2025")</f>
        <v/>
      </c>
      <c r="T24">
        <f>HYPERLINK("https://klasma.github.io/Logging_141440/kartor/A 24162-2025 karta.png", "A 24162-2025")</f>
        <v/>
      </c>
      <c r="V24">
        <f>HYPERLINK("https://klasma.github.io/Logging_141440/klagomål/A 24162-2025 FSC-klagomål.docx", "A 24162-2025")</f>
        <v/>
      </c>
      <c r="W24">
        <f>HYPERLINK("https://klasma.github.io/Logging_141440/klagomålsmail/A 24162-2025 FSC-klagomål mail.docx", "A 24162-2025")</f>
        <v/>
      </c>
      <c r="X24">
        <f>HYPERLINK("https://klasma.github.io/Logging_141440/tillsyn/A 24162-2025 tillsynsbegäran.docx", "A 24162-2025")</f>
        <v/>
      </c>
      <c r="Y24">
        <f>HYPERLINK("https://klasma.github.io/Logging_141440/tillsynsmail/A 24162-2025 tillsynsbegäran mail.docx", "A 24162-2025")</f>
        <v/>
      </c>
      <c r="Z24">
        <f>HYPERLINK("https://klasma.github.io/Logging_141440/fåglar/A 24162-2025 prioriterade fågelarter.docx", "A 24162-2025")</f>
        <v/>
      </c>
    </row>
    <row r="25" ht="15" customHeight="1">
      <c r="A25" t="inlineStr">
        <is>
          <t>A 26491-2024</t>
        </is>
      </c>
      <c r="B25" s="1" t="n">
        <v>45469</v>
      </c>
      <c r="C25" s="1" t="n">
        <v>45835</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45835</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45835</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45835</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45835</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45835</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45835</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45835</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45835</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45835</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45835</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45835</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45835</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45835</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45835</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45835</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45835</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45835</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45835</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45835</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45835</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45835</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45835</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45835</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45835</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45835</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45835</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45835</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45835</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45835</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45835</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45835</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45835</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45835</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45835</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45835</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45835</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45835</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45835</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45835</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45835</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45835</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45835</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45835</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45835</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45835</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45835</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45835</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45835</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45835</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45835</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45835</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45835</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45835</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45835</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45835</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45835</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45835</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45835</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45835</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45835</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45835</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45835</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45835</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45835</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45835</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45835</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45835</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45835</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45835</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45835</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45835</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45835</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45835</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45835</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45835</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45835</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45835</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45835</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45835</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45835</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45835</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45835</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45835</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45835</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45835</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45835</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45835</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45835</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45835</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45835</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45835</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45835</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45835</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45835</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45835</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45835</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45835</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45835</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45835</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45835</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45835</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45835</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45835</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45835</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45835</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45835</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45835</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45835</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45835</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45835</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45835</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45835</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45835</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45835</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45835</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45835</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45835</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45835</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45835</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45835</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45835</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45835</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45835</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45835</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45835</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45835</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45835</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45835</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45835</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45835</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45835</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45835</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45835</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45835</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45835</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45835</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45835</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45835</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45835</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45835</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45835</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45835</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45835</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45835</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45835</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45835</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45835</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45835</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45835</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45835</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45835</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45835</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45835</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45835</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45835</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45835</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45835</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45835</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45835</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45835</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45835</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45835</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45835</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45835</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45835</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45835</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45835</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45835</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45835</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45835</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45835</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45835</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45835</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45835</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45835</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45835</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45835</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45835</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45835</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45835</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45835</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45835</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45835</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45835</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45835</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45835</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45835</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45835</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45835</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45835</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45835</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45835</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45835</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45835</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45835</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45835</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45835</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45835</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45835</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45835</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45835</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45835</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45835</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45835</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45835</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45835</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45835</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45835</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45835</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45835</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45835</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45835</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45835</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45835</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45835</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45835</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45835</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45835</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45835</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45835</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25840-2025</t>
        </is>
      </c>
      <c r="B246" s="1" t="n">
        <v>45804</v>
      </c>
      <c r="C246" s="1" t="n">
        <v>45835</v>
      </c>
      <c r="D246" t="inlineStr">
        <is>
          <t>VÄSTRA GÖTALANDS LÄN</t>
        </is>
      </c>
      <c r="E246" t="inlineStr">
        <is>
          <t>ALE</t>
        </is>
      </c>
      <c r="G246" t="n">
        <v>3.8</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45835</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ht="15" customHeight="1">
      <c r="A248" t="inlineStr">
        <is>
          <t>A 25848-2025</t>
        </is>
      </c>
      <c r="B248" s="1" t="n">
        <v>45804</v>
      </c>
      <c r="C248" s="1" t="n">
        <v>45835</v>
      </c>
      <c r="D248" t="inlineStr">
        <is>
          <t>VÄSTRA GÖTALANDS LÄN</t>
        </is>
      </c>
      <c r="E248" t="inlineStr">
        <is>
          <t>ALE</t>
        </is>
      </c>
      <c r="G248" t="n">
        <v>1.1</v>
      </c>
      <c r="H248" t="n">
        <v>0</v>
      </c>
      <c r="I248" t="n">
        <v>0</v>
      </c>
      <c r="J248" t="n">
        <v>0</v>
      </c>
      <c r="K248" t="n">
        <v>0</v>
      </c>
      <c r="L248" t="n">
        <v>0</v>
      </c>
      <c r="M248" t="n">
        <v>0</v>
      </c>
      <c r="N248" t="n">
        <v>0</v>
      </c>
      <c r="O248" t="n">
        <v>0</v>
      </c>
      <c r="P248" t="n">
        <v>0</v>
      </c>
      <c r="Q248" t="n">
        <v>0</v>
      </c>
      <c r="R248" s="2" t="inlineStr"/>
    </row>
    <row r="249">
      <c r="A249" t="inlineStr">
        <is>
          <t>A 29373-2025</t>
        </is>
      </c>
      <c r="B249" s="1" t="n">
        <v>45824</v>
      </c>
      <c r="C249" s="1" t="n">
        <v>45835</v>
      </c>
      <c r="D249" t="inlineStr">
        <is>
          <t>VÄSTRA GÖTALANDS LÄN</t>
        </is>
      </c>
      <c r="E249" t="inlineStr">
        <is>
          <t>ALE</t>
        </is>
      </c>
      <c r="G249" t="n">
        <v>4.6</v>
      </c>
      <c r="H249" t="n">
        <v>0</v>
      </c>
      <c r="I249" t="n">
        <v>0</v>
      </c>
      <c r="J249" t="n">
        <v>0</v>
      </c>
      <c r="K249" t="n">
        <v>0</v>
      </c>
      <c r="L249" t="n">
        <v>0</v>
      </c>
      <c r="M249" t="n">
        <v>0</v>
      </c>
      <c r="N249" t="n">
        <v>0</v>
      </c>
      <c r="O249" t="n">
        <v>0</v>
      </c>
      <c r="P249" t="n">
        <v>0</v>
      </c>
      <c r="Q249" t="n">
        <v>0</v>
      </c>
      <c r="R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2025-06-27T19:22:31Z</dcterms:created>
  <dcterms:modified xmlns:dcterms="http://purl.org/dc/terms/" xmlns:xsi="http://www.w3.org/2001/XMLSchema-instance" xsi:type="dcterms:W3CDTF">2025-06-27T19:22:32Z</dcterms:modified>
</cp:coreProperties>
</file>