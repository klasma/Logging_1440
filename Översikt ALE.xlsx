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46065</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46065</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46065</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46065</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46065</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46065</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46065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46065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v>
      </c>
      <c r="C11" s="1" t="n">
        <v>46065</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v>
      </c>
      <c r="C12" s="1" t="n">
        <v>46065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37005-2025</t>
        </is>
      </c>
      <c r="B13" s="1" t="n">
        <v>45874.69311342593</v>
      </c>
      <c r="C13" s="1" t="n">
        <v>46065</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46065</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46065</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46065</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26491-2024</t>
        </is>
      </c>
      <c r="B17" s="1" t="n">
        <v>45469</v>
      </c>
      <c r="C17" s="1" t="n">
        <v>46065</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19934-2025</t>
        </is>
      </c>
      <c r="B18" s="1" t="n">
        <v>45771</v>
      </c>
      <c r="C18" s="1" t="n">
        <v>46065</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7903-2024</t>
        </is>
      </c>
      <c r="B19" s="1" t="n">
        <v>45350</v>
      </c>
      <c r="C19" s="1" t="n">
        <v>46065</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60293-2025</t>
        </is>
      </c>
      <c r="B20" s="1" t="n">
        <v>45994.65568287037</v>
      </c>
      <c r="C20" s="1" t="n">
        <v>46065</v>
      </c>
      <c r="D20" t="inlineStr">
        <is>
          <t>VÄSTRA GÖTALANDS LÄN</t>
        </is>
      </c>
      <c r="E20" t="inlineStr">
        <is>
          <t>ALE</t>
        </is>
      </c>
      <c r="G20" t="n">
        <v>1.9</v>
      </c>
      <c r="H20" t="n">
        <v>2</v>
      </c>
      <c r="I20" t="n">
        <v>2</v>
      </c>
      <c r="J20" t="n">
        <v>2</v>
      </c>
      <c r="K20" t="n">
        <v>0</v>
      </c>
      <c r="L20" t="n">
        <v>0</v>
      </c>
      <c r="M20" t="n">
        <v>0</v>
      </c>
      <c r="N20" t="n">
        <v>0</v>
      </c>
      <c r="O20" t="n">
        <v>2</v>
      </c>
      <c r="P20" t="n">
        <v>0</v>
      </c>
      <c r="Q20" t="n">
        <v>4</v>
      </c>
      <c r="R20" s="2" t="inlineStr">
        <is>
          <t>Entita
Rödvingetrast
Björksplintborre
Gulnål</t>
        </is>
      </c>
      <c r="S20">
        <f>HYPERLINK("https://klasma.github.io/Logging_1440/artfynd/A 60293-2025 artfynd.xlsx", "A 60293-2025")</f>
        <v/>
      </c>
      <c r="T20">
        <f>HYPERLINK("https://klasma.github.io/Logging_1440/kartor/A 60293-2025 karta.png", "A 60293-2025")</f>
        <v/>
      </c>
      <c r="V20">
        <f>HYPERLINK("https://klasma.github.io/Logging_1440/klagomål/A 60293-2025 FSC-klagomål.docx", "A 60293-2025")</f>
        <v/>
      </c>
      <c r="W20">
        <f>HYPERLINK("https://klasma.github.io/Logging_1440/klagomålsmail/A 60293-2025 FSC-klagomål mail.docx", "A 60293-2025")</f>
        <v/>
      </c>
      <c r="X20">
        <f>HYPERLINK("https://klasma.github.io/Logging_1440/tillsyn/A 60293-2025 tillsynsbegäran.docx", "A 60293-2025")</f>
        <v/>
      </c>
      <c r="Y20">
        <f>HYPERLINK("https://klasma.github.io/Logging_1440/tillsynsmail/A 60293-2025 tillsynsbegäran mail.docx", "A 60293-2025")</f>
        <v/>
      </c>
      <c r="Z20">
        <f>HYPERLINK("https://klasma.github.io/Logging_1440/fåglar/A 60293-2025 prioriterade fågelarter.docx", "A 60293-2025")</f>
        <v/>
      </c>
    </row>
    <row r="21" ht="15" customHeight="1">
      <c r="A21" t="inlineStr">
        <is>
          <t>A 63575-2023</t>
        </is>
      </c>
      <c r="B21" s="1" t="n">
        <v>45275.39715277778</v>
      </c>
      <c r="C21" s="1" t="n">
        <v>46065</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63569-2023</t>
        </is>
      </c>
      <c r="B22" s="1" t="n">
        <v>45275</v>
      </c>
      <c r="C22" s="1" t="n">
        <v>46065</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58954-2022</t>
        </is>
      </c>
      <c r="B23" s="1" t="n">
        <v>44903</v>
      </c>
      <c r="C23" s="1" t="n">
        <v>46065</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2270-2025</t>
        </is>
      </c>
      <c r="B24" s="1" t="n">
        <v>45673.54403935185</v>
      </c>
      <c r="C24" s="1" t="n">
        <v>46065</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46065</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46065</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45751.65315972222</v>
      </c>
      <c r="C27" s="1" t="n">
        <v>46065</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46065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46065</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40931-2025</t>
        </is>
      </c>
      <c r="B30" s="1" t="n">
        <v>45897.64783564815</v>
      </c>
      <c r="C30" s="1" t="n">
        <v>46065</v>
      </c>
      <c r="D30" t="inlineStr">
        <is>
          <t>VÄSTRA GÖTALANDS LÄN</t>
        </is>
      </c>
      <c r="E30" t="inlineStr">
        <is>
          <t>ALE</t>
        </is>
      </c>
      <c r="G30" t="n">
        <v>4.3</v>
      </c>
      <c r="H30" t="n">
        <v>1</v>
      </c>
      <c r="I30" t="n">
        <v>1</v>
      </c>
      <c r="J30" t="n">
        <v>1</v>
      </c>
      <c r="K30" t="n">
        <v>0</v>
      </c>
      <c r="L30" t="n">
        <v>0</v>
      </c>
      <c r="M30" t="n">
        <v>0</v>
      </c>
      <c r="N30" t="n">
        <v>0</v>
      </c>
      <c r="O30" t="n">
        <v>1</v>
      </c>
      <c r="P30" t="n">
        <v>0</v>
      </c>
      <c r="Q30" t="n">
        <v>2</v>
      </c>
      <c r="R30" s="2" t="inlineStr">
        <is>
          <t>Spillkråka
Blåmossa</t>
        </is>
      </c>
      <c r="S30">
        <f>HYPERLINK("https://klasma.github.io/Logging_1440/artfynd/A 40931-2025 artfynd.xlsx", "A 40931-2025")</f>
        <v/>
      </c>
      <c r="T30">
        <f>HYPERLINK("https://klasma.github.io/Logging_1440/kartor/A 40931-2025 karta.png", "A 40931-2025")</f>
        <v/>
      </c>
      <c r="V30">
        <f>HYPERLINK("https://klasma.github.io/Logging_1440/klagomål/A 40931-2025 FSC-klagomål.docx", "A 40931-2025")</f>
        <v/>
      </c>
      <c r="W30">
        <f>HYPERLINK("https://klasma.github.io/Logging_1440/klagomålsmail/A 40931-2025 FSC-klagomål mail.docx", "A 40931-2025")</f>
        <v/>
      </c>
      <c r="X30">
        <f>HYPERLINK("https://klasma.github.io/Logging_1440/tillsyn/A 40931-2025 tillsynsbegäran.docx", "A 40931-2025")</f>
        <v/>
      </c>
      <c r="Y30">
        <f>HYPERLINK("https://klasma.github.io/Logging_1440/tillsynsmail/A 40931-2025 tillsynsbegäran mail.docx", "A 40931-2025")</f>
        <v/>
      </c>
      <c r="Z30">
        <f>HYPERLINK("https://klasma.github.io/Logging_1440/fåglar/A 40931-2025 prioriterade fågelarter.docx", "A 40931-2025")</f>
        <v/>
      </c>
    </row>
    <row r="31" ht="15" customHeight="1">
      <c r="A31" t="inlineStr">
        <is>
          <t>A 42660-2024</t>
        </is>
      </c>
      <c r="B31" s="1" t="n">
        <v>45566.33841435185</v>
      </c>
      <c r="C31" s="1" t="n">
        <v>46065</v>
      </c>
      <c r="D31" t="inlineStr">
        <is>
          <t>VÄSTRA GÖTALANDS LÄN</t>
        </is>
      </c>
      <c r="E31" t="inlineStr">
        <is>
          <t>ALE</t>
        </is>
      </c>
      <c r="G31" t="n">
        <v>2.5</v>
      </c>
      <c r="H31" t="n">
        <v>2</v>
      </c>
      <c r="I31" t="n">
        <v>0</v>
      </c>
      <c r="J31" t="n">
        <v>0</v>
      </c>
      <c r="K31" t="n">
        <v>0</v>
      </c>
      <c r="L31" t="n">
        <v>0</v>
      </c>
      <c r="M31" t="n">
        <v>0</v>
      </c>
      <c r="N31" t="n">
        <v>0</v>
      </c>
      <c r="O31" t="n">
        <v>0</v>
      </c>
      <c r="P31" t="n">
        <v>0</v>
      </c>
      <c r="Q31" t="n">
        <v>2</v>
      </c>
      <c r="R31" s="2" t="inlineStr">
        <is>
          <t>Mattlummer
Revlummer</t>
        </is>
      </c>
      <c r="S31">
        <f>HYPERLINK("https://klasma.github.io/Logging_1440/artfynd/A 42660-2024 artfynd.xlsx", "A 42660-2024")</f>
        <v/>
      </c>
      <c r="T31">
        <f>HYPERLINK("https://klasma.github.io/Logging_1440/kartor/A 42660-2024 karta.png", "A 42660-2024")</f>
        <v/>
      </c>
      <c r="V31">
        <f>HYPERLINK("https://klasma.github.io/Logging_1440/klagomål/A 42660-2024 FSC-klagomål.docx", "A 42660-2024")</f>
        <v/>
      </c>
      <c r="W31">
        <f>HYPERLINK("https://klasma.github.io/Logging_1440/klagomålsmail/A 42660-2024 FSC-klagomål mail.docx", "A 42660-2024")</f>
        <v/>
      </c>
      <c r="X31">
        <f>HYPERLINK("https://klasma.github.io/Logging_1440/tillsyn/A 42660-2024 tillsynsbegäran.docx", "A 42660-2024")</f>
        <v/>
      </c>
      <c r="Y31">
        <f>HYPERLINK("https://klasma.github.io/Logging_1440/tillsynsmail/A 42660-2024 tillsynsbegäran mail.docx", "A 42660-2024")</f>
        <v/>
      </c>
    </row>
    <row r="32" ht="15" customHeight="1">
      <c r="A32" t="inlineStr">
        <is>
          <t>A 8955-2025</t>
        </is>
      </c>
      <c r="B32" s="1" t="n">
        <v>45713.46528935185</v>
      </c>
      <c r="C32" s="1" t="n">
        <v>46065</v>
      </c>
      <c r="D32" t="inlineStr">
        <is>
          <t>VÄSTRA GÖTALANDS LÄN</t>
        </is>
      </c>
      <c r="E32" t="inlineStr">
        <is>
          <t>ALE</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HYPERLINK("https://klasma.github.io/Logging_1440/artfynd/A 8955-2025 artfynd.xlsx", "A 8955-2025")</f>
        <v/>
      </c>
      <c r="T32">
        <f>HYPERLINK("https://klasma.github.io/Logging_1440/kartor/A 8955-2025 karta.png", "A 8955-2025")</f>
        <v/>
      </c>
      <c r="V32">
        <f>HYPERLINK("https://klasma.github.io/Logging_1440/klagomål/A 8955-2025 FSC-klagomål.docx", "A 8955-2025")</f>
        <v/>
      </c>
      <c r="W32">
        <f>HYPERLINK("https://klasma.github.io/Logging_1440/klagomålsmail/A 8955-2025 FSC-klagomål mail.docx", "A 8955-2025")</f>
        <v/>
      </c>
      <c r="X32">
        <f>HYPERLINK("https://klasma.github.io/Logging_1440/tillsyn/A 8955-2025 tillsynsbegäran.docx", "A 8955-2025")</f>
        <v/>
      </c>
      <c r="Y32">
        <f>HYPERLINK("https://klasma.github.io/Logging_1440/tillsynsmail/A 8955-2025 tillsynsbegäran mail.docx", "A 8955-2025")</f>
        <v/>
      </c>
      <c r="Z32">
        <f>HYPERLINK("https://klasma.github.io/Logging_1440/fåglar/A 8955-2025 prioriterade fågelarter.docx", "A 8955-2025")</f>
        <v/>
      </c>
    </row>
    <row r="33" ht="15" customHeight="1">
      <c r="A33" t="inlineStr">
        <is>
          <t>A 26677-2025</t>
        </is>
      </c>
      <c r="B33" s="1" t="n">
        <v>45810.42446759259</v>
      </c>
      <c r="C33" s="1" t="n">
        <v>46065</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26493-2024</t>
        </is>
      </c>
      <c r="B34" s="1" t="n">
        <v>45469</v>
      </c>
      <c r="C34" s="1" t="n">
        <v>46065</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13902-2025</t>
        </is>
      </c>
      <c r="B35" s="1" t="n">
        <v>45737.63446759259</v>
      </c>
      <c r="C35" s="1" t="n">
        <v>46065</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12982-2024</t>
        </is>
      </c>
      <c r="B36" s="1" t="n">
        <v>45385.53569444444</v>
      </c>
      <c r="C36" s="1" t="n">
        <v>46065</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12084-2025</t>
        </is>
      </c>
      <c r="B37" s="1" t="n">
        <v>45728.95387731482</v>
      </c>
      <c r="C37" s="1" t="n">
        <v>46065</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47330-2025</t>
        </is>
      </c>
      <c r="B38" s="1" t="n">
        <v>45930.56170138889</v>
      </c>
      <c r="C38" s="1" t="n">
        <v>46065</v>
      </c>
      <c r="D38" t="inlineStr">
        <is>
          <t>VÄSTRA GÖTALANDS LÄN</t>
        </is>
      </c>
      <c r="E38" t="inlineStr">
        <is>
          <t>ALE</t>
        </is>
      </c>
      <c r="G38" t="n">
        <v>3.7</v>
      </c>
      <c r="H38" t="n">
        <v>1</v>
      </c>
      <c r="I38" t="n">
        <v>0</v>
      </c>
      <c r="J38" t="n">
        <v>1</v>
      </c>
      <c r="K38" t="n">
        <v>0</v>
      </c>
      <c r="L38" t="n">
        <v>0</v>
      </c>
      <c r="M38" t="n">
        <v>0</v>
      </c>
      <c r="N38" t="n">
        <v>0</v>
      </c>
      <c r="O38" t="n">
        <v>1</v>
      </c>
      <c r="P38" t="n">
        <v>0</v>
      </c>
      <c r="Q38" t="n">
        <v>1</v>
      </c>
      <c r="R38" s="2" t="inlineStr">
        <is>
          <t>Spillkråka</t>
        </is>
      </c>
      <c r="S38">
        <f>HYPERLINK("https://klasma.github.io/Logging_1440/artfynd/A 47330-2025 artfynd.xlsx", "A 47330-2025")</f>
        <v/>
      </c>
      <c r="T38">
        <f>HYPERLINK("https://klasma.github.io/Logging_1440/kartor/A 47330-2025 karta.png", "A 47330-2025")</f>
        <v/>
      </c>
      <c r="V38">
        <f>HYPERLINK("https://klasma.github.io/Logging_1440/klagomål/A 47330-2025 FSC-klagomål.docx", "A 47330-2025")</f>
        <v/>
      </c>
      <c r="W38">
        <f>HYPERLINK("https://klasma.github.io/Logging_1440/klagomålsmail/A 47330-2025 FSC-klagomål mail.docx", "A 47330-2025")</f>
        <v/>
      </c>
      <c r="X38">
        <f>HYPERLINK("https://klasma.github.io/Logging_1440/tillsyn/A 47330-2025 tillsynsbegäran.docx", "A 47330-2025")</f>
        <v/>
      </c>
      <c r="Y38">
        <f>HYPERLINK("https://klasma.github.io/Logging_1440/tillsynsmail/A 47330-2025 tillsynsbegäran mail.docx", "A 47330-2025")</f>
        <v/>
      </c>
      <c r="Z38">
        <f>HYPERLINK("https://klasma.github.io/Logging_1440/fåglar/A 47330-2025 prioriterade fågelarter.docx", "A 47330-2025")</f>
        <v/>
      </c>
    </row>
    <row r="39" ht="15" customHeight="1">
      <c r="A39" t="inlineStr">
        <is>
          <t>A 58412-2025</t>
        </is>
      </c>
      <c r="B39" s="1" t="n">
        <v>45985.57564814815</v>
      </c>
      <c r="C39" s="1" t="n">
        <v>46065</v>
      </c>
      <c r="D39" t="inlineStr">
        <is>
          <t>VÄSTRA GÖTALANDS LÄN</t>
        </is>
      </c>
      <c r="E39" t="inlineStr">
        <is>
          <t>ALE</t>
        </is>
      </c>
      <c r="G39" t="n">
        <v>3.2</v>
      </c>
      <c r="H39" t="n">
        <v>1</v>
      </c>
      <c r="I39" t="n">
        <v>0</v>
      </c>
      <c r="J39" t="n">
        <v>0</v>
      </c>
      <c r="K39" t="n">
        <v>0</v>
      </c>
      <c r="L39" t="n">
        <v>0</v>
      </c>
      <c r="M39" t="n">
        <v>0</v>
      </c>
      <c r="N39" t="n">
        <v>0</v>
      </c>
      <c r="O39" t="n">
        <v>0</v>
      </c>
      <c r="P39" t="n">
        <v>0</v>
      </c>
      <c r="Q39" t="n">
        <v>1</v>
      </c>
      <c r="R39" s="2" t="inlineStr">
        <is>
          <t>Äkta lopplummer</t>
        </is>
      </c>
      <c r="S39">
        <f>HYPERLINK("https://klasma.github.io/Logging_1440/artfynd/A 58412-2025 artfynd.xlsx", "A 58412-2025")</f>
        <v/>
      </c>
      <c r="T39">
        <f>HYPERLINK("https://klasma.github.io/Logging_1440/kartor/A 58412-2025 karta.png", "A 58412-2025")</f>
        <v/>
      </c>
      <c r="V39">
        <f>HYPERLINK("https://klasma.github.io/Logging_1440/klagomål/A 58412-2025 FSC-klagomål.docx", "A 58412-2025")</f>
        <v/>
      </c>
      <c r="W39">
        <f>HYPERLINK("https://klasma.github.io/Logging_1440/klagomålsmail/A 58412-2025 FSC-klagomål mail.docx", "A 58412-2025")</f>
        <v/>
      </c>
      <c r="X39">
        <f>HYPERLINK("https://klasma.github.io/Logging_1440/tillsyn/A 58412-2025 tillsynsbegäran.docx", "A 58412-2025")</f>
        <v/>
      </c>
      <c r="Y39">
        <f>HYPERLINK("https://klasma.github.io/Logging_1440/tillsynsmail/A 58412-2025 tillsynsbegäran mail.docx", "A 58412-2025")</f>
        <v/>
      </c>
    </row>
    <row r="40" ht="15" customHeight="1">
      <c r="A40" t="inlineStr">
        <is>
          <t>A 62524-2025</t>
        </is>
      </c>
      <c r="B40" s="1" t="n">
        <v>46007.6247337963</v>
      </c>
      <c r="C40" s="1" t="n">
        <v>46065</v>
      </c>
      <c r="D40" t="inlineStr">
        <is>
          <t>VÄSTRA GÖTALANDS LÄN</t>
        </is>
      </c>
      <c r="E40" t="inlineStr">
        <is>
          <t>ALE</t>
        </is>
      </c>
      <c r="G40" t="n">
        <v>8</v>
      </c>
      <c r="H40" t="n">
        <v>1</v>
      </c>
      <c r="I40" t="n">
        <v>0</v>
      </c>
      <c r="J40" t="n">
        <v>0</v>
      </c>
      <c r="K40" t="n">
        <v>0</v>
      </c>
      <c r="L40" t="n">
        <v>0</v>
      </c>
      <c r="M40" t="n">
        <v>0</v>
      </c>
      <c r="N40" t="n">
        <v>0</v>
      </c>
      <c r="O40" t="n">
        <v>0</v>
      </c>
      <c r="P40" t="n">
        <v>0</v>
      </c>
      <c r="Q40" t="n">
        <v>1</v>
      </c>
      <c r="R40" s="2" t="inlineStr">
        <is>
          <t>Revlummer</t>
        </is>
      </c>
      <c r="S40">
        <f>HYPERLINK("https://klasma.github.io/Logging_1440/artfynd/A 62524-2025 artfynd.xlsx", "A 62524-2025")</f>
        <v/>
      </c>
      <c r="T40">
        <f>HYPERLINK("https://klasma.github.io/Logging_1440/kartor/A 62524-2025 karta.png", "A 62524-2025")</f>
        <v/>
      </c>
      <c r="V40">
        <f>HYPERLINK("https://klasma.github.io/Logging_1440/klagomål/A 62524-2025 FSC-klagomål.docx", "A 62524-2025")</f>
        <v/>
      </c>
      <c r="W40">
        <f>HYPERLINK("https://klasma.github.io/Logging_1440/klagomålsmail/A 62524-2025 FSC-klagomål mail.docx", "A 62524-2025")</f>
        <v/>
      </c>
      <c r="X40">
        <f>HYPERLINK("https://klasma.github.io/Logging_1440/tillsyn/A 62524-2025 tillsynsbegäran.docx", "A 62524-2025")</f>
        <v/>
      </c>
      <c r="Y40">
        <f>HYPERLINK("https://klasma.github.io/Logging_1440/tillsynsmail/A 62524-2025 tillsynsbegäran mail.docx", "A 62524-2025")</f>
        <v/>
      </c>
    </row>
    <row r="41" ht="15" customHeight="1">
      <c r="A41" t="inlineStr">
        <is>
          <t>A 21281-2021</t>
        </is>
      </c>
      <c r="B41" s="1" t="n">
        <v>44320.61850694445</v>
      </c>
      <c r="C41" s="1" t="n">
        <v>46065</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46065</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46065</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46065</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46065</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46065</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46065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46065</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46065</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46065</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15508-2022</t>
        </is>
      </c>
      <c r="B51" s="1" t="n">
        <v>44662.39761574074</v>
      </c>
      <c r="C51" s="1" t="n">
        <v>46065</v>
      </c>
      <c r="D51" t="inlineStr">
        <is>
          <t>VÄSTRA GÖTALANDS LÄN</t>
        </is>
      </c>
      <c r="E51" t="inlineStr">
        <is>
          <t>ALE</t>
        </is>
      </c>
      <c r="G51" t="n">
        <v>0.4</v>
      </c>
      <c r="H51" t="n">
        <v>0</v>
      </c>
      <c r="I51" t="n">
        <v>0</v>
      </c>
      <c r="J51" t="n">
        <v>0</v>
      </c>
      <c r="K51" t="n">
        <v>0</v>
      </c>
      <c r="L51" t="n">
        <v>0</v>
      </c>
      <c r="M51" t="n">
        <v>0</v>
      </c>
      <c r="N51" t="n">
        <v>0</v>
      </c>
      <c r="O51" t="n">
        <v>0</v>
      </c>
      <c r="P51" t="n">
        <v>0</v>
      </c>
      <c r="Q51" t="n">
        <v>0</v>
      </c>
      <c r="R51" s="2" t="inlineStr"/>
    </row>
    <row r="52" ht="15" customHeight="1">
      <c r="A52" t="inlineStr">
        <is>
          <t>A 31566-2021</t>
        </is>
      </c>
      <c r="B52" s="1" t="n">
        <v>44369</v>
      </c>
      <c r="C52" s="1" t="n">
        <v>46065</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14751-2022</t>
        </is>
      </c>
      <c r="B53" s="1" t="n">
        <v>44656.3837037037</v>
      </c>
      <c r="C53" s="1" t="n">
        <v>46065</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46065</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46065</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31568-2021</t>
        </is>
      </c>
      <c r="B56" s="1" t="n">
        <v>44369</v>
      </c>
      <c r="C56" s="1" t="n">
        <v>46065</v>
      </c>
      <c r="D56" t="inlineStr">
        <is>
          <t>VÄSTRA GÖTALANDS LÄN</t>
        </is>
      </c>
      <c r="E56" t="inlineStr">
        <is>
          <t>ALE</t>
        </is>
      </c>
      <c r="G56" t="n">
        <v>0.5</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46065</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46065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65222-2021</t>
        </is>
      </c>
      <c r="B59" s="1" t="n">
        <v>44515</v>
      </c>
      <c r="C59" s="1" t="n">
        <v>46065</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22138-2021</t>
        </is>
      </c>
      <c r="B60" s="1" t="n">
        <v>44324.67472222223</v>
      </c>
      <c r="C60" s="1" t="n">
        <v>46065</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5875-2023</t>
        </is>
      </c>
      <c r="B61" s="1" t="n">
        <v>44963</v>
      </c>
      <c r="C61" s="1" t="n">
        <v>46065</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3407-2023</t>
        </is>
      </c>
      <c r="B62" s="1" t="n">
        <v>44949.54909722223</v>
      </c>
      <c r="C62" s="1" t="n">
        <v>46065</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51564-2023</t>
        </is>
      </c>
      <c r="B63" s="1" t="n">
        <v>45222</v>
      </c>
      <c r="C63" s="1" t="n">
        <v>46065</v>
      </c>
      <c r="D63" t="inlineStr">
        <is>
          <t>VÄSTRA GÖTALANDS LÄN</t>
        </is>
      </c>
      <c r="E63" t="inlineStr">
        <is>
          <t>ALE</t>
        </is>
      </c>
      <c r="G63" t="n">
        <v>1.5</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46065</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46065</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46065</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36403-2024</t>
        </is>
      </c>
      <c r="B67" s="1" t="n">
        <v>45535.69445601852</v>
      </c>
      <c r="C67" s="1" t="n">
        <v>46065</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7807-2023</t>
        </is>
      </c>
      <c r="B68" s="1" t="n">
        <v>44973</v>
      </c>
      <c r="C68" s="1" t="n">
        <v>46065</v>
      </c>
      <c r="D68" t="inlineStr">
        <is>
          <t>VÄSTRA GÖTALANDS LÄN</t>
        </is>
      </c>
      <c r="E68" t="inlineStr">
        <is>
          <t>ALE</t>
        </is>
      </c>
      <c r="G68" t="n">
        <v>10.5</v>
      </c>
      <c r="H68" t="n">
        <v>0</v>
      </c>
      <c r="I68" t="n">
        <v>0</v>
      </c>
      <c r="J68" t="n">
        <v>0</v>
      </c>
      <c r="K68" t="n">
        <v>0</v>
      </c>
      <c r="L68" t="n">
        <v>0</v>
      </c>
      <c r="M68" t="n">
        <v>0</v>
      </c>
      <c r="N68" t="n">
        <v>0</v>
      </c>
      <c r="O68" t="n">
        <v>0</v>
      </c>
      <c r="P68" t="n">
        <v>0</v>
      </c>
      <c r="Q68" t="n">
        <v>0</v>
      </c>
      <c r="R68" s="2" t="inlineStr"/>
    </row>
    <row r="69" ht="15" customHeight="1">
      <c r="A69" t="inlineStr">
        <is>
          <t>A 55488-2022</t>
        </is>
      </c>
      <c r="B69" s="1" t="n">
        <v>44887</v>
      </c>
      <c r="C69" s="1" t="n">
        <v>46065</v>
      </c>
      <c r="D69" t="inlineStr">
        <is>
          <t>VÄSTRA GÖTALANDS LÄN</t>
        </is>
      </c>
      <c r="E69" t="inlineStr">
        <is>
          <t>ALE</t>
        </is>
      </c>
      <c r="G69" t="n">
        <v>2.5</v>
      </c>
      <c r="H69" t="n">
        <v>0</v>
      </c>
      <c r="I69" t="n">
        <v>0</v>
      </c>
      <c r="J69" t="n">
        <v>0</v>
      </c>
      <c r="K69" t="n">
        <v>0</v>
      </c>
      <c r="L69" t="n">
        <v>0</v>
      </c>
      <c r="M69" t="n">
        <v>0</v>
      </c>
      <c r="N69" t="n">
        <v>0</v>
      </c>
      <c r="O69" t="n">
        <v>0</v>
      </c>
      <c r="P69" t="n">
        <v>0</v>
      </c>
      <c r="Q69" t="n">
        <v>0</v>
      </c>
      <c r="R69" s="2" t="inlineStr"/>
    </row>
    <row r="70" ht="15" customHeight="1">
      <c r="A70" t="inlineStr">
        <is>
          <t>A 55405-2021</t>
        </is>
      </c>
      <c r="B70" s="1" t="n">
        <v>44475.53733796296</v>
      </c>
      <c r="C70" s="1" t="n">
        <v>46065</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46065</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42446-2023</t>
        </is>
      </c>
      <c r="B72" s="1" t="n">
        <v>45180</v>
      </c>
      <c r="C72" s="1" t="n">
        <v>46065</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36763-2022</t>
        </is>
      </c>
      <c r="B73" s="1" t="n">
        <v>44805</v>
      </c>
      <c r="C73" s="1" t="n">
        <v>46065</v>
      </c>
      <c r="D73" t="inlineStr">
        <is>
          <t>VÄSTRA GÖTALANDS LÄN</t>
        </is>
      </c>
      <c r="E73" t="inlineStr">
        <is>
          <t>ALE</t>
        </is>
      </c>
      <c r="G73" t="n">
        <v>6.1</v>
      </c>
      <c r="H73" t="n">
        <v>0</v>
      </c>
      <c r="I73" t="n">
        <v>0</v>
      </c>
      <c r="J73" t="n">
        <v>0</v>
      </c>
      <c r="K73" t="n">
        <v>0</v>
      </c>
      <c r="L73" t="n">
        <v>0</v>
      </c>
      <c r="M73" t="n">
        <v>0</v>
      </c>
      <c r="N73" t="n">
        <v>0</v>
      </c>
      <c r="O73" t="n">
        <v>0</v>
      </c>
      <c r="P73" t="n">
        <v>0</v>
      </c>
      <c r="Q73" t="n">
        <v>0</v>
      </c>
      <c r="R73" s="2" t="inlineStr"/>
    </row>
    <row r="74" ht="15" customHeight="1">
      <c r="A74" t="inlineStr">
        <is>
          <t>A 67160-2021</t>
        </is>
      </c>
      <c r="B74" s="1" t="n">
        <v>44523</v>
      </c>
      <c r="C74" s="1" t="n">
        <v>46065</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16344-2023</t>
        </is>
      </c>
      <c r="B75" s="1" t="n">
        <v>45028</v>
      </c>
      <c r="C75" s="1" t="n">
        <v>46065</v>
      </c>
      <c r="D75" t="inlineStr">
        <is>
          <t>VÄSTRA GÖTALANDS LÄN</t>
        </is>
      </c>
      <c r="E75" t="inlineStr">
        <is>
          <t>ALE</t>
        </is>
      </c>
      <c r="G75" t="n">
        <v>6.6</v>
      </c>
      <c r="H75" t="n">
        <v>0</v>
      </c>
      <c r="I75" t="n">
        <v>0</v>
      </c>
      <c r="J75" t="n">
        <v>0</v>
      </c>
      <c r="K75" t="n">
        <v>0</v>
      </c>
      <c r="L75" t="n">
        <v>0</v>
      </c>
      <c r="M75" t="n">
        <v>0</v>
      </c>
      <c r="N75" t="n">
        <v>0</v>
      </c>
      <c r="O75" t="n">
        <v>0</v>
      </c>
      <c r="P75" t="n">
        <v>0</v>
      </c>
      <c r="Q75" t="n">
        <v>0</v>
      </c>
      <c r="R75" s="2" t="inlineStr"/>
    </row>
    <row r="76" ht="15" customHeight="1">
      <c r="A76" t="inlineStr">
        <is>
          <t>A 32762-2023</t>
        </is>
      </c>
      <c r="B76" s="1" t="n">
        <v>45123.46649305556</v>
      </c>
      <c r="C76" s="1" t="n">
        <v>46065</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41598-2022</t>
        </is>
      </c>
      <c r="B77" s="1" t="n">
        <v>44827.4609837963</v>
      </c>
      <c r="C77" s="1" t="n">
        <v>46065</v>
      </c>
      <c r="D77" t="inlineStr">
        <is>
          <t>VÄSTRA GÖTALANDS LÄN</t>
        </is>
      </c>
      <c r="E77" t="inlineStr">
        <is>
          <t>ALE</t>
        </is>
      </c>
      <c r="G77" t="n">
        <v>2</v>
      </c>
      <c r="H77" t="n">
        <v>0</v>
      </c>
      <c r="I77" t="n">
        <v>0</v>
      </c>
      <c r="J77" t="n">
        <v>0</v>
      </c>
      <c r="K77" t="n">
        <v>0</v>
      </c>
      <c r="L77" t="n">
        <v>0</v>
      </c>
      <c r="M77" t="n">
        <v>0</v>
      </c>
      <c r="N77" t="n">
        <v>0</v>
      </c>
      <c r="O77" t="n">
        <v>0</v>
      </c>
      <c r="P77" t="n">
        <v>0</v>
      </c>
      <c r="Q77" t="n">
        <v>0</v>
      </c>
      <c r="R77" s="2" t="inlineStr"/>
    </row>
    <row r="78" ht="15" customHeight="1">
      <c r="A78" t="inlineStr">
        <is>
          <t>A 14458-2024</t>
        </is>
      </c>
      <c r="B78" s="1" t="n">
        <v>45394</v>
      </c>
      <c r="C78" s="1" t="n">
        <v>46065</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56493-2021</t>
        </is>
      </c>
      <c r="B79" s="1" t="n">
        <v>44480.57173611111</v>
      </c>
      <c r="C79" s="1" t="n">
        <v>46065</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46065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24642-2022</t>
        </is>
      </c>
      <c r="B81" s="1" t="n">
        <v>44727.59578703704</v>
      </c>
      <c r="C81" s="1" t="n">
        <v>46065</v>
      </c>
      <c r="D81" t="inlineStr">
        <is>
          <t>VÄSTRA GÖTALANDS LÄN</t>
        </is>
      </c>
      <c r="E81" t="inlineStr">
        <is>
          <t>ALE</t>
        </is>
      </c>
      <c r="G81" t="n">
        <v>10</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46065</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4642-2024</t>
        </is>
      </c>
      <c r="B83" s="1" t="n">
        <v>45328.43502314815</v>
      </c>
      <c r="C83" s="1" t="n">
        <v>46065</v>
      </c>
      <c r="D83" t="inlineStr">
        <is>
          <t>VÄSTRA GÖTALANDS LÄN</t>
        </is>
      </c>
      <c r="E83" t="inlineStr">
        <is>
          <t>ALE</t>
        </is>
      </c>
      <c r="G83" t="n">
        <v>7.1</v>
      </c>
      <c r="H83" t="n">
        <v>0</v>
      </c>
      <c r="I83" t="n">
        <v>0</v>
      </c>
      <c r="J83" t="n">
        <v>0</v>
      </c>
      <c r="K83" t="n">
        <v>0</v>
      </c>
      <c r="L83" t="n">
        <v>0</v>
      </c>
      <c r="M83" t="n">
        <v>0</v>
      </c>
      <c r="N83" t="n">
        <v>0</v>
      </c>
      <c r="O83" t="n">
        <v>0</v>
      </c>
      <c r="P83" t="n">
        <v>0</v>
      </c>
      <c r="Q83" t="n">
        <v>0</v>
      </c>
      <c r="R83" s="2" t="inlineStr"/>
    </row>
    <row r="84" ht="15" customHeight="1">
      <c r="A84" t="inlineStr">
        <is>
          <t>A 5344-2024</t>
        </is>
      </c>
      <c r="B84" s="1" t="n">
        <v>45331</v>
      </c>
      <c r="C84" s="1" t="n">
        <v>46065</v>
      </c>
      <c r="D84" t="inlineStr">
        <is>
          <t>VÄSTRA GÖTALANDS LÄN</t>
        </is>
      </c>
      <c r="E84" t="inlineStr">
        <is>
          <t>ALE</t>
        </is>
      </c>
      <c r="G84" t="n">
        <v>2.5</v>
      </c>
      <c r="H84" t="n">
        <v>0</v>
      </c>
      <c r="I84" t="n">
        <v>0</v>
      </c>
      <c r="J84" t="n">
        <v>0</v>
      </c>
      <c r="K84" t="n">
        <v>0</v>
      </c>
      <c r="L84" t="n">
        <v>0</v>
      </c>
      <c r="M84" t="n">
        <v>0</v>
      </c>
      <c r="N84" t="n">
        <v>0</v>
      </c>
      <c r="O84" t="n">
        <v>0</v>
      </c>
      <c r="P84" t="n">
        <v>0</v>
      </c>
      <c r="Q84" t="n">
        <v>0</v>
      </c>
      <c r="R84" s="2" t="inlineStr"/>
    </row>
    <row r="85" ht="15" customHeight="1">
      <c r="A85" t="inlineStr">
        <is>
          <t>A 18637-2023</t>
        </is>
      </c>
      <c r="B85" s="1" t="n">
        <v>45043</v>
      </c>
      <c r="C85" s="1" t="n">
        <v>46065</v>
      </c>
      <c r="D85" t="inlineStr">
        <is>
          <t>VÄSTRA GÖTALANDS LÄN</t>
        </is>
      </c>
      <c r="E85" t="inlineStr">
        <is>
          <t>ALE</t>
        </is>
      </c>
      <c r="G85" t="n">
        <v>3.6</v>
      </c>
      <c r="H85" t="n">
        <v>0</v>
      </c>
      <c r="I85" t="n">
        <v>0</v>
      </c>
      <c r="J85" t="n">
        <v>0</v>
      </c>
      <c r="K85" t="n">
        <v>0</v>
      </c>
      <c r="L85" t="n">
        <v>0</v>
      </c>
      <c r="M85" t="n">
        <v>0</v>
      </c>
      <c r="N85" t="n">
        <v>0</v>
      </c>
      <c r="O85" t="n">
        <v>0</v>
      </c>
      <c r="P85" t="n">
        <v>0</v>
      </c>
      <c r="Q85" t="n">
        <v>0</v>
      </c>
      <c r="R85" s="2" t="inlineStr"/>
    </row>
    <row r="86" ht="15" customHeight="1">
      <c r="A86" t="inlineStr">
        <is>
          <t>A 59933-2023</t>
        </is>
      </c>
      <c r="B86" s="1" t="n">
        <v>45257</v>
      </c>
      <c r="C86" s="1" t="n">
        <v>46065</v>
      </c>
      <c r="D86" t="inlineStr">
        <is>
          <t>VÄSTRA GÖTALANDS LÄN</t>
        </is>
      </c>
      <c r="E86" t="inlineStr">
        <is>
          <t>ALE</t>
        </is>
      </c>
      <c r="G86" t="n">
        <v>2.7</v>
      </c>
      <c r="H86" t="n">
        <v>0</v>
      </c>
      <c r="I86" t="n">
        <v>0</v>
      </c>
      <c r="J86" t="n">
        <v>0</v>
      </c>
      <c r="K86" t="n">
        <v>0</v>
      </c>
      <c r="L86" t="n">
        <v>0</v>
      </c>
      <c r="M86" t="n">
        <v>0</v>
      </c>
      <c r="N86" t="n">
        <v>0</v>
      </c>
      <c r="O86" t="n">
        <v>0</v>
      </c>
      <c r="P86" t="n">
        <v>0</v>
      </c>
      <c r="Q86" t="n">
        <v>0</v>
      </c>
      <c r="R86" s="2" t="inlineStr"/>
    </row>
    <row r="87" ht="15" customHeight="1">
      <c r="A87" t="inlineStr">
        <is>
          <t>A 26083-2023</t>
        </is>
      </c>
      <c r="B87" s="1" t="n">
        <v>45091</v>
      </c>
      <c r="C87" s="1" t="n">
        <v>46065</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14731-2022</t>
        </is>
      </c>
      <c r="B88" s="1" t="n">
        <v>44656</v>
      </c>
      <c r="C88" s="1" t="n">
        <v>46065</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46065</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13382-2025</t>
        </is>
      </c>
      <c r="B90" s="1" t="n">
        <v>45735.67928240741</v>
      </c>
      <c r="C90" s="1" t="n">
        <v>46065</v>
      </c>
      <c r="D90" t="inlineStr">
        <is>
          <t>VÄSTRA GÖTALANDS LÄN</t>
        </is>
      </c>
      <c r="E90" t="inlineStr">
        <is>
          <t>ALE</t>
        </is>
      </c>
      <c r="G90" t="n">
        <v>0.9</v>
      </c>
      <c r="H90" t="n">
        <v>0</v>
      </c>
      <c r="I90" t="n">
        <v>0</v>
      </c>
      <c r="J90" t="n">
        <v>0</v>
      </c>
      <c r="K90" t="n">
        <v>0</v>
      </c>
      <c r="L90" t="n">
        <v>0</v>
      </c>
      <c r="M90" t="n">
        <v>0</v>
      </c>
      <c r="N90" t="n">
        <v>0</v>
      </c>
      <c r="O90" t="n">
        <v>0</v>
      </c>
      <c r="P90" t="n">
        <v>0</v>
      </c>
      <c r="Q90" t="n">
        <v>0</v>
      </c>
      <c r="R90" s="2" t="inlineStr"/>
    </row>
    <row r="91" ht="15" customHeight="1">
      <c r="A91" t="inlineStr">
        <is>
          <t>A 3520-2022</t>
        </is>
      </c>
      <c r="B91" s="1" t="n">
        <v>44585.72818287037</v>
      </c>
      <c r="C91" s="1" t="n">
        <v>46065</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13903-2025</t>
        </is>
      </c>
      <c r="B92" s="1" t="n">
        <v>45737.63481481482</v>
      </c>
      <c r="C92" s="1" t="n">
        <v>46065</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1960-2024</t>
        </is>
      </c>
      <c r="B93" s="1" t="n">
        <v>45308.50962962963</v>
      </c>
      <c r="C93" s="1" t="n">
        <v>46065</v>
      </c>
      <c r="D93" t="inlineStr">
        <is>
          <t>VÄSTRA GÖTALANDS LÄN</t>
        </is>
      </c>
      <c r="E93" t="inlineStr">
        <is>
          <t>ALE</t>
        </is>
      </c>
      <c r="G93" t="n">
        <v>1.9</v>
      </c>
      <c r="H93" t="n">
        <v>0</v>
      </c>
      <c r="I93" t="n">
        <v>0</v>
      </c>
      <c r="J93" t="n">
        <v>0</v>
      </c>
      <c r="K93" t="n">
        <v>0</v>
      </c>
      <c r="L93" t="n">
        <v>0</v>
      </c>
      <c r="M93" t="n">
        <v>0</v>
      </c>
      <c r="N93" t="n">
        <v>0</v>
      </c>
      <c r="O93" t="n">
        <v>0</v>
      </c>
      <c r="P93" t="n">
        <v>0</v>
      </c>
      <c r="Q93" t="n">
        <v>0</v>
      </c>
      <c r="R93" s="2" t="inlineStr"/>
    </row>
    <row r="94" ht="15" customHeight="1">
      <c r="A94" t="inlineStr">
        <is>
          <t>A 3418-2023</t>
        </is>
      </c>
      <c r="B94" s="1" t="n">
        <v>44949.56182870371</v>
      </c>
      <c r="C94" s="1" t="n">
        <v>46065</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65226-2021</t>
        </is>
      </c>
      <c r="B95" s="1" t="n">
        <v>44515</v>
      </c>
      <c r="C95" s="1" t="n">
        <v>46065</v>
      </c>
      <c r="D95" t="inlineStr">
        <is>
          <t>VÄSTRA GÖTALANDS LÄN</t>
        </is>
      </c>
      <c r="E95" t="inlineStr">
        <is>
          <t>ALE</t>
        </is>
      </c>
      <c r="G95" t="n">
        <v>0.7</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46065</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31409-2025</t>
        </is>
      </c>
      <c r="B97" s="1" t="n">
        <v>45833</v>
      </c>
      <c r="C97" s="1" t="n">
        <v>46065</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31533-2025</t>
        </is>
      </c>
      <c r="B98" s="1" t="n">
        <v>45833</v>
      </c>
      <c r="C98" s="1" t="n">
        <v>46065</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33237-2024</t>
        </is>
      </c>
      <c r="B99" s="1" t="n">
        <v>45518.59173611111</v>
      </c>
      <c r="C99" s="1" t="n">
        <v>46065</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31488-2025</t>
        </is>
      </c>
      <c r="B100" s="1" t="n">
        <v>45833</v>
      </c>
      <c r="C100" s="1" t="n">
        <v>46065</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44429-2023</t>
        </is>
      </c>
      <c r="B101" s="1" t="n">
        <v>45189.35101851852</v>
      </c>
      <c r="C101" s="1" t="n">
        <v>46065</v>
      </c>
      <c r="D101" t="inlineStr">
        <is>
          <t>VÄSTRA GÖTALANDS LÄN</t>
        </is>
      </c>
      <c r="E101" t="inlineStr">
        <is>
          <t>ALE</t>
        </is>
      </c>
      <c r="G101" t="n">
        <v>0.1</v>
      </c>
      <c r="H101" t="n">
        <v>0</v>
      </c>
      <c r="I101" t="n">
        <v>0</v>
      </c>
      <c r="J101" t="n">
        <v>0</v>
      </c>
      <c r="K101" t="n">
        <v>0</v>
      </c>
      <c r="L101" t="n">
        <v>0</v>
      </c>
      <c r="M101" t="n">
        <v>0</v>
      </c>
      <c r="N101" t="n">
        <v>0</v>
      </c>
      <c r="O101" t="n">
        <v>0</v>
      </c>
      <c r="P101" t="n">
        <v>0</v>
      </c>
      <c r="Q101" t="n">
        <v>0</v>
      </c>
      <c r="R101" s="2" t="inlineStr"/>
    </row>
    <row r="102" ht="15" customHeight="1">
      <c r="A102" t="inlineStr">
        <is>
          <t>A 7892-2024</t>
        </is>
      </c>
      <c r="B102" s="1" t="n">
        <v>45350.40921296296</v>
      </c>
      <c r="C102" s="1" t="n">
        <v>46065</v>
      </c>
      <c r="D102" t="inlineStr">
        <is>
          <t>VÄSTRA GÖTALANDS LÄN</t>
        </is>
      </c>
      <c r="E102" t="inlineStr">
        <is>
          <t>ALE</t>
        </is>
      </c>
      <c r="G102" t="n">
        <v>3.6</v>
      </c>
      <c r="H102" t="n">
        <v>0</v>
      </c>
      <c r="I102" t="n">
        <v>0</v>
      </c>
      <c r="J102" t="n">
        <v>0</v>
      </c>
      <c r="K102" t="n">
        <v>0</v>
      </c>
      <c r="L102" t="n">
        <v>0</v>
      </c>
      <c r="M102" t="n">
        <v>0</v>
      </c>
      <c r="N102" t="n">
        <v>0</v>
      </c>
      <c r="O102" t="n">
        <v>0</v>
      </c>
      <c r="P102" t="n">
        <v>0</v>
      </c>
      <c r="Q102" t="n">
        <v>0</v>
      </c>
      <c r="R102" s="2" t="inlineStr"/>
    </row>
    <row r="103" ht="15" customHeight="1">
      <c r="A103" t="inlineStr">
        <is>
          <t>A 51164-2024</t>
        </is>
      </c>
      <c r="B103" s="1" t="n">
        <v>45603.5830787037</v>
      </c>
      <c r="C103" s="1" t="n">
        <v>46065</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4444-2024</t>
        </is>
      </c>
      <c r="B104" s="1" t="n">
        <v>45327</v>
      </c>
      <c r="C104" s="1" t="n">
        <v>46065</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3457-2022</t>
        </is>
      </c>
      <c r="B105" s="1" t="n">
        <v>44585</v>
      </c>
      <c r="C105" s="1" t="n">
        <v>46065</v>
      </c>
      <c r="D105" t="inlineStr">
        <is>
          <t>VÄSTRA GÖTALANDS LÄN</t>
        </is>
      </c>
      <c r="E105" t="inlineStr">
        <is>
          <t>ALE</t>
        </is>
      </c>
      <c r="G105" t="n">
        <v>5.1</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46065</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5916-2023</t>
        </is>
      </c>
      <c r="B107" s="1" t="n">
        <v>44963</v>
      </c>
      <c r="C107" s="1" t="n">
        <v>46065</v>
      </c>
      <c r="D107" t="inlineStr">
        <is>
          <t>VÄSTRA GÖTALANDS LÄN</t>
        </is>
      </c>
      <c r="E107" t="inlineStr">
        <is>
          <t>ALE</t>
        </is>
      </c>
      <c r="G107" t="n">
        <v>4.2</v>
      </c>
      <c r="H107" t="n">
        <v>0</v>
      </c>
      <c r="I107" t="n">
        <v>0</v>
      </c>
      <c r="J107" t="n">
        <v>0</v>
      </c>
      <c r="K107" t="n">
        <v>0</v>
      </c>
      <c r="L107" t="n">
        <v>0</v>
      </c>
      <c r="M107" t="n">
        <v>0</v>
      </c>
      <c r="N107" t="n">
        <v>0</v>
      </c>
      <c r="O107" t="n">
        <v>0</v>
      </c>
      <c r="P107" t="n">
        <v>0</v>
      </c>
      <c r="Q107" t="n">
        <v>0</v>
      </c>
      <c r="R107" s="2" t="inlineStr"/>
    </row>
    <row r="108" ht="15" customHeight="1">
      <c r="A108" t="inlineStr">
        <is>
          <t>A 35959-2022</t>
        </is>
      </c>
      <c r="B108" s="1" t="n">
        <v>44802.57002314815</v>
      </c>
      <c r="C108" s="1" t="n">
        <v>46065</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200-2022</t>
        </is>
      </c>
      <c r="B109" s="1" t="n">
        <v>44564</v>
      </c>
      <c r="C109" s="1" t="n">
        <v>46065</v>
      </c>
      <c r="D109" t="inlineStr">
        <is>
          <t>VÄSTRA GÖTALANDS LÄN</t>
        </is>
      </c>
      <c r="E109" t="inlineStr">
        <is>
          <t>ALE</t>
        </is>
      </c>
      <c r="G109" t="n">
        <v>6.8</v>
      </c>
      <c r="H109" t="n">
        <v>0</v>
      </c>
      <c r="I109" t="n">
        <v>0</v>
      </c>
      <c r="J109" t="n">
        <v>0</v>
      </c>
      <c r="K109" t="n">
        <v>0</v>
      </c>
      <c r="L109" t="n">
        <v>0</v>
      </c>
      <c r="M109" t="n">
        <v>0</v>
      </c>
      <c r="N109" t="n">
        <v>0</v>
      </c>
      <c r="O109" t="n">
        <v>0</v>
      </c>
      <c r="P109" t="n">
        <v>0</v>
      </c>
      <c r="Q109" t="n">
        <v>0</v>
      </c>
      <c r="R109" s="2" t="inlineStr"/>
    </row>
    <row r="110" ht="15" customHeight="1">
      <c r="A110" t="inlineStr">
        <is>
          <t>A 17044-2025</t>
        </is>
      </c>
      <c r="B110" s="1" t="n">
        <v>45755.58891203703</v>
      </c>
      <c r="C110" s="1" t="n">
        <v>46065</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1822-2024</t>
        </is>
      </c>
      <c r="B111" s="1" t="n">
        <v>45307.6205787037</v>
      </c>
      <c r="C111" s="1" t="n">
        <v>46065</v>
      </c>
      <c r="D111" t="inlineStr">
        <is>
          <t>VÄSTRA GÖTALANDS LÄN</t>
        </is>
      </c>
      <c r="E111" t="inlineStr">
        <is>
          <t>ALE</t>
        </is>
      </c>
      <c r="G111" t="n">
        <v>2</v>
      </c>
      <c r="H111" t="n">
        <v>0</v>
      </c>
      <c r="I111" t="n">
        <v>0</v>
      </c>
      <c r="J111" t="n">
        <v>0</v>
      </c>
      <c r="K111" t="n">
        <v>0</v>
      </c>
      <c r="L111" t="n">
        <v>0</v>
      </c>
      <c r="M111" t="n">
        <v>0</v>
      </c>
      <c r="N111" t="n">
        <v>0</v>
      </c>
      <c r="O111" t="n">
        <v>0</v>
      </c>
      <c r="P111" t="n">
        <v>0</v>
      </c>
      <c r="Q111" t="n">
        <v>0</v>
      </c>
      <c r="R111" s="2" t="inlineStr"/>
    </row>
    <row r="112" ht="15" customHeight="1">
      <c r="A112" t="inlineStr">
        <is>
          <t>A 15241-2025</t>
        </is>
      </c>
      <c r="B112" s="1" t="n">
        <v>45744.61255787037</v>
      </c>
      <c r="C112" s="1" t="n">
        <v>46065</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6947-2024</t>
        </is>
      </c>
      <c r="B113" s="1" t="n">
        <v>45343</v>
      </c>
      <c r="C113" s="1" t="n">
        <v>46065</v>
      </c>
      <c r="D113" t="inlineStr">
        <is>
          <t>VÄSTRA GÖTALANDS LÄN</t>
        </is>
      </c>
      <c r="E113" t="inlineStr">
        <is>
          <t>ALE</t>
        </is>
      </c>
      <c r="G113" t="n">
        <v>3.7</v>
      </c>
      <c r="H113" t="n">
        <v>0</v>
      </c>
      <c r="I113" t="n">
        <v>0</v>
      </c>
      <c r="J113" t="n">
        <v>0</v>
      </c>
      <c r="K113" t="n">
        <v>0</v>
      </c>
      <c r="L113" t="n">
        <v>0</v>
      </c>
      <c r="M113" t="n">
        <v>0</v>
      </c>
      <c r="N113" t="n">
        <v>0</v>
      </c>
      <c r="O113" t="n">
        <v>0</v>
      </c>
      <c r="P113" t="n">
        <v>0</v>
      </c>
      <c r="Q113" t="n">
        <v>0</v>
      </c>
      <c r="R113" s="2" t="inlineStr"/>
    </row>
    <row r="114" ht="15" customHeight="1">
      <c r="A114" t="inlineStr">
        <is>
          <t>A 34104-2024</t>
        </is>
      </c>
      <c r="B114" s="1" t="n">
        <v>45523.79202546296</v>
      </c>
      <c r="C114" s="1" t="n">
        <v>46065</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49955-2021</t>
        </is>
      </c>
      <c r="B115" s="1" t="n">
        <v>44456</v>
      </c>
      <c r="C115" s="1" t="n">
        <v>46065</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48257-2022</t>
        </is>
      </c>
      <c r="B116" s="1" t="n">
        <v>44858.47591435185</v>
      </c>
      <c r="C116" s="1" t="n">
        <v>46065</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18999-2021</t>
        </is>
      </c>
      <c r="B117" s="1" t="n">
        <v>44308</v>
      </c>
      <c r="C117" s="1" t="n">
        <v>46065</v>
      </c>
      <c r="D117" t="inlineStr">
        <is>
          <t>VÄSTRA GÖTALANDS LÄN</t>
        </is>
      </c>
      <c r="E117" t="inlineStr">
        <is>
          <t>ALE</t>
        </is>
      </c>
      <c r="G117" t="n">
        <v>3.7</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46065</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34153-2024</t>
        </is>
      </c>
      <c r="B119" s="1" t="n">
        <v>45524.38400462963</v>
      </c>
      <c r="C119" s="1" t="n">
        <v>46065</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50451-2024</t>
        </is>
      </c>
      <c r="B120" s="1" t="n">
        <v>45601.44248842593</v>
      </c>
      <c r="C120" s="1" t="n">
        <v>46065</v>
      </c>
      <c r="D120" t="inlineStr">
        <is>
          <t>VÄSTRA GÖTALANDS LÄN</t>
        </is>
      </c>
      <c r="E120" t="inlineStr">
        <is>
          <t>ALE</t>
        </is>
      </c>
      <c r="G120" t="n">
        <v>2.9</v>
      </c>
      <c r="H120" t="n">
        <v>0</v>
      </c>
      <c r="I120" t="n">
        <v>0</v>
      </c>
      <c r="J120" t="n">
        <v>0</v>
      </c>
      <c r="K120" t="n">
        <v>0</v>
      </c>
      <c r="L120" t="n">
        <v>0</v>
      </c>
      <c r="M120" t="n">
        <v>0</v>
      </c>
      <c r="N120" t="n">
        <v>0</v>
      </c>
      <c r="O120" t="n">
        <v>0</v>
      </c>
      <c r="P120" t="n">
        <v>0</v>
      </c>
      <c r="Q120" t="n">
        <v>0</v>
      </c>
      <c r="R120" s="2" t="inlineStr"/>
    </row>
    <row r="121" ht="15" customHeight="1">
      <c r="A121" t="inlineStr">
        <is>
          <t>A 49680-2024</t>
        </is>
      </c>
      <c r="B121" s="1" t="n">
        <v>45596.66880787037</v>
      </c>
      <c r="C121" s="1" t="n">
        <v>46065</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41309-2024</t>
        </is>
      </c>
      <c r="B122" s="1" t="n">
        <v>45559</v>
      </c>
      <c r="C122" s="1" t="n">
        <v>46065</v>
      </c>
      <c r="D122" t="inlineStr">
        <is>
          <t>VÄSTRA GÖTALANDS LÄN</t>
        </is>
      </c>
      <c r="E122" t="inlineStr">
        <is>
          <t>ALE</t>
        </is>
      </c>
      <c r="G122" t="n">
        <v>8.4</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46065</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4363-2024</t>
        </is>
      </c>
      <c r="B124" s="1" t="n">
        <v>45325</v>
      </c>
      <c r="C124" s="1" t="n">
        <v>46065</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16601-2025</t>
        </is>
      </c>
      <c r="B125" s="1" t="n">
        <v>45753.53189814815</v>
      </c>
      <c r="C125" s="1" t="n">
        <v>46065</v>
      </c>
      <c r="D125" t="inlineStr">
        <is>
          <t>VÄSTRA GÖTALANDS LÄN</t>
        </is>
      </c>
      <c r="E125" t="inlineStr">
        <is>
          <t>ALE</t>
        </is>
      </c>
      <c r="G125" t="n">
        <v>1.7</v>
      </c>
      <c r="H125" t="n">
        <v>0</v>
      </c>
      <c r="I125" t="n">
        <v>0</v>
      </c>
      <c r="J125" t="n">
        <v>0</v>
      </c>
      <c r="K125" t="n">
        <v>0</v>
      </c>
      <c r="L125" t="n">
        <v>0</v>
      </c>
      <c r="M125" t="n">
        <v>0</v>
      </c>
      <c r="N125" t="n">
        <v>0</v>
      </c>
      <c r="O125" t="n">
        <v>0</v>
      </c>
      <c r="P125" t="n">
        <v>0</v>
      </c>
      <c r="Q125" t="n">
        <v>0</v>
      </c>
      <c r="R125" s="2" t="inlineStr"/>
    </row>
    <row r="126" ht="15" customHeight="1">
      <c r="A126" t="inlineStr">
        <is>
          <t>A 3413-2023</t>
        </is>
      </c>
      <c r="B126" s="1" t="n">
        <v>44949</v>
      </c>
      <c r="C126" s="1" t="n">
        <v>46065</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27314-2021</t>
        </is>
      </c>
      <c r="B127" s="1" t="n">
        <v>44351.36537037037</v>
      </c>
      <c r="C127" s="1" t="n">
        <v>46065</v>
      </c>
      <c r="D127" t="inlineStr">
        <is>
          <t>VÄSTRA GÖTALANDS LÄN</t>
        </is>
      </c>
      <c r="E127" t="inlineStr">
        <is>
          <t>ALE</t>
        </is>
      </c>
      <c r="G127" t="n">
        <v>11.3</v>
      </c>
      <c r="H127" t="n">
        <v>0</v>
      </c>
      <c r="I127" t="n">
        <v>0</v>
      </c>
      <c r="J127" t="n">
        <v>0</v>
      </c>
      <c r="K127" t="n">
        <v>0</v>
      </c>
      <c r="L127" t="n">
        <v>0</v>
      </c>
      <c r="M127" t="n">
        <v>0</v>
      </c>
      <c r="N127" t="n">
        <v>0</v>
      </c>
      <c r="O127" t="n">
        <v>0</v>
      </c>
      <c r="P127" t="n">
        <v>0</v>
      </c>
      <c r="Q127" t="n">
        <v>0</v>
      </c>
      <c r="R127" s="2" t="inlineStr"/>
    </row>
    <row r="128" ht="15" customHeight="1">
      <c r="A128" t="inlineStr">
        <is>
          <t>A 20067-2023</t>
        </is>
      </c>
      <c r="B128" s="1" t="n">
        <v>45054</v>
      </c>
      <c r="C128" s="1" t="n">
        <v>46065</v>
      </c>
      <c r="D128" t="inlineStr">
        <is>
          <t>VÄSTRA GÖTALANDS LÄN</t>
        </is>
      </c>
      <c r="E128" t="inlineStr">
        <is>
          <t>ALE</t>
        </is>
      </c>
      <c r="G128" t="n">
        <v>0.4</v>
      </c>
      <c r="H128" t="n">
        <v>0</v>
      </c>
      <c r="I128" t="n">
        <v>0</v>
      </c>
      <c r="J128" t="n">
        <v>0</v>
      </c>
      <c r="K128" t="n">
        <v>0</v>
      </c>
      <c r="L128" t="n">
        <v>0</v>
      </c>
      <c r="M128" t="n">
        <v>0</v>
      </c>
      <c r="N128" t="n">
        <v>0</v>
      </c>
      <c r="O128" t="n">
        <v>0</v>
      </c>
      <c r="P128" t="n">
        <v>0</v>
      </c>
      <c r="Q128" t="n">
        <v>0</v>
      </c>
      <c r="R128" s="2" t="inlineStr"/>
    </row>
    <row r="129" ht="15" customHeight="1">
      <c r="A129" t="inlineStr">
        <is>
          <t>A 40074-2025</t>
        </is>
      </c>
      <c r="B129" s="1" t="n">
        <v>45894.44685185186</v>
      </c>
      <c r="C129" s="1" t="n">
        <v>46065</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1500-2024</t>
        </is>
      </c>
      <c r="B130" s="1" t="n">
        <v>45306</v>
      </c>
      <c r="C130" s="1" t="n">
        <v>46065</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13426-2025</t>
        </is>
      </c>
      <c r="B131" s="1" t="n">
        <v>45736.32780092592</v>
      </c>
      <c r="C131" s="1" t="n">
        <v>46065</v>
      </c>
      <c r="D131" t="inlineStr">
        <is>
          <t>VÄSTRA GÖTALANDS LÄN</t>
        </is>
      </c>
      <c r="E131" t="inlineStr">
        <is>
          <t>ALE</t>
        </is>
      </c>
      <c r="G131" t="n">
        <v>1.5</v>
      </c>
      <c r="H131" t="n">
        <v>0</v>
      </c>
      <c r="I131" t="n">
        <v>0</v>
      </c>
      <c r="J131" t="n">
        <v>0</v>
      </c>
      <c r="K131" t="n">
        <v>0</v>
      </c>
      <c r="L131" t="n">
        <v>0</v>
      </c>
      <c r="M131" t="n">
        <v>0</v>
      </c>
      <c r="N131" t="n">
        <v>0</v>
      </c>
      <c r="O131" t="n">
        <v>0</v>
      </c>
      <c r="P131" t="n">
        <v>0</v>
      </c>
      <c r="Q131" t="n">
        <v>0</v>
      </c>
      <c r="R131" s="2" t="inlineStr"/>
    </row>
    <row r="132" ht="15" customHeight="1">
      <c r="A132" t="inlineStr">
        <is>
          <t>A 6916-2023</t>
        </is>
      </c>
      <c r="B132" s="1" t="n">
        <v>44967.53349537037</v>
      </c>
      <c r="C132" s="1" t="n">
        <v>46065</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64199-2021</t>
        </is>
      </c>
      <c r="B133" s="1" t="n">
        <v>44510</v>
      </c>
      <c r="C133" s="1" t="n">
        <v>46065</v>
      </c>
      <c r="D133" t="inlineStr">
        <is>
          <t>VÄSTRA GÖTALANDS LÄN</t>
        </is>
      </c>
      <c r="E133" t="inlineStr">
        <is>
          <t>ALE</t>
        </is>
      </c>
      <c r="G133" t="n">
        <v>5.7</v>
      </c>
      <c r="H133" t="n">
        <v>0</v>
      </c>
      <c r="I133" t="n">
        <v>0</v>
      </c>
      <c r="J133" t="n">
        <v>0</v>
      </c>
      <c r="K133" t="n">
        <v>0</v>
      </c>
      <c r="L133" t="n">
        <v>0</v>
      </c>
      <c r="M133" t="n">
        <v>0</v>
      </c>
      <c r="N133" t="n">
        <v>0</v>
      </c>
      <c r="O133" t="n">
        <v>0</v>
      </c>
      <c r="P133" t="n">
        <v>0</v>
      </c>
      <c r="Q133" t="n">
        <v>0</v>
      </c>
      <c r="R133" s="2" t="inlineStr"/>
    </row>
    <row r="134" ht="15" customHeight="1">
      <c r="A134" t="inlineStr">
        <is>
          <t>A 15582-2025</t>
        </is>
      </c>
      <c r="B134" s="1" t="n">
        <v>45747.81394675926</v>
      </c>
      <c r="C134" s="1" t="n">
        <v>46065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46226-2025</t>
        </is>
      </c>
      <c r="B135" s="1" t="n">
        <v>45924</v>
      </c>
      <c r="C135" s="1" t="n">
        <v>46065</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46227-2025</t>
        </is>
      </c>
      <c r="B136" s="1" t="n">
        <v>45924.90386574074</v>
      </c>
      <c r="C136" s="1" t="n">
        <v>46065</v>
      </c>
      <c r="D136" t="inlineStr">
        <is>
          <t>VÄSTRA GÖTALANDS LÄN</t>
        </is>
      </c>
      <c r="E136" t="inlineStr">
        <is>
          <t>ALE</t>
        </is>
      </c>
      <c r="G136" t="n">
        <v>0.3</v>
      </c>
      <c r="H136" t="n">
        <v>0</v>
      </c>
      <c r="I136" t="n">
        <v>0</v>
      </c>
      <c r="J136" t="n">
        <v>0</v>
      </c>
      <c r="K136" t="n">
        <v>0</v>
      </c>
      <c r="L136" t="n">
        <v>0</v>
      </c>
      <c r="M136" t="n">
        <v>0</v>
      </c>
      <c r="N136" t="n">
        <v>0</v>
      </c>
      <c r="O136" t="n">
        <v>0</v>
      </c>
      <c r="P136" t="n">
        <v>0</v>
      </c>
      <c r="Q136" t="n">
        <v>0</v>
      </c>
      <c r="R136" s="2" t="inlineStr"/>
    </row>
    <row r="137" ht="15" customHeight="1">
      <c r="A137" t="inlineStr">
        <is>
          <t>A 47592-2025</t>
        </is>
      </c>
      <c r="B137" s="1" t="n">
        <v>45931.44649305556</v>
      </c>
      <c r="C137" s="1" t="n">
        <v>46065</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47593-2025</t>
        </is>
      </c>
      <c r="B138" s="1" t="n">
        <v>45931.4480787037</v>
      </c>
      <c r="C138" s="1" t="n">
        <v>46065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47728-2025</t>
        </is>
      </c>
      <c r="B139" s="1" t="n">
        <v>45931.63186342592</v>
      </c>
      <c r="C139" s="1" t="n">
        <v>46065</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46065</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1566-2022</t>
        </is>
      </c>
      <c r="B141" s="1" t="n">
        <v>44573</v>
      </c>
      <c r="C141" s="1" t="n">
        <v>46065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12445-2022</t>
        </is>
      </c>
      <c r="B142" s="1" t="n">
        <v>44638</v>
      </c>
      <c r="C142" s="1" t="n">
        <v>46065</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48213-2025</t>
        </is>
      </c>
      <c r="B143" s="1" t="n">
        <v>45933</v>
      </c>
      <c r="C143" s="1" t="n">
        <v>46065</v>
      </c>
      <c r="D143" t="inlineStr">
        <is>
          <t>VÄSTRA GÖTALANDS LÄN</t>
        </is>
      </c>
      <c r="E143" t="inlineStr">
        <is>
          <t>ALE</t>
        </is>
      </c>
      <c r="G143" t="n">
        <v>3.3</v>
      </c>
      <c r="H143" t="n">
        <v>0</v>
      </c>
      <c r="I143" t="n">
        <v>0</v>
      </c>
      <c r="J143" t="n">
        <v>0</v>
      </c>
      <c r="K143" t="n">
        <v>0</v>
      </c>
      <c r="L143" t="n">
        <v>0</v>
      </c>
      <c r="M143" t="n">
        <v>0</v>
      </c>
      <c r="N143" t="n">
        <v>0</v>
      </c>
      <c r="O143" t="n">
        <v>0</v>
      </c>
      <c r="P143" t="n">
        <v>0</v>
      </c>
      <c r="Q143" t="n">
        <v>0</v>
      </c>
      <c r="R143" s="2" t="inlineStr"/>
    </row>
    <row r="144" ht="15" customHeight="1">
      <c r="A144" t="inlineStr">
        <is>
          <t>A 48218-2025</t>
        </is>
      </c>
      <c r="B144" s="1" t="n">
        <v>45933</v>
      </c>
      <c r="C144" s="1" t="n">
        <v>46065</v>
      </c>
      <c r="D144" t="inlineStr">
        <is>
          <t>VÄSTRA GÖTALANDS LÄN</t>
        </is>
      </c>
      <c r="E144" t="inlineStr">
        <is>
          <t>ALE</t>
        </is>
      </c>
      <c r="G144" t="n">
        <v>1.4</v>
      </c>
      <c r="H144" t="n">
        <v>0</v>
      </c>
      <c r="I144" t="n">
        <v>0</v>
      </c>
      <c r="J144" t="n">
        <v>0</v>
      </c>
      <c r="K144" t="n">
        <v>0</v>
      </c>
      <c r="L144" t="n">
        <v>0</v>
      </c>
      <c r="M144" t="n">
        <v>0</v>
      </c>
      <c r="N144" t="n">
        <v>0</v>
      </c>
      <c r="O144" t="n">
        <v>0</v>
      </c>
      <c r="P144" t="n">
        <v>0</v>
      </c>
      <c r="Q144" t="n">
        <v>0</v>
      </c>
      <c r="R144" s="2" t="inlineStr"/>
    </row>
    <row r="145" ht="15" customHeight="1">
      <c r="A145" t="inlineStr">
        <is>
          <t>A 22946-2025</t>
        </is>
      </c>
      <c r="B145" s="1" t="n">
        <v>45790.48229166667</v>
      </c>
      <c r="C145" s="1" t="n">
        <v>46065</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50189-2025</t>
        </is>
      </c>
      <c r="B146" s="1" t="n">
        <v>45943.63476851852</v>
      </c>
      <c r="C146" s="1" t="n">
        <v>46065</v>
      </c>
      <c r="D146" t="inlineStr">
        <is>
          <t>VÄSTRA GÖTALANDS LÄN</t>
        </is>
      </c>
      <c r="E146" t="inlineStr">
        <is>
          <t>ALE</t>
        </is>
      </c>
      <c r="G146" t="n">
        <v>3</v>
      </c>
      <c r="H146" t="n">
        <v>0</v>
      </c>
      <c r="I146" t="n">
        <v>0</v>
      </c>
      <c r="J146" t="n">
        <v>0</v>
      </c>
      <c r="K146" t="n">
        <v>0</v>
      </c>
      <c r="L146" t="n">
        <v>0</v>
      </c>
      <c r="M146" t="n">
        <v>0</v>
      </c>
      <c r="N146" t="n">
        <v>0</v>
      </c>
      <c r="O146" t="n">
        <v>0</v>
      </c>
      <c r="P146" t="n">
        <v>0</v>
      </c>
      <c r="Q146" t="n">
        <v>0</v>
      </c>
      <c r="R146" s="2" t="inlineStr"/>
    </row>
    <row r="147" ht="15" customHeight="1">
      <c r="A147" t="inlineStr">
        <is>
          <t>A 4971-2024</t>
        </is>
      </c>
      <c r="B147" s="1" t="n">
        <v>45329</v>
      </c>
      <c r="C147" s="1" t="n">
        <v>46065</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50973-2025</t>
        </is>
      </c>
      <c r="B148" s="1" t="n">
        <v>45947.31263888889</v>
      </c>
      <c r="C148" s="1" t="n">
        <v>46065</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51976-2025</t>
        </is>
      </c>
      <c r="B149" s="1" t="n">
        <v>45952.56412037037</v>
      </c>
      <c r="C149" s="1" t="n">
        <v>46065</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37461-2024</t>
        </is>
      </c>
      <c r="B150" s="1" t="n">
        <v>45540.72516203704</v>
      </c>
      <c r="C150" s="1" t="n">
        <v>46065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52391-2025</t>
        </is>
      </c>
      <c r="B151" s="1" t="n">
        <v>45954.34305555555</v>
      </c>
      <c r="C151" s="1" t="n">
        <v>46065</v>
      </c>
      <c r="D151" t="inlineStr">
        <is>
          <t>VÄSTRA GÖTALANDS LÄN</t>
        </is>
      </c>
      <c r="E151" t="inlineStr">
        <is>
          <t>ALE</t>
        </is>
      </c>
      <c r="G151" t="n">
        <v>10.6</v>
      </c>
      <c r="H151" t="n">
        <v>0</v>
      </c>
      <c r="I151" t="n">
        <v>0</v>
      </c>
      <c r="J151" t="n">
        <v>0</v>
      </c>
      <c r="K151" t="n">
        <v>0</v>
      </c>
      <c r="L151" t="n">
        <v>0</v>
      </c>
      <c r="M151" t="n">
        <v>0</v>
      </c>
      <c r="N151" t="n">
        <v>0</v>
      </c>
      <c r="O151" t="n">
        <v>0</v>
      </c>
      <c r="P151" t="n">
        <v>0</v>
      </c>
      <c r="Q151" t="n">
        <v>0</v>
      </c>
      <c r="R151" s="2" t="inlineStr"/>
    </row>
    <row r="152" ht="15" customHeight="1">
      <c r="A152" t="inlineStr">
        <is>
          <t>A 52423-2025</t>
        </is>
      </c>
      <c r="B152" s="1" t="n">
        <v>45954.37650462963</v>
      </c>
      <c r="C152" s="1" t="n">
        <v>46065</v>
      </c>
      <c r="D152" t="inlineStr">
        <is>
          <t>VÄSTRA GÖTALANDS LÄN</t>
        </is>
      </c>
      <c r="E152" t="inlineStr">
        <is>
          <t>ALE</t>
        </is>
      </c>
      <c r="G152" t="n">
        <v>4.1</v>
      </c>
      <c r="H152" t="n">
        <v>0</v>
      </c>
      <c r="I152" t="n">
        <v>0</v>
      </c>
      <c r="J152" t="n">
        <v>0</v>
      </c>
      <c r="K152" t="n">
        <v>0</v>
      </c>
      <c r="L152" t="n">
        <v>0</v>
      </c>
      <c r="M152" t="n">
        <v>0</v>
      </c>
      <c r="N152" t="n">
        <v>0</v>
      </c>
      <c r="O152" t="n">
        <v>0</v>
      </c>
      <c r="P152" t="n">
        <v>0</v>
      </c>
      <c r="Q152" t="n">
        <v>0</v>
      </c>
      <c r="R152" s="2" t="inlineStr"/>
    </row>
    <row r="153" ht="15" customHeight="1">
      <c r="A153" t="inlineStr">
        <is>
          <t>A 25849-2025</t>
        </is>
      </c>
      <c r="B153" s="1" t="n">
        <v>45804</v>
      </c>
      <c r="C153" s="1" t="n">
        <v>46065</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25848-2025</t>
        </is>
      </c>
      <c r="B154" s="1" t="n">
        <v>45804</v>
      </c>
      <c r="C154" s="1" t="n">
        <v>46065</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25840-2025</t>
        </is>
      </c>
      <c r="B155" s="1" t="n">
        <v>45804</v>
      </c>
      <c r="C155" s="1" t="n">
        <v>46065</v>
      </c>
      <c r="D155" t="inlineStr">
        <is>
          <t>VÄSTRA GÖTALANDS LÄN</t>
        </is>
      </c>
      <c r="E155" t="inlineStr">
        <is>
          <t>ALE</t>
        </is>
      </c>
      <c r="G155" t="n">
        <v>3.8</v>
      </c>
      <c r="H155" t="n">
        <v>0</v>
      </c>
      <c r="I155" t="n">
        <v>0</v>
      </c>
      <c r="J155" t="n">
        <v>0</v>
      </c>
      <c r="K155" t="n">
        <v>0</v>
      </c>
      <c r="L155" t="n">
        <v>0</v>
      </c>
      <c r="M155" t="n">
        <v>0</v>
      </c>
      <c r="N155" t="n">
        <v>0</v>
      </c>
      <c r="O155" t="n">
        <v>0</v>
      </c>
      <c r="P155" t="n">
        <v>0</v>
      </c>
      <c r="Q155" t="n">
        <v>0</v>
      </c>
      <c r="R155" s="2" t="inlineStr"/>
    </row>
    <row r="156" ht="15" customHeight="1">
      <c r="A156" t="inlineStr">
        <is>
          <t>A 56905-2025</t>
        </is>
      </c>
      <c r="B156" s="1" t="n">
        <v>45978.57502314815</v>
      </c>
      <c r="C156" s="1" t="n">
        <v>46065</v>
      </c>
      <c r="D156" t="inlineStr">
        <is>
          <t>VÄSTRA GÖTALANDS LÄN</t>
        </is>
      </c>
      <c r="E156" t="inlineStr">
        <is>
          <t>ALE</t>
        </is>
      </c>
      <c r="G156" t="n">
        <v>5.2</v>
      </c>
      <c r="H156" t="n">
        <v>0</v>
      </c>
      <c r="I156" t="n">
        <v>0</v>
      </c>
      <c r="J156" t="n">
        <v>0</v>
      </c>
      <c r="K156" t="n">
        <v>0</v>
      </c>
      <c r="L156" t="n">
        <v>0</v>
      </c>
      <c r="M156" t="n">
        <v>0</v>
      </c>
      <c r="N156" t="n">
        <v>0</v>
      </c>
      <c r="O156" t="n">
        <v>0</v>
      </c>
      <c r="P156" t="n">
        <v>0</v>
      </c>
      <c r="Q156" t="n">
        <v>0</v>
      </c>
      <c r="R156" s="2" t="inlineStr"/>
    </row>
    <row r="157" ht="15" customHeight="1">
      <c r="A157" t="inlineStr">
        <is>
          <t>A 58414-2025</t>
        </is>
      </c>
      <c r="B157" s="1" t="n">
        <v>45985.57778935185</v>
      </c>
      <c r="C157" s="1" t="n">
        <v>46065</v>
      </c>
      <c r="D157" t="inlineStr">
        <is>
          <t>VÄSTRA GÖTALANDS LÄN</t>
        </is>
      </c>
      <c r="E157" t="inlineStr">
        <is>
          <t>ALE</t>
        </is>
      </c>
      <c r="G157" t="n">
        <v>4.3</v>
      </c>
      <c r="H157" t="n">
        <v>0</v>
      </c>
      <c r="I157" t="n">
        <v>0</v>
      </c>
      <c r="J157" t="n">
        <v>0</v>
      </c>
      <c r="K157" t="n">
        <v>0</v>
      </c>
      <c r="L157" t="n">
        <v>0</v>
      </c>
      <c r="M157" t="n">
        <v>0</v>
      </c>
      <c r="N157" t="n">
        <v>0</v>
      </c>
      <c r="O157" t="n">
        <v>0</v>
      </c>
      <c r="P157" t="n">
        <v>0</v>
      </c>
      <c r="Q157" t="n">
        <v>0</v>
      </c>
      <c r="R157" s="2" t="inlineStr"/>
    </row>
    <row r="158" ht="15" customHeight="1">
      <c r="A158" t="inlineStr">
        <is>
          <t>A 31407-2025</t>
        </is>
      </c>
      <c r="B158" s="1" t="n">
        <v>45833</v>
      </c>
      <c r="C158" s="1" t="n">
        <v>46065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1291-2026</t>
        </is>
      </c>
      <c r="B159" s="1" t="n">
        <v>46031.50569444444</v>
      </c>
      <c r="C159" s="1" t="n">
        <v>46065</v>
      </c>
      <c r="D159" t="inlineStr">
        <is>
          <t>VÄSTRA GÖTALANDS LÄN</t>
        </is>
      </c>
      <c r="E159" t="inlineStr">
        <is>
          <t>ALE</t>
        </is>
      </c>
      <c r="G159" t="n">
        <v>0.9</v>
      </c>
      <c r="H159" t="n">
        <v>0</v>
      </c>
      <c r="I159" t="n">
        <v>0</v>
      </c>
      <c r="J159" t="n">
        <v>0</v>
      </c>
      <c r="K159" t="n">
        <v>0</v>
      </c>
      <c r="L159" t="n">
        <v>0</v>
      </c>
      <c r="M159" t="n">
        <v>0</v>
      </c>
      <c r="N159" t="n">
        <v>0</v>
      </c>
      <c r="O159" t="n">
        <v>0</v>
      </c>
      <c r="P159" t="n">
        <v>0</v>
      </c>
      <c r="Q159" t="n">
        <v>0</v>
      </c>
      <c r="R159" s="2" t="inlineStr"/>
    </row>
    <row r="160" ht="15" customHeight="1">
      <c r="A160" t="inlineStr">
        <is>
          <t>A 59409-2025</t>
        </is>
      </c>
      <c r="B160" s="1" t="n">
        <v>45989.49545138889</v>
      </c>
      <c r="C160" s="1" t="n">
        <v>46065</v>
      </c>
      <c r="D160" t="inlineStr">
        <is>
          <t>VÄSTRA GÖTALANDS LÄN</t>
        </is>
      </c>
      <c r="E160" t="inlineStr">
        <is>
          <t>ALE</t>
        </is>
      </c>
      <c r="G160" t="n">
        <v>0.3</v>
      </c>
      <c r="H160" t="n">
        <v>0</v>
      </c>
      <c r="I160" t="n">
        <v>0</v>
      </c>
      <c r="J160" t="n">
        <v>0</v>
      </c>
      <c r="K160" t="n">
        <v>0</v>
      </c>
      <c r="L160" t="n">
        <v>0</v>
      </c>
      <c r="M160" t="n">
        <v>0</v>
      </c>
      <c r="N160" t="n">
        <v>0</v>
      </c>
      <c r="O160" t="n">
        <v>0</v>
      </c>
      <c r="P160" t="n">
        <v>0</v>
      </c>
      <c r="Q160" t="n">
        <v>0</v>
      </c>
      <c r="R160" s="2" t="inlineStr"/>
    </row>
    <row r="161" ht="15" customHeight="1">
      <c r="A161" t="inlineStr">
        <is>
          <t>A 60287-2025</t>
        </is>
      </c>
      <c r="B161" s="1" t="n">
        <v>45994.64711805555</v>
      </c>
      <c r="C161" s="1" t="n">
        <v>46065</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2414-2026</t>
        </is>
      </c>
      <c r="B162" s="1" t="n">
        <v>46036.74319444445</v>
      </c>
      <c r="C162" s="1" t="n">
        <v>46065</v>
      </c>
      <c r="D162" t="inlineStr">
        <is>
          <t>VÄSTRA GÖTALANDS LÄN</t>
        </is>
      </c>
      <c r="E162" t="inlineStr">
        <is>
          <t>ALE</t>
        </is>
      </c>
      <c r="G162" t="n">
        <v>3.3</v>
      </c>
      <c r="H162" t="n">
        <v>0</v>
      </c>
      <c r="I162" t="n">
        <v>0</v>
      </c>
      <c r="J162" t="n">
        <v>0</v>
      </c>
      <c r="K162" t="n">
        <v>0</v>
      </c>
      <c r="L162" t="n">
        <v>0</v>
      </c>
      <c r="M162" t="n">
        <v>0</v>
      </c>
      <c r="N162" t="n">
        <v>0</v>
      </c>
      <c r="O162" t="n">
        <v>0</v>
      </c>
      <c r="P162" t="n">
        <v>0</v>
      </c>
      <c r="Q162" t="n">
        <v>0</v>
      </c>
      <c r="R162" s="2" t="inlineStr"/>
    </row>
    <row r="163" ht="15" customHeight="1">
      <c r="A163" t="inlineStr">
        <is>
          <t>A 3261-2026</t>
        </is>
      </c>
      <c r="B163" s="1" t="n">
        <v>46041.5952662037</v>
      </c>
      <c r="C163" s="1" t="n">
        <v>46065</v>
      </c>
      <c r="D163" t="inlineStr">
        <is>
          <t>VÄSTRA GÖTALANDS LÄN</t>
        </is>
      </c>
      <c r="E163" t="inlineStr">
        <is>
          <t>ALE</t>
        </is>
      </c>
      <c r="G163" t="n">
        <v>3.4</v>
      </c>
      <c r="H163" t="n">
        <v>0</v>
      </c>
      <c r="I163" t="n">
        <v>0</v>
      </c>
      <c r="J163" t="n">
        <v>0</v>
      </c>
      <c r="K163" t="n">
        <v>0</v>
      </c>
      <c r="L163" t="n">
        <v>0</v>
      </c>
      <c r="M163" t="n">
        <v>0</v>
      </c>
      <c r="N163" t="n">
        <v>0</v>
      </c>
      <c r="O163" t="n">
        <v>0</v>
      </c>
      <c r="P163" t="n">
        <v>0</v>
      </c>
      <c r="Q163" t="n">
        <v>0</v>
      </c>
      <c r="R163" s="2" t="inlineStr"/>
    </row>
    <row r="164" ht="15" customHeight="1">
      <c r="A164" t="inlineStr">
        <is>
          <t>A 61744-2025</t>
        </is>
      </c>
      <c r="B164" s="1" t="n">
        <v>46002.60298611111</v>
      </c>
      <c r="C164" s="1" t="n">
        <v>46065</v>
      </c>
      <c r="D164" t="inlineStr">
        <is>
          <t>VÄSTRA GÖTALANDS LÄN</t>
        </is>
      </c>
      <c r="E164" t="inlineStr">
        <is>
          <t>ALE</t>
        </is>
      </c>
      <c r="G164" t="n">
        <v>3.1</v>
      </c>
      <c r="H164" t="n">
        <v>0</v>
      </c>
      <c r="I164" t="n">
        <v>0</v>
      </c>
      <c r="J164" t="n">
        <v>0</v>
      </c>
      <c r="K164" t="n">
        <v>0</v>
      </c>
      <c r="L164" t="n">
        <v>0</v>
      </c>
      <c r="M164" t="n">
        <v>0</v>
      </c>
      <c r="N164" t="n">
        <v>0</v>
      </c>
      <c r="O164" t="n">
        <v>0</v>
      </c>
      <c r="P164" t="n">
        <v>0</v>
      </c>
      <c r="Q164" t="n">
        <v>0</v>
      </c>
      <c r="R164" s="2" t="inlineStr"/>
    </row>
    <row r="165" ht="15" customHeight="1">
      <c r="A165" t="inlineStr">
        <is>
          <t>A 61771-2025</t>
        </is>
      </c>
      <c r="B165" s="1" t="n">
        <v>46002.6478587963</v>
      </c>
      <c r="C165" s="1" t="n">
        <v>46065</v>
      </c>
      <c r="D165" t="inlineStr">
        <is>
          <t>VÄSTRA GÖTALANDS LÄN</t>
        </is>
      </c>
      <c r="E165" t="inlineStr">
        <is>
          <t>ALE</t>
        </is>
      </c>
      <c r="G165" t="n">
        <v>3.9</v>
      </c>
      <c r="H165" t="n">
        <v>0</v>
      </c>
      <c r="I165" t="n">
        <v>0</v>
      </c>
      <c r="J165" t="n">
        <v>0</v>
      </c>
      <c r="K165" t="n">
        <v>0</v>
      </c>
      <c r="L165" t="n">
        <v>0</v>
      </c>
      <c r="M165" t="n">
        <v>0</v>
      </c>
      <c r="N165" t="n">
        <v>0</v>
      </c>
      <c r="O165" t="n">
        <v>0</v>
      </c>
      <c r="P165" t="n">
        <v>0</v>
      </c>
      <c r="Q165" t="n">
        <v>0</v>
      </c>
      <c r="R165" s="2" t="inlineStr"/>
    </row>
    <row r="166" ht="15" customHeight="1">
      <c r="A166" t="inlineStr">
        <is>
          <t>A 61819-2025</t>
        </is>
      </c>
      <c r="B166" s="1" t="n">
        <v>46003.3241087963</v>
      </c>
      <c r="C166" s="1" t="n">
        <v>46065</v>
      </c>
      <c r="D166" t="inlineStr">
        <is>
          <t>VÄSTRA GÖTALANDS LÄN</t>
        </is>
      </c>
      <c r="E166" t="inlineStr">
        <is>
          <t>ALE</t>
        </is>
      </c>
      <c r="G166" t="n">
        <v>5.1</v>
      </c>
      <c r="H166" t="n">
        <v>0</v>
      </c>
      <c r="I166" t="n">
        <v>0</v>
      </c>
      <c r="J166" t="n">
        <v>0</v>
      </c>
      <c r="K166" t="n">
        <v>0</v>
      </c>
      <c r="L166" t="n">
        <v>0</v>
      </c>
      <c r="M166" t="n">
        <v>0</v>
      </c>
      <c r="N166" t="n">
        <v>0</v>
      </c>
      <c r="O166" t="n">
        <v>0</v>
      </c>
      <c r="P166" t="n">
        <v>0</v>
      </c>
      <c r="Q166" t="n">
        <v>0</v>
      </c>
      <c r="R166" s="2" t="inlineStr"/>
    </row>
    <row r="167" ht="15" customHeight="1">
      <c r="A167" t="inlineStr">
        <is>
          <t>A 62828-2025</t>
        </is>
      </c>
      <c r="B167" s="1" t="n">
        <v>46008.66553240741</v>
      </c>
      <c r="C167" s="1" t="n">
        <v>46065</v>
      </c>
      <c r="D167" t="inlineStr">
        <is>
          <t>VÄSTRA GÖTALANDS LÄN</t>
        </is>
      </c>
      <c r="E167" t="inlineStr">
        <is>
          <t>ALE</t>
        </is>
      </c>
      <c r="G167" t="n">
        <v>2.6</v>
      </c>
      <c r="H167" t="n">
        <v>0</v>
      </c>
      <c r="I167" t="n">
        <v>0</v>
      </c>
      <c r="J167" t="n">
        <v>0</v>
      </c>
      <c r="K167" t="n">
        <v>0</v>
      </c>
      <c r="L167" t="n">
        <v>0</v>
      </c>
      <c r="M167" t="n">
        <v>0</v>
      </c>
      <c r="N167" t="n">
        <v>0</v>
      </c>
      <c r="O167" t="n">
        <v>0</v>
      </c>
      <c r="P167" t="n">
        <v>0</v>
      </c>
      <c r="Q167" t="n">
        <v>0</v>
      </c>
      <c r="R167" s="2" t="inlineStr"/>
    </row>
    <row r="168" ht="15" customHeight="1">
      <c r="A168" t="inlineStr">
        <is>
          <t>A 8956-2025</t>
        </is>
      </c>
      <c r="B168" s="1" t="n">
        <v>45713.46825231481</v>
      </c>
      <c r="C168" s="1" t="n">
        <v>46065</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6621-2026</t>
        </is>
      </c>
      <c r="B169" s="1" t="n">
        <v>46056.4970949074</v>
      </c>
      <c r="C169" s="1" t="n">
        <v>46065</v>
      </c>
      <c r="D169" t="inlineStr">
        <is>
          <t>VÄSTRA GÖTALANDS LÄN</t>
        </is>
      </c>
      <c r="E169" t="inlineStr">
        <is>
          <t>ALE</t>
        </is>
      </c>
      <c r="G169" t="n">
        <v>0.9</v>
      </c>
      <c r="H169" t="n">
        <v>0</v>
      </c>
      <c r="I169" t="n">
        <v>0</v>
      </c>
      <c r="J169" t="n">
        <v>0</v>
      </c>
      <c r="K169" t="n">
        <v>0</v>
      </c>
      <c r="L169" t="n">
        <v>0</v>
      </c>
      <c r="M169" t="n">
        <v>0</v>
      </c>
      <c r="N169" t="n">
        <v>0</v>
      </c>
      <c r="O169" t="n">
        <v>0</v>
      </c>
      <c r="P169" t="n">
        <v>0</v>
      </c>
      <c r="Q169" t="n">
        <v>0</v>
      </c>
      <c r="R169" s="2" t="inlineStr"/>
    </row>
    <row r="170" ht="15" customHeight="1">
      <c r="A170" t="inlineStr">
        <is>
          <t>A 8659-2025</t>
        </is>
      </c>
      <c r="B170" s="1" t="n">
        <v>45712</v>
      </c>
      <c r="C170" s="1" t="n">
        <v>46065</v>
      </c>
      <c r="D170" t="inlineStr">
        <is>
          <t>VÄSTRA GÖTALANDS LÄN</t>
        </is>
      </c>
      <c r="E170" t="inlineStr">
        <is>
          <t>ALE</t>
        </is>
      </c>
      <c r="G170" t="n">
        <v>5.7</v>
      </c>
      <c r="H170" t="n">
        <v>0</v>
      </c>
      <c r="I170" t="n">
        <v>0</v>
      </c>
      <c r="J170" t="n">
        <v>0</v>
      </c>
      <c r="K170" t="n">
        <v>0</v>
      </c>
      <c r="L170" t="n">
        <v>0</v>
      </c>
      <c r="M170" t="n">
        <v>0</v>
      </c>
      <c r="N170" t="n">
        <v>0</v>
      </c>
      <c r="O170" t="n">
        <v>0</v>
      </c>
      <c r="P170" t="n">
        <v>0</v>
      </c>
      <c r="Q170" t="n">
        <v>0</v>
      </c>
      <c r="R170" s="2" t="inlineStr"/>
    </row>
    <row r="171" ht="15" customHeight="1">
      <c r="A171" t="inlineStr">
        <is>
          <t>A 7296-2026</t>
        </is>
      </c>
      <c r="B171" s="1" t="n">
        <v>46058.64341435185</v>
      </c>
      <c r="C171" s="1" t="n">
        <v>46065</v>
      </c>
      <c r="D171" t="inlineStr">
        <is>
          <t>VÄSTRA GÖTALANDS LÄN</t>
        </is>
      </c>
      <c r="E171" t="inlineStr">
        <is>
          <t>ALE</t>
        </is>
      </c>
      <c r="G171" t="n">
        <v>7.2</v>
      </c>
      <c r="H171" t="n">
        <v>0</v>
      </c>
      <c r="I171" t="n">
        <v>0</v>
      </c>
      <c r="J171" t="n">
        <v>0</v>
      </c>
      <c r="K171" t="n">
        <v>0</v>
      </c>
      <c r="L171" t="n">
        <v>0</v>
      </c>
      <c r="M171" t="n">
        <v>0</v>
      </c>
      <c r="N171" t="n">
        <v>0</v>
      </c>
      <c r="O171" t="n">
        <v>0</v>
      </c>
      <c r="P171" t="n">
        <v>0</v>
      </c>
      <c r="Q171" t="n">
        <v>0</v>
      </c>
      <c r="R171" s="2" t="inlineStr"/>
    </row>
    <row r="172">
      <c r="A172" t="inlineStr">
        <is>
          <t>A 8111-2026</t>
        </is>
      </c>
      <c r="B172" s="1" t="n">
        <v>46062</v>
      </c>
      <c r="C172" s="1" t="n">
        <v>46065</v>
      </c>
      <c r="D172" t="inlineStr">
        <is>
          <t>VÄSTRA GÖTALANDS LÄN</t>
        </is>
      </c>
      <c r="E172" t="inlineStr">
        <is>
          <t>ALE</t>
        </is>
      </c>
      <c r="G172" t="n">
        <v>0.3</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2026-02-12T11:04:23Z</dcterms:created>
  <dcterms:modified xmlns:dcterms="http://purl.org/dc/terms/" xmlns:xsi="http://www.w3.org/2001/XMLSchema-instance" xsi:type="dcterms:W3CDTF">2026-02-12T11:04:23Z</dcterms:modified>
</cp:coreProperties>
</file>