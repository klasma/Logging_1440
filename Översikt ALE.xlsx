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45935</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45935</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45935</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45935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45935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45935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45935</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45935</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45935</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45935</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45935</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563-2024</t>
        </is>
      </c>
      <c r="B16" s="1" t="n">
        <v>45299</v>
      </c>
      <c r="C16" s="1" t="n">
        <v>45935</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24162-2025</t>
        </is>
      </c>
      <c r="B17" s="1" t="n">
        <v>45796.66684027778</v>
      </c>
      <c r="C17" s="1" t="n">
        <v>45935</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26491-2024</t>
        </is>
      </c>
      <c r="B18" s="1" t="n">
        <v>45469</v>
      </c>
      <c r="C18" s="1" t="n">
        <v>45935</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45935</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45935</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45935</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42660-2024</t>
        </is>
      </c>
      <c r="B22" s="1" t="n">
        <v>45566.33841435185</v>
      </c>
      <c r="C22" s="1" t="n">
        <v>45935</v>
      </c>
      <c r="D22" t="inlineStr">
        <is>
          <t>VÄSTRA GÖTALANDS LÄN</t>
        </is>
      </c>
      <c r="E22" t="inlineStr">
        <is>
          <t>ALE</t>
        </is>
      </c>
      <c r="G22" t="n">
        <v>2.5</v>
      </c>
      <c r="H22" t="n">
        <v>2</v>
      </c>
      <c r="I22" t="n">
        <v>0</v>
      </c>
      <c r="J22" t="n">
        <v>0</v>
      </c>
      <c r="K22" t="n">
        <v>0</v>
      </c>
      <c r="L22" t="n">
        <v>0</v>
      </c>
      <c r="M22" t="n">
        <v>0</v>
      </c>
      <c r="N22" t="n">
        <v>0</v>
      </c>
      <c r="O22" t="n">
        <v>0</v>
      </c>
      <c r="P22" t="n">
        <v>0</v>
      </c>
      <c r="Q22" t="n">
        <v>2</v>
      </c>
      <c r="R22" s="2" t="inlineStr">
        <is>
          <t>Mattlummer
Revlummer</t>
        </is>
      </c>
      <c r="S22">
        <f>HYPERLINK("https://klasma.github.io/Logging_1440/artfynd/A 42660-2024 artfynd.xlsx", "A 42660-2024")</f>
        <v/>
      </c>
      <c r="T22">
        <f>HYPERLINK("https://klasma.github.io/Logging_1440/kartor/A 42660-2024 karta.png", "A 42660-2024")</f>
        <v/>
      </c>
      <c r="V22">
        <f>HYPERLINK("https://klasma.github.io/Logging_1440/klagomål/A 42660-2024 FSC-klagomål.docx", "A 42660-2024")</f>
        <v/>
      </c>
      <c r="W22">
        <f>HYPERLINK("https://klasma.github.io/Logging_1440/klagomålsmail/A 42660-2024 FSC-klagomål mail.docx", "A 42660-2024")</f>
        <v/>
      </c>
      <c r="X22">
        <f>HYPERLINK("https://klasma.github.io/Logging_1440/tillsyn/A 42660-2024 tillsynsbegäran.docx", "A 42660-2024")</f>
        <v/>
      </c>
      <c r="Y22">
        <f>HYPERLINK("https://klasma.github.io/Logging_1440/tillsynsmail/A 42660-2024 tillsynsbegäran mail.docx", "A 42660-2024")</f>
        <v/>
      </c>
    </row>
    <row r="23" ht="15" customHeight="1">
      <c r="A23" t="inlineStr">
        <is>
          <t>A 58954-2022</t>
        </is>
      </c>
      <c r="B23" s="1" t="n">
        <v>44903</v>
      </c>
      <c r="C23" s="1" t="n">
        <v>45935</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63569-2023</t>
        </is>
      </c>
      <c r="B24" s="1" t="n">
        <v>45275</v>
      </c>
      <c r="C24" s="1" t="n">
        <v>45935</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8955-2025</t>
        </is>
      </c>
      <c r="B25" s="1" t="n">
        <v>45713.46528935185</v>
      </c>
      <c r="C25" s="1" t="n">
        <v>45935</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1503-2024</t>
        </is>
      </c>
      <c r="B26" s="1" t="n">
        <v>45306.35041666667</v>
      </c>
      <c r="C26" s="1" t="n">
        <v>45935</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45935</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45935</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45935</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45935</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45935</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45935</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12982-2024</t>
        </is>
      </c>
      <c r="B33" s="1" t="n">
        <v>45385.53569444444</v>
      </c>
      <c r="C33" s="1" t="n">
        <v>45935</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26677-2025</t>
        </is>
      </c>
      <c r="B34" s="1" t="n">
        <v>45810.42446759259</v>
      </c>
      <c r="C34" s="1" t="n">
        <v>45935</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12084-2025</t>
        </is>
      </c>
      <c r="B35" s="1" t="n">
        <v>45728.95387731482</v>
      </c>
      <c r="C35" s="1" t="n">
        <v>45935</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13902-2025</t>
        </is>
      </c>
      <c r="B36" s="1" t="n">
        <v>45737.63446759259</v>
      </c>
      <c r="C36" s="1" t="n">
        <v>45935</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26493-2024</t>
        </is>
      </c>
      <c r="B37" s="1" t="n">
        <v>45469</v>
      </c>
      <c r="C37" s="1" t="n">
        <v>45935</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21281-2021</t>
        </is>
      </c>
      <c r="B38" s="1" t="n">
        <v>44320.61850694445</v>
      </c>
      <c r="C38" s="1" t="n">
        <v>45935</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45935</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45935</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45935</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45935</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45935</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45935</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45935</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45935</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45935</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45935</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45935</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45935</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45935</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45935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45935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45935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45935</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45935</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45935</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45935</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45935</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45935</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45935</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45935</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45935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45935</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45935</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14458-2024</t>
        </is>
      </c>
      <c r="B67" s="1" t="n">
        <v>45394</v>
      </c>
      <c r="C67" s="1" t="n">
        <v>45935</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47087-2023</t>
        </is>
      </c>
      <c r="B68" s="1" t="n">
        <v>45196</v>
      </c>
      <c r="C68" s="1" t="n">
        <v>45935</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35148-2021</t>
        </is>
      </c>
      <c r="B69" s="1" t="n">
        <v>44384</v>
      </c>
      <c r="C69" s="1" t="n">
        <v>45935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42446-2023</t>
        </is>
      </c>
      <c r="B70" s="1" t="n">
        <v>45180</v>
      </c>
      <c r="C70" s="1" t="n">
        <v>45935</v>
      </c>
      <c r="D70" t="inlineStr">
        <is>
          <t>VÄSTRA GÖTALANDS LÄN</t>
        </is>
      </c>
      <c r="E70" t="inlineStr">
        <is>
          <t>ALE</t>
        </is>
      </c>
      <c r="G70" t="n">
        <v>0.8</v>
      </c>
      <c r="H70" t="n">
        <v>0</v>
      </c>
      <c r="I70" t="n">
        <v>0</v>
      </c>
      <c r="J70" t="n">
        <v>0</v>
      </c>
      <c r="K70" t="n">
        <v>0</v>
      </c>
      <c r="L70" t="n">
        <v>0</v>
      </c>
      <c r="M70" t="n">
        <v>0</v>
      </c>
      <c r="N70" t="n">
        <v>0</v>
      </c>
      <c r="O70" t="n">
        <v>0</v>
      </c>
      <c r="P70" t="n">
        <v>0</v>
      </c>
      <c r="Q70" t="n">
        <v>0</v>
      </c>
      <c r="R70" s="2" t="inlineStr"/>
    </row>
    <row r="71" ht="15" customHeight="1">
      <c r="A71" t="inlineStr">
        <is>
          <t>A 43732-2025</t>
        </is>
      </c>
      <c r="B71" s="1" t="n">
        <v>45912.43576388889</v>
      </c>
      <c r="C71" s="1" t="n">
        <v>45935</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27314-2021</t>
        </is>
      </c>
      <c r="B72" s="1" t="n">
        <v>44351.36537037037</v>
      </c>
      <c r="C72" s="1" t="n">
        <v>45935</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1822-2024</t>
        </is>
      </c>
      <c r="B73" s="1" t="n">
        <v>45307.6205787037</v>
      </c>
      <c r="C73" s="1" t="n">
        <v>45935</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45935</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33237-2024</t>
        </is>
      </c>
      <c r="B75" s="1" t="n">
        <v>45518.59173611111</v>
      </c>
      <c r="C75" s="1" t="n">
        <v>45935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12055-2022</t>
        </is>
      </c>
      <c r="B76" s="1" t="n">
        <v>44636</v>
      </c>
      <c r="C76" s="1" t="n">
        <v>45935</v>
      </c>
      <c r="D76" t="inlineStr">
        <is>
          <t>VÄSTRA GÖTALANDS LÄN</t>
        </is>
      </c>
      <c r="E76" t="inlineStr">
        <is>
          <t>ALE</t>
        </is>
      </c>
      <c r="G76" t="n">
        <v>0.2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45935</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3418-2023</t>
        </is>
      </c>
      <c r="B78" s="1" t="n">
        <v>44949.56182870371</v>
      </c>
      <c r="C78" s="1" t="n">
        <v>45935</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57473-2022</t>
        </is>
      </c>
      <c r="B79" s="1" t="n">
        <v>44896</v>
      </c>
      <c r="C79" s="1" t="n">
        <v>45935</v>
      </c>
      <c r="D79" t="inlineStr">
        <is>
          <t>VÄSTRA GÖTALANDS LÄN</t>
        </is>
      </c>
      <c r="E79" t="inlineStr">
        <is>
          <t>ALE</t>
        </is>
      </c>
      <c r="G79" t="n">
        <v>0.7</v>
      </c>
      <c r="H79" t="n">
        <v>0</v>
      </c>
      <c r="I79" t="n">
        <v>0</v>
      </c>
      <c r="J79" t="n">
        <v>0</v>
      </c>
      <c r="K79" t="n">
        <v>0</v>
      </c>
      <c r="L79" t="n">
        <v>0</v>
      </c>
      <c r="M79" t="n">
        <v>0</v>
      </c>
      <c r="N79" t="n">
        <v>0</v>
      </c>
      <c r="O79" t="n">
        <v>0</v>
      </c>
      <c r="P79" t="n">
        <v>0</v>
      </c>
      <c r="Q79" t="n">
        <v>0</v>
      </c>
      <c r="R79" s="2" t="inlineStr"/>
    </row>
    <row r="80" ht="15" customHeight="1">
      <c r="A80" t="inlineStr">
        <is>
          <t>A 64199-2021</t>
        </is>
      </c>
      <c r="B80" s="1" t="n">
        <v>44510</v>
      </c>
      <c r="C80" s="1" t="n">
        <v>45935</v>
      </c>
      <c r="D80" t="inlineStr">
        <is>
          <t>VÄSTRA GÖTALANDS LÄN</t>
        </is>
      </c>
      <c r="E80" t="inlineStr">
        <is>
          <t>ALE</t>
        </is>
      </c>
      <c r="G80" t="n">
        <v>5.7</v>
      </c>
      <c r="H80" t="n">
        <v>0</v>
      </c>
      <c r="I80" t="n">
        <v>0</v>
      </c>
      <c r="J80" t="n">
        <v>0</v>
      </c>
      <c r="K80" t="n">
        <v>0</v>
      </c>
      <c r="L80" t="n">
        <v>0</v>
      </c>
      <c r="M80" t="n">
        <v>0</v>
      </c>
      <c r="N80" t="n">
        <v>0</v>
      </c>
      <c r="O80" t="n">
        <v>0</v>
      </c>
      <c r="P80" t="n">
        <v>0</v>
      </c>
      <c r="Q80" t="n">
        <v>0</v>
      </c>
      <c r="R80" s="2" t="inlineStr"/>
    </row>
    <row r="81" ht="15" customHeight="1">
      <c r="A81" t="inlineStr">
        <is>
          <t>A 36763-2022</t>
        </is>
      </c>
      <c r="B81" s="1" t="n">
        <v>44805</v>
      </c>
      <c r="C81" s="1" t="n">
        <v>45935</v>
      </c>
      <c r="D81" t="inlineStr">
        <is>
          <t>VÄSTRA GÖTALANDS LÄN</t>
        </is>
      </c>
      <c r="E81" t="inlineStr">
        <is>
          <t>ALE</t>
        </is>
      </c>
      <c r="G81" t="n">
        <v>6.1</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45935</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67160-2021</t>
        </is>
      </c>
      <c r="B83" s="1" t="n">
        <v>44523</v>
      </c>
      <c r="C83" s="1" t="n">
        <v>45935</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46084-2025</t>
        </is>
      </c>
      <c r="B84" s="1" t="n">
        <v>45924.51282407407</v>
      </c>
      <c r="C84" s="1" t="n">
        <v>45935</v>
      </c>
      <c r="D84" t="inlineStr">
        <is>
          <t>VÄSTRA GÖTALANDS LÄN</t>
        </is>
      </c>
      <c r="E84" t="inlineStr">
        <is>
          <t>ALE</t>
        </is>
      </c>
      <c r="G84" t="n">
        <v>4.2</v>
      </c>
      <c r="H84" t="n">
        <v>0</v>
      </c>
      <c r="I84" t="n">
        <v>0</v>
      </c>
      <c r="J84" t="n">
        <v>0</v>
      </c>
      <c r="K84" t="n">
        <v>0</v>
      </c>
      <c r="L84" t="n">
        <v>0</v>
      </c>
      <c r="M84" t="n">
        <v>0</v>
      </c>
      <c r="N84" t="n">
        <v>0</v>
      </c>
      <c r="O84" t="n">
        <v>0</v>
      </c>
      <c r="P84" t="n">
        <v>0</v>
      </c>
      <c r="Q84" t="n">
        <v>0</v>
      </c>
      <c r="R84" s="2" t="inlineStr"/>
    </row>
    <row r="85" ht="15" customHeight="1">
      <c r="A85" t="inlineStr">
        <is>
          <t>A 15241-2025</t>
        </is>
      </c>
      <c r="B85" s="1" t="n">
        <v>45744.61255787037</v>
      </c>
      <c r="C85" s="1" t="n">
        <v>45935</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45935</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49680-2024</t>
        </is>
      </c>
      <c r="B87" s="1" t="n">
        <v>45596.66880787037</v>
      </c>
      <c r="C87" s="1" t="n">
        <v>45935</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34153-2024</t>
        </is>
      </c>
      <c r="B88" s="1" t="n">
        <v>45524.38400462963</v>
      </c>
      <c r="C88" s="1" t="n">
        <v>45935</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14731-2022</t>
        </is>
      </c>
      <c r="B89" s="1" t="n">
        <v>44656</v>
      </c>
      <c r="C89" s="1" t="n">
        <v>45935</v>
      </c>
      <c r="D89" t="inlineStr">
        <is>
          <t>VÄSTRA GÖTALANDS LÄN</t>
        </is>
      </c>
      <c r="E89" t="inlineStr">
        <is>
          <t>ALE</t>
        </is>
      </c>
      <c r="G89" t="n">
        <v>1.8</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45935</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1960-2024</t>
        </is>
      </c>
      <c r="B91" s="1" t="n">
        <v>45308.50962962963</v>
      </c>
      <c r="C91" s="1" t="n">
        <v>45935</v>
      </c>
      <c r="D91" t="inlineStr">
        <is>
          <t>VÄSTRA GÖTALANDS LÄN</t>
        </is>
      </c>
      <c r="E91" t="inlineStr">
        <is>
          <t>ALE</t>
        </is>
      </c>
      <c r="G91" t="n">
        <v>1.9</v>
      </c>
      <c r="H91" t="n">
        <v>0</v>
      </c>
      <c r="I91" t="n">
        <v>0</v>
      </c>
      <c r="J91" t="n">
        <v>0</v>
      </c>
      <c r="K91" t="n">
        <v>0</v>
      </c>
      <c r="L91" t="n">
        <v>0</v>
      </c>
      <c r="M91" t="n">
        <v>0</v>
      </c>
      <c r="N91" t="n">
        <v>0</v>
      </c>
      <c r="O91" t="n">
        <v>0</v>
      </c>
      <c r="P91" t="n">
        <v>0</v>
      </c>
      <c r="Q91" t="n">
        <v>0</v>
      </c>
      <c r="R91" s="2" t="inlineStr"/>
    </row>
    <row r="92" ht="15" customHeight="1">
      <c r="A92" t="inlineStr">
        <is>
          <t>A 41607-2022</t>
        </is>
      </c>
      <c r="B92" s="1" t="n">
        <v>44827.46658564815</v>
      </c>
      <c r="C92" s="1" t="n">
        <v>45935</v>
      </c>
      <c r="D92" t="inlineStr">
        <is>
          <t>VÄSTRA GÖTALANDS LÄN</t>
        </is>
      </c>
      <c r="E92" t="inlineStr">
        <is>
          <t>ALE</t>
        </is>
      </c>
      <c r="G92" t="n">
        <v>3.6</v>
      </c>
      <c r="H92" t="n">
        <v>0</v>
      </c>
      <c r="I92" t="n">
        <v>0</v>
      </c>
      <c r="J92" t="n">
        <v>0</v>
      </c>
      <c r="K92" t="n">
        <v>0</v>
      </c>
      <c r="L92" t="n">
        <v>0</v>
      </c>
      <c r="M92" t="n">
        <v>0</v>
      </c>
      <c r="N92" t="n">
        <v>0</v>
      </c>
      <c r="O92" t="n">
        <v>0</v>
      </c>
      <c r="P92" t="n">
        <v>0</v>
      </c>
      <c r="Q92" t="n">
        <v>0</v>
      </c>
      <c r="R92" s="2" t="inlineStr"/>
    </row>
    <row r="93" ht="15" customHeight="1">
      <c r="A93" t="inlineStr">
        <is>
          <t>A 15499-2022</t>
        </is>
      </c>
      <c r="B93" s="1" t="n">
        <v>44662</v>
      </c>
      <c r="C93" s="1" t="n">
        <v>45935</v>
      </c>
      <c r="D93" t="inlineStr">
        <is>
          <t>VÄSTRA GÖTALANDS LÄN</t>
        </is>
      </c>
      <c r="E93" t="inlineStr">
        <is>
          <t>ALE</t>
        </is>
      </c>
      <c r="G93" t="n">
        <v>4.7</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45935</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4642-2024</t>
        </is>
      </c>
      <c r="B95" s="1" t="n">
        <v>45328.43502314815</v>
      </c>
      <c r="C95" s="1" t="n">
        <v>45935</v>
      </c>
      <c r="D95" t="inlineStr">
        <is>
          <t>VÄSTRA GÖTALANDS LÄN</t>
        </is>
      </c>
      <c r="E95" t="inlineStr">
        <is>
          <t>ALE</t>
        </is>
      </c>
      <c r="G95" t="n">
        <v>7.1</v>
      </c>
      <c r="H95" t="n">
        <v>0</v>
      </c>
      <c r="I95" t="n">
        <v>0</v>
      </c>
      <c r="J95" t="n">
        <v>0</v>
      </c>
      <c r="K95" t="n">
        <v>0</v>
      </c>
      <c r="L95" t="n">
        <v>0</v>
      </c>
      <c r="M95" t="n">
        <v>0</v>
      </c>
      <c r="N95" t="n">
        <v>0</v>
      </c>
      <c r="O95" t="n">
        <v>0</v>
      </c>
      <c r="P95" t="n">
        <v>0</v>
      </c>
      <c r="Q95" t="n">
        <v>0</v>
      </c>
      <c r="R95" s="2" t="inlineStr"/>
    </row>
    <row r="96" ht="15" customHeight="1">
      <c r="A96" t="inlineStr">
        <is>
          <t>A 69325-2020</t>
        </is>
      </c>
      <c r="B96" s="1" t="n">
        <v>44193</v>
      </c>
      <c r="C96" s="1" t="n">
        <v>45935</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53476-2023</t>
        </is>
      </c>
      <c r="B97" s="1" t="n">
        <v>45230.33737268519</v>
      </c>
      <c r="C97" s="1" t="n">
        <v>45935</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55405-2021</t>
        </is>
      </c>
      <c r="B98" s="1" t="n">
        <v>44475.53733796296</v>
      </c>
      <c r="C98" s="1" t="n">
        <v>45935</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51164-2024</t>
        </is>
      </c>
      <c r="B99" s="1" t="n">
        <v>45603.5830787037</v>
      </c>
      <c r="C99" s="1" t="n">
        <v>45935</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3520-2022</t>
        </is>
      </c>
      <c r="B100" s="1" t="n">
        <v>44585.72818287037</v>
      </c>
      <c r="C100" s="1" t="n">
        <v>45935</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45935</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46226-2025</t>
        </is>
      </c>
      <c r="B102" s="1" t="n">
        <v>45924</v>
      </c>
      <c r="C102" s="1" t="n">
        <v>45935</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49955-2021</t>
        </is>
      </c>
      <c r="B103" s="1" t="n">
        <v>44456</v>
      </c>
      <c r="C103" s="1" t="n">
        <v>45935</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56493-2021</t>
        </is>
      </c>
      <c r="B104" s="1" t="n">
        <v>44480.57173611111</v>
      </c>
      <c r="C104" s="1" t="n">
        <v>45935</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45935</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5916-2023</t>
        </is>
      </c>
      <c r="B106" s="1" t="n">
        <v>44963</v>
      </c>
      <c r="C106" s="1" t="n">
        <v>45935</v>
      </c>
      <c r="D106" t="inlineStr">
        <is>
          <t>VÄSTRA GÖTALANDS LÄN</t>
        </is>
      </c>
      <c r="E106" t="inlineStr">
        <is>
          <t>ALE</t>
        </is>
      </c>
      <c r="G106" t="n">
        <v>4.2</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45935</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3457-2022</t>
        </is>
      </c>
      <c r="B108" s="1" t="n">
        <v>44585</v>
      </c>
      <c r="C108" s="1" t="n">
        <v>45935</v>
      </c>
      <c r="D108" t="inlineStr">
        <is>
          <t>VÄSTRA GÖTALANDS LÄN</t>
        </is>
      </c>
      <c r="E108" t="inlineStr">
        <is>
          <t>ALE</t>
        </is>
      </c>
      <c r="G108" t="n">
        <v>5.1</v>
      </c>
      <c r="H108" t="n">
        <v>0</v>
      </c>
      <c r="I108" t="n">
        <v>0</v>
      </c>
      <c r="J108" t="n">
        <v>0</v>
      </c>
      <c r="K108" t="n">
        <v>0</v>
      </c>
      <c r="L108" t="n">
        <v>0</v>
      </c>
      <c r="M108" t="n">
        <v>0</v>
      </c>
      <c r="N108" t="n">
        <v>0</v>
      </c>
      <c r="O108" t="n">
        <v>0</v>
      </c>
      <c r="P108" t="n">
        <v>0</v>
      </c>
      <c r="Q108" t="n">
        <v>0</v>
      </c>
      <c r="R108" s="2" t="inlineStr"/>
    </row>
    <row r="109" ht="15" customHeight="1">
      <c r="A109" t="inlineStr">
        <is>
          <t>A 17044-2025</t>
        </is>
      </c>
      <c r="B109" s="1" t="n">
        <v>45755.58891203703</v>
      </c>
      <c r="C109" s="1" t="n">
        <v>45935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45935</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45935</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47330-2025</t>
        </is>
      </c>
      <c r="B112" s="1" t="n">
        <v>45930.56170138889</v>
      </c>
      <c r="C112" s="1" t="n">
        <v>45935</v>
      </c>
      <c r="D112" t="inlineStr">
        <is>
          <t>VÄSTRA GÖTALANDS LÄN</t>
        </is>
      </c>
      <c r="E112" t="inlineStr">
        <is>
          <t>ALE</t>
        </is>
      </c>
      <c r="G112" t="n">
        <v>3.7</v>
      </c>
      <c r="H112" t="n">
        <v>0</v>
      </c>
      <c r="I112" t="n">
        <v>0</v>
      </c>
      <c r="J112" t="n">
        <v>0</v>
      </c>
      <c r="K112" t="n">
        <v>0</v>
      </c>
      <c r="L112" t="n">
        <v>0</v>
      </c>
      <c r="M112" t="n">
        <v>0</v>
      </c>
      <c r="N112" t="n">
        <v>0</v>
      </c>
      <c r="O112" t="n">
        <v>0</v>
      </c>
      <c r="P112" t="n">
        <v>0</v>
      </c>
      <c r="Q112" t="n">
        <v>0</v>
      </c>
      <c r="R112" s="2" t="inlineStr"/>
    </row>
    <row r="113" ht="15" customHeight="1">
      <c r="A113" t="inlineStr">
        <is>
          <t>A 47593-2025</t>
        </is>
      </c>
      <c r="B113" s="1" t="n">
        <v>45931.4480787037</v>
      </c>
      <c r="C113" s="1" t="n">
        <v>45935</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47592-2025</t>
        </is>
      </c>
      <c r="B114" s="1" t="n">
        <v>45931.44649305556</v>
      </c>
      <c r="C114" s="1" t="n">
        <v>45935</v>
      </c>
      <c r="D114" t="inlineStr">
        <is>
          <t>VÄSTRA GÖTALANDS LÄN</t>
        </is>
      </c>
      <c r="E114" t="inlineStr">
        <is>
          <t>ALE</t>
        </is>
      </c>
      <c r="G114" t="n">
        <v>0.6</v>
      </c>
      <c r="H114" t="n">
        <v>0</v>
      </c>
      <c r="I114" t="n">
        <v>0</v>
      </c>
      <c r="J114" t="n">
        <v>0</v>
      </c>
      <c r="K114" t="n">
        <v>0</v>
      </c>
      <c r="L114" t="n">
        <v>0</v>
      </c>
      <c r="M114" t="n">
        <v>0</v>
      </c>
      <c r="N114" t="n">
        <v>0</v>
      </c>
      <c r="O114" t="n">
        <v>0</v>
      </c>
      <c r="P114" t="n">
        <v>0</v>
      </c>
      <c r="Q114" t="n">
        <v>0</v>
      </c>
      <c r="R114" s="2" t="inlineStr"/>
    </row>
    <row r="115" ht="15" customHeight="1">
      <c r="A115" t="inlineStr">
        <is>
          <t>A 16601-2025</t>
        </is>
      </c>
      <c r="B115" s="1" t="n">
        <v>45753.53189814815</v>
      </c>
      <c r="C115" s="1" t="n">
        <v>45935</v>
      </c>
      <c r="D115" t="inlineStr">
        <is>
          <t>VÄSTRA GÖTALANDS LÄN</t>
        </is>
      </c>
      <c r="E115" t="inlineStr">
        <is>
          <t>ALE</t>
        </is>
      </c>
      <c r="G115" t="n">
        <v>1.7</v>
      </c>
      <c r="H115" t="n">
        <v>0</v>
      </c>
      <c r="I115" t="n">
        <v>0</v>
      </c>
      <c r="J115" t="n">
        <v>0</v>
      </c>
      <c r="K115" t="n">
        <v>0</v>
      </c>
      <c r="L115" t="n">
        <v>0</v>
      </c>
      <c r="M115" t="n">
        <v>0</v>
      </c>
      <c r="N115" t="n">
        <v>0</v>
      </c>
      <c r="O115" t="n">
        <v>0</v>
      </c>
      <c r="P115" t="n">
        <v>0</v>
      </c>
      <c r="Q115" t="n">
        <v>0</v>
      </c>
      <c r="R115" s="2" t="inlineStr"/>
    </row>
    <row r="116" ht="15" customHeight="1">
      <c r="A116" t="inlineStr">
        <is>
          <t>A 51564-2023</t>
        </is>
      </c>
      <c r="B116" s="1" t="n">
        <v>45222</v>
      </c>
      <c r="C116" s="1" t="n">
        <v>45935</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36403-2024</t>
        </is>
      </c>
      <c r="B117" s="1" t="n">
        <v>45535.69445601852</v>
      </c>
      <c r="C117" s="1" t="n">
        <v>45935</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47728-2025</t>
        </is>
      </c>
      <c r="B118" s="1" t="n">
        <v>45931.63186342592</v>
      </c>
      <c r="C118" s="1" t="n">
        <v>45935</v>
      </c>
      <c r="D118" t="inlineStr">
        <is>
          <t>VÄSTRA GÖTALANDS LÄN</t>
        </is>
      </c>
      <c r="E118" t="inlineStr">
        <is>
          <t>ALE</t>
        </is>
      </c>
      <c r="G118" t="n">
        <v>1.1</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45935</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45935</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50451-2024</t>
        </is>
      </c>
      <c r="B121" s="1" t="n">
        <v>45601.44248842593</v>
      </c>
      <c r="C121" s="1" t="n">
        <v>45935</v>
      </c>
      <c r="D121" t="inlineStr">
        <is>
          <t>VÄSTRA GÖTALANDS LÄN</t>
        </is>
      </c>
      <c r="E121" t="inlineStr">
        <is>
          <t>ALE</t>
        </is>
      </c>
      <c r="G121" t="n">
        <v>2.9</v>
      </c>
      <c r="H121" t="n">
        <v>0</v>
      </c>
      <c r="I121" t="n">
        <v>0</v>
      </c>
      <c r="J121" t="n">
        <v>0</v>
      </c>
      <c r="K121" t="n">
        <v>0</v>
      </c>
      <c r="L121" t="n">
        <v>0</v>
      </c>
      <c r="M121" t="n">
        <v>0</v>
      </c>
      <c r="N121" t="n">
        <v>0</v>
      </c>
      <c r="O121" t="n">
        <v>0</v>
      </c>
      <c r="P121" t="n">
        <v>0</v>
      </c>
      <c r="Q121" t="n">
        <v>0</v>
      </c>
      <c r="R121" s="2" t="inlineStr"/>
    </row>
    <row r="122" ht="15" customHeight="1">
      <c r="A122" t="inlineStr">
        <is>
          <t>A 15582-2025</t>
        </is>
      </c>
      <c r="B122" s="1" t="n">
        <v>45747.81394675926</v>
      </c>
      <c r="C122" s="1" t="n">
        <v>45935</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7892-2024</t>
        </is>
      </c>
      <c r="B123" s="1" t="n">
        <v>45350.40921296296</v>
      </c>
      <c r="C123" s="1" t="n">
        <v>45935</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45935</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45935</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72801-2021</t>
        </is>
      </c>
      <c r="B126" s="1" t="n">
        <v>44546</v>
      </c>
      <c r="C126" s="1" t="n">
        <v>45935</v>
      </c>
      <c r="D126" t="inlineStr">
        <is>
          <t>VÄSTRA GÖTALANDS LÄN</t>
        </is>
      </c>
      <c r="E126" t="inlineStr">
        <is>
          <t>ALE</t>
        </is>
      </c>
      <c r="F126" t="inlineStr">
        <is>
          <t>Naturvårdsverket</t>
        </is>
      </c>
      <c r="G126" t="n">
        <v>1.4</v>
      </c>
      <c r="H126" t="n">
        <v>0</v>
      </c>
      <c r="I126" t="n">
        <v>0</v>
      </c>
      <c r="J126" t="n">
        <v>0</v>
      </c>
      <c r="K126" t="n">
        <v>0</v>
      </c>
      <c r="L126" t="n">
        <v>0</v>
      </c>
      <c r="M126" t="n">
        <v>0</v>
      </c>
      <c r="N126" t="n">
        <v>0</v>
      </c>
      <c r="O126" t="n">
        <v>0</v>
      </c>
      <c r="P126" t="n">
        <v>0</v>
      </c>
      <c r="Q126" t="n">
        <v>0</v>
      </c>
      <c r="R126" s="2" t="inlineStr"/>
    </row>
    <row r="127" ht="15" customHeight="1">
      <c r="A127" t="inlineStr">
        <is>
          <t>A 4971-2024</t>
        </is>
      </c>
      <c r="B127" s="1" t="n">
        <v>45329</v>
      </c>
      <c r="C127" s="1" t="n">
        <v>45935</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22946-2025</t>
        </is>
      </c>
      <c r="B128" s="1" t="n">
        <v>45790.48229166667</v>
      </c>
      <c r="C128" s="1" t="n">
        <v>45935</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26083-2023</t>
        </is>
      </c>
      <c r="B129" s="1" t="n">
        <v>45091</v>
      </c>
      <c r="C129" s="1" t="n">
        <v>45935</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37461-2024</t>
        </is>
      </c>
      <c r="B130" s="1" t="n">
        <v>45540.72516203704</v>
      </c>
      <c r="C130" s="1" t="n">
        <v>45935</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16344-2023</t>
        </is>
      </c>
      <c r="B131" s="1" t="n">
        <v>45028</v>
      </c>
      <c r="C131" s="1" t="n">
        <v>45935</v>
      </c>
      <c r="D131" t="inlineStr">
        <is>
          <t>VÄSTRA GÖTALANDS LÄN</t>
        </is>
      </c>
      <c r="E131" t="inlineStr">
        <is>
          <t>ALE</t>
        </is>
      </c>
      <c r="G131" t="n">
        <v>6.6</v>
      </c>
      <c r="H131" t="n">
        <v>0</v>
      </c>
      <c r="I131" t="n">
        <v>0</v>
      </c>
      <c r="J131" t="n">
        <v>0</v>
      </c>
      <c r="K131" t="n">
        <v>0</v>
      </c>
      <c r="L131" t="n">
        <v>0</v>
      </c>
      <c r="M131" t="n">
        <v>0</v>
      </c>
      <c r="N131" t="n">
        <v>0</v>
      </c>
      <c r="O131" t="n">
        <v>0</v>
      </c>
      <c r="P131" t="n">
        <v>0</v>
      </c>
      <c r="Q131" t="n">
        <v>0</v>
      </c>
      <c r="R131" s="2" t="inlineStr"/>
    </row>
    <row r="132" ht="15" customHeight="1">
      <c r="A132" t="inlineStr">
        <is>
          <t>A 4363-2024</t>
        </is>
      </c>
      <c r="B132" s="1" t="n">
        <v>45325</v>
      </c>
      <c r="C132" s="1" t="n">
        <v>45935</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45988-2021</t>
        </is>
      </c>
      <c r="B133" s="1" t="n">
        <v>44441</v>
      </c>
      <c r="C133" s="1" t="n">
        <v>45935</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45935</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45935</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20067-2023</t>
        </is>
      </c>
      <c r="B136" s="1" t="n">
        <v>45054</v>
      </c>
      <c r="C136" s="1" t="n">
        <v>45935</v>
      </c>
      <c r="D136" t="inlineStr">
        <is>
          <t>VÄSTRA GÖTALANDS LÄN</t>
        </is>
      </c>
      <c r="E136" t="inlineStr">
        <is>
          <t>ALE</t>
        </is>
      </c>
      <c r="G136" t="n">
        <v>0.4</v>
      </c>
      <c r="H136" t="n">
        <v>0</v>
      </c>
      <c r="I136" t="n">
        <v>0</v>
      </c>
      <c r="J136" t="n">
        <v>0</v>
      </c>
      <c r="K136" t="n">
        <v>0</v>
      </c>
      <c r="L136" t="n">
        <v>0</v>
      </c>
      <c r="M136" t="n">
        <v>0</v>
      </c>
      <c r="N136" t="n">
        <v>0</v>
      </c>
      <c r="O136" t="n">
        <v>0</v>
      </c>
      <c r="P136" t="n">
        <v>0</v>
      </c>
      <c r="Q136" t="n">
        <v>0</v>
      </c>
      <c r="R136" s="2" t="inlineStr"/>
    </row>
    <row r="137" ht="15" customHeight="1">
      <c r="A137" t="inlineStr">
        <is>
          <t>A 25840-2025</t>
        </is>
      </c>
      <c r="B137" s="1" t="n">
        <v>45804</v>
      </c>
      <c r="C137" s="1" t="n">
        <v>45935</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18637-2023</t>
        </is>
      </c>
      <c r="B138" s="1" t="n">
        <v>45043</v>
      </c>
      <c r="C138" s="1" t="n">
        <v>45935</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59933-2023</t>
        </is>
      </c>
      <c r="B139" s="1" t="n">
        <v>45257</v>
      </c>
      <c r="C139" s="1" t="n">
        <v>45935</v>
      </c>
      <c r="D139" t="inlineStr">
        <is>
          <t>VÄSTRA GÖTALANDS LÄN</t>
        </is>
      </c>
      <c r="E139" t="inlineStr">
        <is>
          <t>ALE</t>
        </is>
      </c>
      <c r="G139" t="n">
        <v>2.7</v>
      </c>
      <c r="H139" t="n">
        <v>0</v>
      </c>
      <c r="I139" t="n">
        <v>0</v>
      </c>
      <c r="J139" t="n">
        <v>0</v>
      </c>
      <c r="K139" t="n">
        <v>0</v>
      </c>
      <c r="L139" t="n">
        <v>0</v>
      </c>
      <c r="M139" t="n">
        <v>0</v>
      </c>
      <c r="N139" t="n">
        <v>0</v>
      </c>
      <c r="O139" t="n">
        <v>0</v>
      </c>
      <c r="P139" t="n">
        <v>0</v>
      </c>
      <c r="Q139" t="n">
        <v>0</v>
      </c>
      <c r="R139" s="2" t="inlineStr"/>
    </row>
    <row r="140" ht="15" customHeight="1">
      <c r="A140" t="inlineStr">
        <is>
          <t>A 8659-2025</t>
        </is>
      </c>
      <c r="B140" s="1" t="n">
        <v>45712</v>
      </c>
      <c r="C140" s="1" t="n">
        <v>45935</v>
      </c>
      <c r="D140" t="inlineStr">
        <is>
          <t>VÄSTRA GÖTALANDS LÄN</t>
        </is>
      </c>
      <c r="E140" t="inlineStr">
        <is>
          <t>ALE</t>
        </is>
      </c>
      <c r="G140" t="n">
        <v>5.7</v>
      </c>
      <c r="H140" t="n">
        <v>0</v>
      </c>
      <c r="I140" t="n">
        <v>0</v>
      </c>
      <c r="J140" t="n">
        <v>0</v>
      </c>
      <c r="K140" t="n">
        <v>0</v>
      </c>
      <c r="L140" t="n">
        <v>0</v>
      </c>
      <c r="M140" t="n">
        <v>0</v>
      </c>
      <c r="N140" t="n">
        <v>0</v>
      </c>
      <c r="O140" t="n">
        <v>0</v>
      </c>
      <c r="P140" t="n">
        <v>0</v>
      </c>
      <c r="Q140" t="n">
        <v>0</v>
      </c>
      <c r="R140" s="2" t="inlineStr"/>
    </row>
    <row r="141" ht="15" customHeight="1">
      <c r="A141" t="inlineStr">
        <is>
          <t>A 5344-2024</t>
        </is>
      </c>
      <c r="B141" s="1" t="n">
        <v>45331</v>
      </c>
      <c r="C141" s="1" t="n">
        <v>45935</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45935</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29373-2025</t>
        </is>
      </c>
      <c r="B143" s="1" t="n">
        <v>45824.579375</v>
      </c>
      <c r="C143" s="1" t="n">
        <v>45935</v>
      </c>
      <c r="D143" t="inlineStr">
        <is>
          <t>VÄSTRA GÖTALANDS LÄN</t>
        </is>
      </c>
      <c r="E143" t="inlineStr">
        <is>
          <t>ALE</t>
        </is>
      </c>
      <c r="G143" t="n">
        <v>4.6</v>
      </c>
      <c r="H143" t="n">
        <v>0</v>
      </c>
      <c r="I143" t="n">
        <v>0</v>
      </c>
      <c r="J143" t="n">
        <v>0</v>
      </c>
      <c r="K143" t="n">
        <v>0</v>
      </c>
      <c r="L143" t="n">
        <v>0</v>
      </c>
      <c r="M143" t="n">
        <v>0</v>
      </c>
      <c r="N143" t="n">
        <v>0</v>
      </c>
      <c r="O143" t="n">
        <v>0</v>
      </c>
      <c r="P143" t="n">
        <v>0</v>
      </c>
      <c r="Q143" t="n">
        <v>0</v>
      </c>
      <c r="R143" s="2" t="inlineStr"/>
    </row>
    <row r="144" ht="15" customHeight="1">
      <c r="A144" t="inlineStr">
        <is>
          <t>A 13426-2025</t>
        </is>
      </c>
      <c r="B144" s="1" t="n">
        <v>45736.32780092592</v>
      </c>
      <c r="C144" s="1" t="n">
        <v>45935</v>
      </c>
      <c r="D144" t="inlineStr">
        <is>
          <t>VÄSTRA GÖTALANDS LÄN</t>
        </is>
      </c>
      <c r="E144" t="inlineStr">
        <is>
          <t>ALE</t>
        </is>
      </c>
      <c r="G144" t="n">
        <v>1.5</v>
      </c>
      <c r="H144" t="n">
        <v>0</v>
      </c>
      <c r="I144" t="n">
        <v>0</v>
      </c>
      <c r="J144" t="n">
        <v>0</v>
      </c>
      <c r="K144" t="n">
        <v>0</v>
      </c>
      <c r="L144" t="n">
        <v>0</v>
      </c>
      <c r="M144" t="n">
        <v>0</v>
      </c>
      <c r="N144" t="n">
        <v>0</v>
      </c>
      <c r="O144" t="n">
        <v>0</v>
      </c>
      <c r="P144" t="n">
        <v>0</v>
      </c>
      <c r="Q144" t="n">
        <v>0</v>
      </c>
      <c r="R144" s="2" t="inlineStr"/>
    </row>
    <row r="145" ht="15" customHeight="1">
      <c r="A145" t="inlineStr">
        <is>
          <t>A 13382-2025</t>
        </is>
      </c>
      <c r="B145" s="1" t="n">
        <v>45735.67928240741</v>
      </c>
      <c r="C145" s="1" t="n">
        <v>45935</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45935</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13903-2025</t>
        </is>
      </c>
      <c r="B147" s="1" t="n">
        <v>45737.63481481482</v>
      </c>
      <c r="C147" s="1" t="n">
        <v>45935</v>
      </c>
      <c r="D147" t="inlineStr">
        <is>
          <t>VÄSTRA GÖTALANDS LÄN</t>
        </is>
      </c>
      <c r="E147" t="inlineStr">
        <is>
          <t>ALE</t>
        </is>
      </c>
      <c r="G147" t="n">
        <v>0.5</v>
      </c>
      <c r="H147" t="n">
        <v>0</v>
      </c>
      <c r="I147" t="n">
        <v>0</v>
      </c>
      <c r="J147" t="n">
        <v>0</v>
      </c>
      <c r="K147" t="n">
        <v>0</v>
      </c>
      <c r="L147" t="n">
        <v>0</v>
      </c>
      <c r="M147" t="n">
        <v>0</v>
      </c>
      <c r="N147" t="n">
        <v>0</v>
      </c>
      <c r="O147" t="n">
        <v>0</v>
      </c>
      <c r="P147" t="n">
        <v>0</v>
      </c>
      <c r="Q147" t="n">
        <v>0</v>
      </c>
      <c r="R147" s="2" t="inlineStr"/>
    </row>
    <row r="148" ht="15" customHeight="1">
      <c r="A148" t="inlineStr">
        <is>
          <t>A 31407-2025</t>
        </is>
      </c>
      <c r="B148" s="1" t="n">
        <v>45833</v>
      </c>
      <c r="C148" s="1" t="n">
        <v>45935</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31409-2025</t>
        </is>
      </c>
      <c r="B149" s="1" t="n">
        <v>45833</v>
      </c>
      <c r="C149" s="1" t="n">
        <v>45935</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45935</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31488-2025</t>
        </is>
      </c>
      <c r="B151" s="1" t="n">
        <v>45833</v>
      </c>
      <c r="C151" s="1" t="n">
        <v>45935</v>
      </c>
      <c r="D151" t="inlineStr">
        <is>
          <t>VÄSTRA GÖTALANDS LÄN</t>
        </is>
      </c>
      <c r="E151" t="inlineStr">
        <is>
          <t>ALE</t>
        </is>
      </c>
      <c r="G151" t="n">
        <v>1.8</v>
      </c>
      <c r="H151" t="n">
        <v>0</v>
      </c>
      <c r="I151" t="n">
        <v>0</v>
      </c>
      <c r="J151" t="n">
        <v>0</v>
      </c>
      <c r="K151" t="n">
        <v>0</v>
      </c>
      <c r="L151" t="n">
        <v>0</v>
      </c>
      <c r="M151" t="n">
        <v>0</v>
      </c>
      <c r="N151" t="n">
        <v>0</v>
      </c>
      <c r="O151" t="n">
        <v>0</v>
      </c>
      <c r="P151" t="n">
        <v>0</v>
      </c>
      <c r="Q151" t="n">
        <v>0</v>
      </c>
      <c r="R151" s="2" t="inlineStr"/>
    </row>
    <row r="152" ht="15" customHeight="1">
      <c r="A152" t="inlineStr">
        <is>
          <t>A 31533-2025</t>
        </is>
      </c>
      <c r="B152" s="1" t="n">
        <v>45833</v>
      </c>
      <c r="C152" s="1" t="n">
        <v>45935</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45935</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40074-2025</t>
        </is>
      </c>
      <c r="B154" s="1" t="n">
        <v>45894.44685185186</v>
      </c>
      <c r="C154" s="1" t="n">
        <v>45935</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35959-2022</t>
        </is>
      </c>
      <c r="B155" s="1" t="n">
        <v>44802.57002314815</v>
      </c>
      <c r="C155" s="1" t="n">
        <v>45935</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14493-2024</t>
        </is>
      </c>
      <c r="B156" s="1" t="n">
        <v>45394.58491898148</v>
      </c>
      <c r="C156" s="1" t="n">
        <v>45935</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1500-2024</t>
        </is>
      </c>
      <c r="B157" s="1" t="n">
        <v>45306</v>
      </c>
      <c r="C157" s="1" t="n">
        <v>45935</v>
      </c>
      <c r="D157" t="inlineStr">
        <is>
          <t>VÄSTRA GÖTALANDS LÄN</t>
        </is>
      </c>
      <c r="E157" t="inlineStr">
        <is>
          <t>ALE</t>
        </is>
      </c>
      <c r="G157" t="n">
        <v>1.3</v>
      </c>
      <c r="H157" t="n">
        <v>0</v>
      </c>
      <c r="I157" t="n">
        <v>0</v>
      </c>
      <c r="J157" t="n">
        <v>0</v>
      </c>
      <c r="K157" t="n">
        <v>0</v>
      </c>
      <c r="L157" t="n">
        <v>0</v>
      </c>
      <c r="M157" t="n">
        <v>0</v>
      </c>
      <c r="N157" t="n">
        <v>0</v>
      </c>
      <c r="O157" t="n">
        <v>0</v>
      </c>
      <c r="P157" t="n">
        <v>0</v>
      </c>
      <c r="Q157" t="n">
        <v>0</v>
      </c>
      <c r="R157" s="2" t="inlineStr"/>
    </row>
    <row r="158">
      <c r="A158" t="inlineStr">
        <is>
          <t>A 1687-2024</t>
        </is>
      </c>
      <c r="B158" s="1" t="n">
        <v>45306</v>
      </c>
      <c r="C158" s="1" t="n">
        <v>45935</v>
      </c>
      <c r="D158" t="inlineStr">
        <is>
          <t>VÄSTRA GÖTALANDS LÄN</t>
        </is>
      </c>
      <c r="E158" t="inlineStr">
        <is>
          <t>ALE</t>
        </is>
      </c>
      <c r="G158" t="n">
        <v>3.4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2025-10-05T12:40:10Z</dcterms:created>
  <dcterms:modified xmlns:dcterms="http://purl.org/dc/terms/" xmlns:xsi="http://www.w3.org/2001/XMLSchema-instance" xsi:type="dcterms:W3CDTF">2025-10-05T12:40:10Z</dcterms:modified>
</cp:coreProperties>
</file>