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46265</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46265</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46265</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46265</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46265</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46265</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46265</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46265</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46265</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46265</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46265</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46265</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46265</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46265</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46265</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46265</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47330-2025</t>
        </is>
      </c>
      <c r="B22" t="inlineStr">
        <is>
          <t>avverkningsanmälan</t>
        </is>
      </c>
      <c r="C22" t="inlineStr">
        <is>
          <t>Föryngringsavverkning</t>
        </is>
      </c>
      <c r="D22" s="1" t="n">
        <v>45930</v>
      </c>
      <c r="E22" s="1" t="n">
        <v>46265</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46265</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46265</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46265</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46265</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45986-2021</t>
        </is>
      </c>
      <c r="B27" t="inlineStr">
        <is>
          <t>avverkningsanmälan</t>
        </is>
      </c>
      <c r="C27" t="inlineStr">
        <is>
          <t>Föryngringsavverkning</t>
        </is>
      </c>
      <c r="D27" s="1" t="n">
        <v>44441</v>
      </c>
      <c r="E27" s="1" t="n">
        <v>46265</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2270-2025</t>
        </is>
      </c>
      <c r="B28" t="inlineStr">
        <is>
          <t>avverkningsanmälan</t>
        </is>
      </c>
      <c r="C28" t="inlineStr">
        <is>
          <t>Föryngringsavverkning</t>
        </is>
      </c>
      <c r="D28" s="1" t="n">
        <v>45673</v>
      </c>
      <c r="E28" s="1" t="n">
        <v>46265</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1503-2024</t>
        </is>
      </c>
      <c r="B29" t="inlineStr">
        <is>
          <t>avverkningsanmälan</t>
        </is>
      </c>
      <c r="C29" t="inlineStr">
        <is>
          <t>Föryngringsavverkning</t>
        </is>
      </c>
      <c r="D29" s="1" t="n">
        <v>45306</v>
      </c>
      <c r="E29" s="1" t="n">
        <v>46265</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13380-2025</t>
        </is>
      </c>
      <c r="B30" t="inlineStr">
        <is>
          <t>avverkningsanmälan</t>
        </is>
      </c>
      <c r="C30" t="inlineStr">
        <is>
          <t>Föryngringsavverkning</t>
        </is>
      </c>
      <c r="D30" s="1" t="n">
        <v>45735</v>
      </c>
      <c r="E30" s="1" t="n">
        <v>46265</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46265</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46265</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46265</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46265</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3413-2023</t>
        </is>
      </c>
      <c r="B35" t="inlineStr">
        <is>
          <t>avverkningsanmälan</t>
        </is>
      </c>
      <c r="C35" t="inlineStr">
        <is>
          <t>Föryngringsavverkning</t>
        </is>
      </c>
      <c r="D35" s="1" t="n">
        <v>44949</v>
      </c>
      <c r="E35" s="1" t="n">
        <v>46265</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t="n">
        <v>3</v>
      </c>
      <c r="V35" s="2" t="inlineStr">
        <is>
          <t>Vanlig padda
Revlummer</t>
        </is>
      </c>
      <c r="W35">
        <f>HYPERLINK("https://klasma.github.io/Logging_1440/artfynd/A 3413-2023 artfynd.xlsx", "A 3413-2023")</f>
        <v/>
      </c>
      <c r="X35">
        <f>HYPERLINK("https://klasma.github.io/Logging_1440/kartor/A 3413-2023 karta.png", "A 3413-2023")</f>
        <v/>
      </c>
      <c r="Y35">
        <f>HYPERLINK("https://klasma.github.io/Logging_1440/kartor_geotiff/A 3413-2023 georefererad karta.tif", "A 3413-2023")</f>
        <v/>
      </c>
      <c r="AA35">
        <f>HYPERLINK("https://klasma.github.io/Logging_1440/klagomål/A 3413-2023 FSC-klagomål.docx", "A 3413-2023")</f>
        <v/>
      </c>
      <c r="AB35">
        <f>HYPERLINK("https://klasma.github.io/Logging_1440/klagomålsmail/A 3413-2023 FSC-klagomål mail.docx", "A 3413-2023")</f>
        <v/>
      </c>
      <c r="AC35">
        <f>HYPERLINK("https://klasma.github.io/Logging_1440/tillsyn/A 3413-2023 tillsynsbegäran.docx", "A 3413-2023")</f>
        <v/>
      </c>
      <c r="AD35">
        <f>HYPERLINK("https://klasma.github.io/Logging_1440/tillsynsmail/A 3413-2023 tillsynsbegäran mail.docx", "A 3413-2023")</f>
        <v/>
      </c>
    </row>
    <row r="36" ht="15" customHeight="1">
      <c r="A36" t="inlineStr">
        <is>
          <t>A 63569-2023</t>
        </is>
      </c>
      <c r="B36" t="inlineStr">
        <is>
          <t>avverkningsanmälan</t>
        </is>
      </c>
      <c r="C36" t="inlineStr">
        <is>
          <t>Föryngringsavverkning</t>
        </is>
      </c>
      <c r="D36" s="1" t="n">
        <v>45275</v>
      </c>
      <c r="E36" s="1" t="n">
        <v>46265</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A 12982-2024</t>
        </is>
      </c>
      <c r="B37" t="inlineStr">
        <is>
          <t>avverkningsanmälan</t>
        </is>
      </c>
      <c r="C37" t="inlineStr">
        <is>
          <t>Föryngringsavverkning</t>
        </is>
      </c>
      <c r="D37" s="1" t="n">
        <v>45385</v>
      </c>
      <c r="E37" s="1" t="n">
        <v>46265</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46265</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46265</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52423-2025</t>
        </is>
      </c>
      <c r="B40" t="inlineStr">
        <is>
          <t>avverkningsanmälan</t>
        </is>
      </c>
      <c r="C40" t="inlineStr">
        <is>
          <t>Föryngringsavverkning</t>
        </is>
      </c>
      <c r="D40" s="1" t="n">
        <v>45954</v>
      </c>
      <c r="E40" s="1" t="n">
        <v>46265</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14493-2024</t>
        </is>
      </c>
      <c r="B41" t="inlineStr">
        <is>
          <t>avverkningsanmälan</t>
        </is>
      </c>
      <c r="C41" t="inlineStr">
        <is>
          <t>Föryngringsavverkning</t>
        </is>
      </c>
      <c r="D41" s="1" t="n">
        <v>45394</v>
      </c>
      <c r="E41" s="1" t="n">
        <v>46265</v>
      </c>
      <c r="F41" t="inlineStr">
        <is>
          <t>VÄSTRA GÖTALANDS LÄN</t>
        </is>
      </c>
      <c r="G41" t="inlineStr">
        <is>
          <t>ALE</t>
        </is>
      </c>
      <c r="I41" t="n">
        <v>2.3</v>
      </c>
      <c r="J41" t="n">
        <v>1</v>
      </c>
      <c r="K41" t="n">
        <v>0</v>
      </c>
      <c r="L41" t="n">
        <v>0</v>
      </c>
      <c r="M41" t="n">
        <v>0</v>
      </c>
      <c r="N41" t="n">
        <v>0</v>
      </c>
      <c r="O41" t="n">
        <v>0</v>
      </c>
      <c r="P41" t="n">
        <v>0</v>
      </c>
      <c r="Q41" t="n">
        <v>0</v>
      </c>
      <c r="R41" t="n">
        <v>0</v>
      </c>
      <c r="S41" t="n">
        <v>1</v>
      </c>
      <c r="T41" t="n">
        <v>1</v>
      </c>
      <c r="U41" t="n">
        <v>0</v>
      </c>
      <c r="V41" s="2" t="inlineStr">
        <is>
          <t>Orre</t>
        </is>
      </c>
      <c r="W41">
        <f>HYPERLINK("https://klasma.github.io/Logging_1440/artfynd/A 14493-2024 artfynd.xlsx", "A 14493-2024")</f>
        <v/>
      </c>
      <c r="X41">
        <f>HYPERLINK("https://klasma.github.io/Logging_1440/kartor/A 14493-2024 karta.png", "A 14493-2024")</f>
        <v/>
      </c>
      <c r="Y41">
        <f>HYPERLINK("https://klasma.github.io/Logging_1440/kartor_geotiff/A 14493-2024 georefererad karta.tif", "A 14493-2024")</f>
        <v/>
      </c>
      <c r="AA41">
        <f>HYPERLINK("https://klasma.github.io/Logging_1440/klagomål/A 14493-2024 FSC-klagomål.docx", "A 14493-2024")</f>
        <v/>
      </c>
      <c r="AB41">
        <f>HYPERLINK("https://klasma.github.io/Logging_1440/klagomålsmail/A 14493-2024 FSC-klagomål mail.docx", "A 14493-2024")</f>
        <v/>
      </c>
      <c r="AC41">
        <f>HYPERLINK("https://klasma.github.io/Logging_1440/tillsyn/A 14493-2024 tillsynsbegäran.docx", "A 14493-2024")</f>
        <v/>
      </c>
      <c r="AD41">
        <f>HYPERLINK("https://klasma.github.io/Logging_1440/tillsynsmail/A 14493-2024 tillsynsbegäran mail.docx", "A 14493-2024")</f>
        <v/>
      </c>
      <c r="AE41">
        <f>HYPERLINK("https://klasma.github.io/Logging_1440/fåglar/A 14493-2024 prioriterade fågelarter.docx", "A 14493-2024")</f>
        <v/>
      </c>
    </row>
    <row r="42" ht="15" customHeight="1">
      <c r="A42" t="inlineStr">
        <is>
          <t>A 26677-2025</t>
        </is>
      </c>
      <c r="B42" t="inlineStr">
        <is>
          <t>avverkningsanmälan</t>
        </is>
      </c>
      <c r="C42" t="inlineStr">
        <is>
          <t>Föryngringsavverkning</t>
        </is>
      </c>
      <c r="D42" s="1" t="n">
        <v>45810</v>
      </c>
      <c r="E42" s="1" t="n">
        <v>46265</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5344-2024</t>
        </is>
      </c>
      <c r="B43" t="inlineStr">
        <is>
          <t>avverkningsanmälan</t>
        </is>
      </c>
      <c r="C43" t="inlineStr">
        <is>
          <t>Föryngringsavverkning</t>
        </is>
      </c>
      <c r="D43" s="1" t="n">
        <v>45331</v>
      </c>
      <c r="E43" s="1" t="n">
        <v>46265</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46265</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62524-2025</t>
        </is>
      </c>
      <c r="B45" t="inlineStr">
        <is>
          <t>avverkningsanmälan</t>
        </is>
      </c>
      <c r="C45" t="inlineStr">
        <is>
          <t>Föryngringsavverkning</t>
        </is>
      </c>
      <c r="D45" s="1" t="n">
        <v>46007</v>
      </c>
      <c r="E45" s="1" t="n">
        <v>46265</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200-2022</t>
        </is>
      </c>
      <c r="B46" t="inlineStr">
        <is>
          <t>avverkningsanmälan</t>
        </is>
      </c>
      <c r="C46" t="inlineStr">
        <is>
          <t>Föryngringsavverkning</t>
        </is>
      </c>
      <c r="D46" s="1" t="n">
        <v>44564</v>
      </c>
      <c r="E46" s="1" t="n">
        <v>46265</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8659-2025</t>
        </is>
      </c>
      <c r="B47" t="inlineStr">
        <is>
          <t>avverkningsanmälan</t>
        </is>
      </c>
      <c r="C47" t="inlineStr">
        <is>
          <t>Föryngringsavverkning</t>
        </is>
      </c>
      <c r="D47" s="1" t="n">
        <v>45712</v>
      </c>
      <c r="E47" s="1" t="n">
        <v>46265</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41598-2022</t>
        </is>
      </c>
      <c r="B48" t="inlineStr">
        <is>
          <t>avverkningsanmälan</t>
        </is>
      </c>
      <c r="C48" t="inlineStr">
        <is>
          <t>Föryngringsavverkning</t>
        </is>
      </c>
      <c r="D48" s="1" t="n">
        <v>44827</v>
      </c>
      <c r="E48" s="1" t="n">
        <v>46265</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9783-2026</t>
        </is>
      </c>
      <c r="B49" t="inlineStr">
        <is>
          <t>avverkningsanmälan</t>
        </is>
      </c>
      <c r="C49" t="inlineStr">
        <is>
          <t>Föryngringsavverkning</t>
        </is>
      </c>
      <c r="D49" s="1" t="n">
        <v>46072</v>
      </c>
      <c r="E49" s="1" t="n">
        <v>46265</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26493-2024</t>
        </is>
      </c>
      <c r="B50" t="inlineStr">
        <is>
          <t>avverkningsanmälan</t>
        </is>
      </c>
      <c r="C50" t="inlineStr">
        <is>
          <t>Avverkning för annat ändamål</t>
        </is>
      </c>
      <c r="D50" s="1" t="n">
        <v>45469</v>
      </c>
      <c r="E50" s="1" t="n">
        <v>46265</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33237-2024</t>
        </is>
      </c>
      <c r="B51" t="inlineStr">
        <is>
          <t>avverkningsanmälan</t>
        </is>
      </c>
      <c r="C51" t="inlineStr">
        <is>
          <t>Föryngringsavverkning</t>
        </is>
      </c>
      <c r="D51" s="1" t="n">
        <v>45518</v>
      </c>
      <c r="E51" s="1" t="n">
        <v>46265</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4363-2024</t>
        </is>
      </c>
      <c r="B52" t="inlineStr">
        <is>
          <t>avverkningsanmälan</t>
        </is>
      </c>
      <c r="C52" t="inlineStr">
        <is>
          <t>Avverkning för annat ändamål</t>
        </is>
      </c>
      <c r="D52" s="1" t="n">
        <v>45325</v>
      </c>
      <c r="E52" s="1" t="n">
        <v>46265</v>
      </c>
      <c r="F52" t="inlineStr">
        <is>
          <t>VÄSTRA GÖTALANDS LÄN</t>
        </is>
      </c>
      <c r="G52" t="inlineStr">
        <is>
          <t>ALE</t>
        </is>
      </c>
      <c r="I52" t="n">
        <v>0.6</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HYPERLINK("https://klasma.github.io/Logging_1440/artfynd/A 4363-2024 artfynd.xlsx", "A 4363-2024")</f>
        <v/>
      </c>
      <c r="X52">
        <f>HYPERLINK("https://klasma.github.io/Logging_1440/kartor/A 4363-2024 karta.png", "A 4363-2024")</f>
        <v/>
      </c>
      <c r="Y52">
        <f>HYPERLINK("https://klasma.github.io/Logging_1440/kartor_geotiff/A 4363-2024 georefererad karta.tif", "A 4363-2024")</f>
        <v/>
      </c>
      <c r="AA52">
        <f>HYPERLINK("https://klasma.github.io/Logging_1440/klagomål/A 4363-2024 FSC-klagomål.docx", "A 4363-2024")</f>
        <v/>
      </c>
      <c r="AB52">
        <f>HYPERLINK("https://klasma.github.io/Logging_1440/klagomålsmail/A 4363-2024 FSC-klagomål mail.docx", "A 4363-2024")</f>
        <v/>
      </c>
      <c r="AC52">
        <f>HYPERLINK("https://klasma.github.io/Logging_1440/tillsyn/A 4363-2024 tillsynsbegäran.docx", "A 4363-2024")</f>
        <v/>
      </c>
      <c r="AD52">
        <f>HYPERLINK("https://klasma.github.io/Logging_1440/tillsynsmail/A 4363-2024 tillsynsbegäran mail.docx", "A 4363-2024")</f>
        <v/>
      </c>
      <c r="AE52">
        <f>HYPERLINK("https://klasma.github.io/Logging_1440/fåglar/A 4363-2024 prioriterade fågelarter.docx", "A 4363-2024")</f>
        <v/>
      </c>
    </row>
    <row r="53" ht="15" customHeight="1">
      <c r="A53" t="inlineStr">
        <is>
          <t>A 33142-2026</t>
        </is>
      </c>
      <c r="B53" t="inlineStr">
        <is>
          <t>avverkningsanmälan</t>
        </is>
      </c>
      <c r="C53" t="inlineStr">
        <is>
          <t>Föryngringsavverkning</t>
        </is>
      </c>
      <c r="D53" s="1" t="n">
        <v>46245</v>
      </c>
      <c r="E53" s="1" t="n">
        <v>46265</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S 1062-2023</t>
        </is>
      </c>
      <c r="B54" t="inlineStr">
        <is>
          <t>samrådsanmälan</t>
        </is>
      </c>
      <c r="C54" t="inlineStr">
        <is>
          <t>Annan skogsbruksåtgärd</t>
        </is>
      </c>
      <c r="D54" s="1" t="n">
        <v>45011</v>
      </c>
      <c r="E54" s="1" t="n">
        <v>46265</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46265</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46265</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46265</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46265</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46265</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46265</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46265</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46265</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46265</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46265</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46265</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46265</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51976-2025</t>
        </is>
      </c>
      <c r="B67" t="inlineStr">
        <is>
          <t>avverkningsanmälan</t>
        </is>
      </c>
      <c r="C67" t="inlineStr">
        <is>
          <t>Föryngringsavverkning</t>
        </is>
      </c>
      <c r="D67" s="1" t="n">
        <v>45952</v>
      </c>
      <c r="E67" s="1" t="n">
        <v>46265</v>
      </c>
      <c r="F67" t="inlineStr">
        <is>
          <t>VÄSTRA GÖTALANDS LÄN</t>
        </is>
      </c>
      <c r="G67" t="inlineStr">
        <is>
          <t>ALE</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36763-2022</t>
        </is>
      </c>
      <c r="B68" t="inlineStr">
        <is>
          <t>avverkningsanmälan</t>
        </is>
      </c>
      <c r="C68" t="inlineStr">
        <is>
          <t>Föryngringsavverkning</t>
        </is>
      </c>
      <c r="D68" s="1" t="n">
        <v>44805</v>
      </c>
      <c r="E68" s="1" t="n">
        <v>46265</v>
      </c>
      <c r="F68" t="inlineStr">
        <is>
          <t>VÄSTRA GÖTALANDS LÄN</t>
        </is>
      </c>
      <c r="G68" t="inlineStr">
        <is>
          <t>ALE</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22946-2025</t>
        </is>
      </c>
      <c r="B69" t="inlineStr">
        <is>
          <t>avverkningsanmälan</t>
        </is>
      </c>
      <c r="C69" t="inlineStr">
        <is>
          <t>Föryngringsavverkning</t>
        </is>
      </c>
      <c r="D69" s="1" t="n">
        <v>45790</v>
      </c>
      <c r="E69" s="1" t="n">
        <v>46265</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46265</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45988-2021</t>
        </is>
      </c>
      <c r="B71" t="inlineStr">
        <is>
          <t>avverkningsanmälan</t>
        </is>
      </c>
      <c r="C71" t="inlineStr">
        <is>
          <t>Föryngringsavverkning</t>
        </is>
      </c>
      <c r="D71" s="1" t="n">
        <v>44441</v>
      </c>
      <c r="E71" s="1" t="n">
        <v>46265</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5875-2023</t>
        </is>
      </c>
      <c r="B72" t="inlineStr">
        <is>
          <t>avverkningsanmälan</t>
        </is>
      </c>
      <c r="C72" t="inlineStr">
        <is>
          <t>Föryngringsavverkning</t>
        </is>
      </c>
      <c r="D72" s="1" t="n">
        <v>44963</v>
      </c>
      <c r="E72" s="1" t="n">
        <v>46265</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3407-2023</t>
        </is>
      </c>
      <c r="B73" t="inlineStr">
        <is>
          <t>avverkningsanmälan</t>
        </is>
      </c>
      <c r="C73" t="inlineStr">
        <is>
          <t>Föryngringsavverkning</t>
        </is>
      </c>
      <c r="D73" s="1" t="n">
        <v>44949</v>
      </c>
      <c r="E73" s="1" t="n">
        <v>46265</v>
      </c>
      <c r="F73" t="inlineStr">
        <is>
          <t>VÄSTRA GÖTALANDS LÄN</t>
        </is>
      </c>
      <c r="G73" t="inlineStr">
        <is>
          <t>ALE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4971-2024</t>
        </is>
      </c>
      <c r="B74" t="inlineStr">
        <is>
          <t>avverkningsanmälan</t>
        </is>
      </c>
      <c r="C74" t="inlineStr">
        <is>
          <t>Föryngringsavverkning</t>
        </is>
      </c>
      <c r="D74" s="1" t="n">
        <v>45329</v>
      </c>
      <c r="E74" s="1" t="n">
        <v>46265</v>
      </c>
      <c r="F74" t="inlineStr">
        <is>
          <t>VÄSTRA GÖTALANDS LÄN</t>
        </is>
      </c>
      <c r="G74" t="inlineStr">
        <is>
          <t>ALE</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46265</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56905-2025</t>
        </is>
      </c>
      <c r="B76" t="inlineStr">
        <is>
          <t>avverkningsanmälan</t>
        </is>
      </c>
      <c r="C76" t="inlineStr">
        <is>
          <t>Föryngringsavverkning</t>
        </is>
      </c>
      <c r="D76" s="1" t="n">
        <v>45978</v>
      </c>
      <c r="E76" s="1" t="n">
        <v>46265</v>
      </c>
      <c r="F76" t="inlineStr">
        <is>
          <t>VÄSTRA GÖTALANDS LÄN</t>
        </is>
      </c>
      <c r="G76" t="inlineStr">
        <is>
          <t>ALE</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46227-2025</t>
        </is>
      </c>
      <c r="B77" t="inlineStr">
        <is>
          <t>avverkningsanmälan</t>
        </is>
      </c>
      <c r="C77" t="inlineStr">
        <is>
          <t>Föryngringsavverkning</t>
        </is>
      </c>
      <c r="D77" s="1" t="n">
        <v>45924</v>
      </c>
      <c r="E77" s="1" t="n">
        <v>46265</v>
      </c>
      <c r="F77" t="inlineStr">
        <is>
          <t>VÄSTRA GÖTALANDS LÄN</t>
        </is>
      </c>
      <c r="G77" t="inlineStr">
        <is>
          <t>ALE</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36403-2024</t>
        </is>
      </c>
      <c r="B78" t="inlineStr">
        <is>
          <t>avverkningsanmälan</t>
        </is>
      </c>
      <c r="C78" t="inlineStr">
        <is>
          <t>Föryngringsavverkning</t>
        </is>
      </c>
      <c r="D78" s="1" t="n">
        <v>45535</v>
      </c>
      <c r="E78" s="1" t="n">
        <v>46265</v>
      </c>
      <c r="F78" t="inlineStr">
        <is>
          <t>VÄSTRA GÖTALANDS LÄN</t>
        </is>
      </c>
      <c r="G78" t="inlineStr">
        <is>
          <t>ALE</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55405-2021</t>
        </is>
      </c>
      <c r="B79" t="inlineStr">
        <is>
          <t>avverkningsanmälan</t>
        </is>
      </c>
      <c r="C79" t="inlineStr">
        <is>
          <t>Föryngringsavverkning</t>
        </is>
      </c>
      <c r="D79" s="1" t="n">
        <v>44475</v>
      </c>
      <c r="E79" s="1" t="n">
        <v>46265</v>
      </c>
      <c r="F79" t="inlineStr">
        <is>
          <t>VÄSTRA GÖTALANDS LÄN</t>
        </is>
      </c>
      <c r="G79" t="inlineStr">
        <is>
          <t>ALE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57473-2022</t>
        </is>
      </c>
      <c r="B80" t="inlineStr">
        <is>
          <t>avverkningsanmälan</t>
        </is>
      </c>
      <c r="C80" t="inlineStr">
        <is>
          <t>Föryngringsavverkning</t>
        </is>
      </c>
      <c r="D80" s="1" t="n">
        <v>44896</v>
      </c>
      <c r="E80" s="1" t="n">
        <v>46265</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1566-2022</t>
        </is>
      </c>
      <c r="B81" t="inlineStr">
        <is>
          <t>avverkningsanmälan</t>
        </is>
      </c>
      <c r="C81" t="inlineStr">
        <is>
          <t>Föryngringsavverkning</t>
        </is>
      </c>
      <c r="D81" s="1" t="n">
        <v>44573</v>
      </c>
      <c r="E81" s="1" t="n">
        <v>46265</v>
      </c>
      <c r="F81" t="inlineStr">
        <is>
          <t>VÄSTRA GÖTALANDS LÄN</t>
        </is>
      </c>
      <c r="G81" t="inlineStr">
        <is>
          <t>ALE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12445-2022</t>
        </is>
      </c>
      <c r="B82" t="inlineStr">
        <is>
          <t>avverkningsanmälan</t>
        </is>
      </c>
      <c r="C82" t="inlineStr">
        <is>
          <t>Föryngringsavverkning</t>
        </is>
      </c>
      <c r="D82" s="1" t="n">
        <v>44638</v>
      </c>
      <c r="E82" s="1" t="n">
        <v>46265</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31407-2025</t>
        </is>
      </c>
      <c r="B83" t="inlineStr">
        <is>
          <t>avverkningsanmälan</t>
        </is>
      </c>
      <c r="C83" t="inlineStr">
        <is>
          <t>Föryngringsavverkning</t>
        </is>
      </c>
      <c r="D83" s="1" t="n">
        <v>45833</v>
      </c>
      <c r="E83" s="1" t="n">
        <v>46265</v>
      </c>
      <c r="F83" t="inlineStr">
        <is>
          <t>VÄSTRA GÖTALANDS LÄN</t>
        </is>
      </c>
      <c r="G83" t="inlineStr">
        <is>
          <t>ALE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18637-2023</t>
        </is>
      </c>
      <c r="B84" t="inlineStr">
        <is>
          <t>avverkningsanmälan</t>
        </is>
      </c>
      <c r="C84" t="inlineStr">
        <is>
          <t>Föryngringsavverkning</t>
        </is>
      </c>
      <c r="D84" s="1" t="n">
        <v>45043</v>
      </c>
      <c r="E84" s="1" t="n">
        <v>46265</v>
      </c>
      <c r="F84" t="inlineStr">
        <is>
          <t>VÄSTRA GÖTALANDS LÄN</t>
        </is>
      </c>
      <c r="G84" t="inlineStr">
        <is>
          <t>ALE</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59933-2023</t>
        </is>
      </c>
      <c r="B85" t="inlineStr">
        <is>
          <t>avverkningsanmälan</t>
        </is>
      </c>
      <c r="C85" t="inlineStr">
        <is>
          <t>Föryngringsavverkning</t>
        </is>
      </c>
      <c r="D85" s="1" t="n">
        <v>45257</v>
      </c>
      <c r="E85" s="1" t="n">
        <v>46265</v>
      </c>
      <c r="F85" t="inlineStr">
        <is>
          <t>VÄSTRA GÖTALANDS LÄN</t>
        </is>
      </c>
      <c r="G85" t="inlineStr">
        <is>
          <t>ALE</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59409-2025</t>
        </is>
      </c>
      <c r="B86" t="inlineStr">
        <is>
          <t>avverkningsanmälan</t>
        </is>
      </c>
      <c r="C86" t="inlineStr">
        <is>
          <t>Föryngringsavverkning</t>
        </is>
      </c>
      <c r="D86" s="1" t="n">
        <v>45989</v>
      </c>
      <c r="E86" s="1" t="n">
        <v>46265</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60287-2025</t>
        </is>
      </c>
      <c r="B87" t="inlineStr">
        <is>
          <t>avverkningsanmälan</t>
        </is>
      </c>
      <c r="C87" t="inlineStr">
        <is>
          <t>Föryngringsavverkning</t>
        </is>
      </c>
      <c r="D87" s="1" t="n">
        <v>45994</v>
      </c>
      <c r="E87" s="1" t="n">
        <v>46265</v>
      </c>
      <c r="F87" t="inlineStr">
        <is>
          <t>VÄSTRA GÖTALANDS LÄN</t>
        </is>
      </c>
      <c r="G87" t="inlineStr">
        <is>
          <t>ALE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46265</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46265</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24642-2022</t>
        </is>
      </c>
      <c r="B90" t="inlineStr">
        <is>
          <t>avverkningsanmälan</t>
        </is>
      </c>
      <c r="C90" t="inlineStr">
        <is>
          <t>Föryngringsavverkning</t>
        </is>
      </c>
      <c r="D90" s="1" t="n">
        <v>44727</v>
      </c>
      <c r="E90" s="1" t="n">
        <v>46265</v>
      </c>
      <c r="F90" t="inlineStr">
        <is>
          <t>VÄSTRA GÖTALANDS LÄN</t>
        </is>
      </c>
      <c r="G90" t="inlineStr">
        <is>
          <t>ALE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61744-2025</t>
        </is>
      </c>
      <c r="B91" t="inlineStr">
        <is>
          <t>avverkningsanmälan</t>
        </is>
      </c>
      <c r="C91" t="inlineStr">
        <is>
          <t>Föryngringsavverkning</t>
        </is>
      </c>
      <c r="D91" s="1" t="n">
        <v>46002</v>
      </c>
      <c r="E91" s="1" t="n">
        <v>46265</v>
      </c>
      <c r="F91" t="inlineStr">
        <is>
          <t>VÄSTRA GÖTALANDS LÄN</t>
        </is>
      </c>
      <c r="G91" t="inlineStr">
        <is>
          <t>ALE</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61771-2025</t>
        </is>
      </c>
      <c r="B92" t="inlineStr">
        <is>
          <t>avverkningsanmälan</t>
        </is>
      </c>
      <c r="C92" t="inlineStr">
        <is>
          <t>Föryngringsavverkning</t>
        </is>
      </c>
      <c r="D92" s="1" t="n">
        <v>46002</v>
      </c>
      <c r="E92" s="1" t="n">
        <v>46265</v>
      </c>
      <c r="F92" t="inlineStr">
        <is>
          <t>VÄSTRA GÖTALANDS LÄN</t>
        </is>
      </c>
      <c r="G92" t="inlineStr">
        <is>
          <t>ALE</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13903-2025</t>
        </is>
      </c>
      <c r="B93" t="inlineStr">
        <is>
          <t>avverkningsanmälan</t>
        </is>
      </c>
      <c r="C93" t="inlineStr">
        <is>
          <t>Föryngringsavverkning</t>
        </is>
      </c>
      <c r="D93" s="1" t="n">
        <v>45737</v>
      </c>
      <c r="E93" s="1" t="n">
        <v>46265</v>
      </c>
      <c r="F93" t="inlineStr">
        <is>
          <t>VÄSTRA GÖTALANDS LÄN</t>
        </is>
      </c>
      <c r="G93" t="inlineStr">
        <is>
          <t>ALE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31409-2025</t>
        </is>
      </c>
      <c r="B94" t="inlineStr">
        <is>
          <t>avverkningsanmälan</t>
        </is>
      </c>
      <c r="C94" t="inlineStr">
        <is>
          <t>Föryngringsavverkning</t>
        </is>
      </c>
      <c r="D94" s="1" t="n">
        <v>45833</v>
      </c>
      <c r="E94" s="1" t="n">
        <v>46265</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31533-2025</t>
        </is>
      </c>
      <c r="B95" t="inlineStr">
        <is>
          <t>avverkningsanmälan</t>
        </is>
      </c>
      <c r="C95" t="inlineStr">
        <is>
          <t>Föryngringsavverkning</t>
        </is>
      </c>
      <c r="D95" s="1" t="n">
        <v>45833</v>
      </c>
      <c r="E95" s="1" t="n">
        <v>46265</v>
      </c>
      <c r="F95" t="inlineStr">
        <is>
          <t>VÄSTRA GÖTALANDS LÄN</t>
        </is>
      </c>
      <c r="G95" t="inlineStr">
        <is>
          <t>ALE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31488-2025</t>
        </is>
      </c>
      <c r="B96" t="inlineStr">
        <is>
          <t>avverkningsanmälan</t>
        </is>
      </c>
      <c r="C96" t="inlineStr">
        <is>
          <t>Föryngringsavverkning</t>
        </is>
      </c>
      <c r="D96" s="1" t="n">
        <v>45833</v>
      </c>
      <c r="E96" s="1" t="n">
        <v>46265</v>
      </c>
      <c r="F96" t="inlineStr">
        <is>
          <t>VÄSTRA GÖTALANDS LÄN</t>
        </is>
      </c>
      <c r="G96" t="inlineStr">
        <is>
          <t>ALE</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26083-2023</t>
        </is>
      </c>
      <c r="B97" t="inlineStr">
        <is>
          <t>avverkningsanmälan</t>
        </is>
      </c>
      <c r="C97" t="inlineStr">
        <is>
          <t>Föryngringsavverkning</t>
        </is>
      </c>
      <c r="D97" s="1" t="n">
        <v>45091</v>
      </c>
      <c r="E97" s="1" t="n">
        <v>46265</v>
      </c>
      <c r="F97" t="inlineStr">
        <is>
          <t>VÄSTRA GÖTALANDS LÄN</t>
        </is>
      </c>
      <c r="G97" t="inlineStr">
        <is>
          <t>ALE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49955-2021</t>
        </is>
      </c>
      <c r="B98" t="inlineStr">
        <is>
          <t>avverkningsanmälan</t>
        </is>
      </c>
      <c r="C98" t="inlineStr">
        <is>
          <t>Föryngringsavverkning</t>
        </is>
      </c>
      <c r="D98" s="1" t="n">
        <v>44456</v>
      </c>
      <c r="E98" s="1" t="n">
        <v>46265</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35959-2022</t>
        </is>
      </c>
      <c r="B99" t="inlineStr">
        <is>
          <t>avverkningsanmälan</t>
        </is>
      </c>
      <c r="C99" t="inlineStr">
        <is>
          <t>Föryngringsavverkning</t>
        </is>
      </c>
      <c r="D99" s="1" t="n">
        <v>44802</v>
      </c>
      <c r="E99" s="1" t="n">
        <v>46265</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17044-2025</t>
        </is>
      </c>
      <c r="B100" t="inlineStr">
        <is>
          <t>avverkningsanmälan</t>
        </is>
      </c>
      <c r="C100" t="inlineStr">
        <is>
          <t>Föryngringsavverkning</t>
        </is>
      </c>
      <c r="D100" s="1" t="n">
        <v>45755</v>
      </c>
      <c r="E100" s="1" t="n">
        <v>46265</v>
      </c>
      <c r="F100" t="inlineStr">
        <is>
          <t>VÄSTRA GÖTALANDS LÄN</t>
        </is>
      </c>
      <c r="G100" t="inlineStr">
        <is>
          <t>ALE</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48257-2022</t>
        </is>
      </c>
      <c r="B101" t="inlineStr">
        <is>
          <t>avverkningsanmälan</t>
        </is>
      </c>
      <c r="C101" t="inlineStr">
        <is>
          <t>Föryngringsavverkning</t>
        </is>
      </c>
      <c r="D101" s="1" t="n">
        <v>44858</v>
      </c>
      <c r="E101" s="1" t="n">
        <v>46265</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1687-2024</t>
        </is>
      </c>
      <c r="B102" t="inlineStr">
        <is>
          <t>avverkningsanmälan</t>
        </is>
      </c>
      <c r="C102" t="inlineStr">
        <is>
          <t>Föryngringsavverkning</t>
        </is>
      </c>
      <c r="D102" s="1" t="n">
        <v>45306</v>
      </c>
      <c r="E102" s="1" t="n">
        <v>46265</v>
      </c>
      <c r="F102" t="inlineStr">
        <is>
          <t>VÄSTRA GÖTALANDS LÄN</t>
        </is>
      </c>
      <c r="G102" t="inlineStr">
        <is>
          <t>ALE</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46265</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49680-2024</t>
        </is>
      </c>
      <c r="B104" t="inlineStr">
        <is>
          <t>avverkningsanmälan</t>
        </is>
      </c>
      <c r="C104" t="inlineStr">
        <is>
          <t>Föryngringsavverkning</t>
        </is>
      </c>
      <c r="D104" s="1" t="n">
        <v>45596</v>
      </c>
      <c r="E104" s="1" t="n">
        <v>46265</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6621-2026</t>
        </is>
      </c>
      <c r="B105" t="inlineStr">
        <is>
          <t>avverkningsanmälan</t>
        </is>
      </c>
      <c r="C105" t="inlineStr">
        <is>
          <t>Föryngringsavverkning</t>
        </is>
      </c>
      <c r="D105" s="1" t="n">
        <v>46056</v>
      </c>
      <c r="E105" s="1" t="n">
        <v>46265</v>
      </c>
      <c r="F105" t="inlineStr">
        <is>
          <t>VÄSTRA GÖTALANDS LÄN</t>
        </is>
      </c>
      <c r="G105" t="inlineStr">
        <is>
          <t>ALE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7296-2026</t>
        </is>
      </c>
      <c r="B106" t="inlineStr">
        <is>
          <t>avverkningsanmälan</t>
        </is>
      </c>
      <c r="C106" t="inlineStr">
        <is>
          <t>Föryngringsavverkning</t>
        </is>
      </c>
      <c r="D106" s="1" t="n">
        <v>46058</v>
      </c>
      <c r="E106" s="1" t="n">
        <v>46265</v>
      </c>
      <c r="F106" t="inlineStr">
        <is>
          <t>VÄSTRA GÖTALANDS LÄN</t>
        </is>
      </c>
      <c r="G106" t="inlineStr">
        <is>
          <t>ALE</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8110-2026</t>
        </is>
      </c>
      <c r="B107" t="inlineStr">
        <is>
          <t>avverkningsanmälan</t>
        </is>
      </c>
      <c r="C107" t="inlineStr">
        <is>
          <t>Föryngringsavverkning</t>
        </is>
      </c>
      <c r="D107" s="1" t="n">
        <v>46062</v>
      </c>
      <c r="E107" s="1" t="n">
        <v>46265</v>
      </c>
      <c r="F107" t="inlineStr">
        <is>
          <t>VÄSTRA GÖTALANDS LÄN</t>
        </is>
      </c>
      <c r="G107" t="inlineStr">
        <is>
          <t>ALE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7807-2023</t>
        </is>
      </c>
      <c r="B108" t="inlineStr">
        <is>
          <t>avverkningsanmälan</t>
        </is>
      </c>
      <c r="C108" t="inlineStr">
        <is>
          <t>Föryngringsavverkning</t>
        </is>
      </c>
      <c r="D108" s="1" t="n">
        <v>44973</v>
      </c>
      <c r="E108" s="1" t="n">
        <v>46265</v>
      </c>
      <c r="F108" t="inlineStr">
        <is>
          <t>VÄSTRA GÖTALANDS LÄN</t>
        </is>
      </c>
      <c r="G108" t="inlineStr">
        <is>
          <t>ALE</t>
        </is>
      </c>
      <c r="I108" t="n">
        <v>10.5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8112-2026</t>
        </is>
      </c>
      <c r="B109" t="inlineStr">
        <is>
          <t>avverkningsanmälan</t>
        </is>
      </c>
      <c r="C109" t="inlineStr">
        <is>
          <t>Föryngringsavverkning</t>
        </is>
      </c>
      <c r="D109" s="1" t="n">
        <v>46062</v>
      </c>
      <c r="E109" s="1" t="n">
        <v>46265</v>
      </c>
      <c r="F109" t="inlineStr">
        <is>
          <t>VÄSTRA GÖTALANDS LÄN</t>
        </is>
      </c>
      <c r="G109" t="inlineStr">
        <is>
          <t>ALE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46265</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8111-2026</t>
        </is>
      </c>
      <c r="B111" t="inlineStr">
        <is>
          <t>avverkningsanmälan</t>
        </is>
      </c>
      <c r="C111" t="inlineStr">
        <is>
          <t>Föryngringsavverkning</t>
        </is>
      </c>
      <c r="D111" s="1" t="n">
        <v>46062</v>
      </c>
      <c r="E111" s="1" t="n">
        <v>46265</v>
      </c>
      <c r="F111" t="inlineStr">
        <is>
          <t>VÄSTRA GÖTALANDS LÄN</t>
        </is>
      </c>
      <c r="G111" t="inlineStr">
        <is>
          <t>ALE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42446-2023</t>
        </is>
      </c>
      <c r="B112" t="inlineStr">
        <is>
          <t>avverkningsanmälan</t>
        </is>
      </c>
      <c r="C112" t="inlineStr">
        <is>
          <t>Föryngringsavverkning</t>
        </is>
      </c>
      <c r="D112" s="1" t="n">
        <v>45180</v>
      </c>
      <c r="E112" s="1" t="n">
        <v>46265</v>
      </c>
      <c r="F112" t="inlineStr">
        <is>
          <t>VÄSTRA GÖTALANDS LÄN</t>
        </is>
      </c>
      <c r="G112" t="inlineStr">
        <is>
          <t>ALE</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67160-2021</t>
        </is>
      </c>
      <c r="B113" t="inlineStr">
        <is>
          <t>avverkningsanmälan</t>
        </is>
      </c>
      <c r="C113" t="inlineStr">
        <is>
          <t>Föryngringsavverkning</t>
        </is>
      </c>
      <c r="D113" s="1" t="n">
        <v>44523</v>
      </c>
      <c r="E113" s="1" t="n">
        <v>46265</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16344-2023</t>
        </is>
      </c>
      <c r="B114" t="inlineStr">
        <is>
          <t>avverkningsanmälan</t>
        </is>
      </c>
      <c r="C114" t="inlineStr">
        <is>
          <t>Föryngringsavverkning</t>
        </is>
      </c>
      <c r="D114" s="1" t="n">
        <v>45028</v>
      </c>
      <c r="E114" s="1" t="n">
        <v>46265</v>
      </c>
      <c r="F114" t="inlineStr">
        <is>
          <t>VÄSTRA GÖTALANDS LÄN</t>
        </is>
      </c>
      <c r="G114" t="inlineStr">
        <is>
          <t>ALE</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32762-2023</t>
        </is>
      </c>
      <c r="B115" t="inlineStr">
        <is>
          <t>avverkningsanmälan</t>
        </is>
      </c>
      <c r="C115" t="inlineStr">
        <is>
          <t>Föryngringsavverkning</t>
        </is>
      </c>
      <c r="D115" s="1" t="n">
        <v>45123</v>
      </c>
      <c r="E115" s="1" t="n">
        <v>46265</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46265</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46265</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46265</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4642-2024</t>
        </is>
      </c>
      <c r="B119" t="inlineStr">
        <is>
          <t>avverkningsanmälan</t>
        </is>
      </c>
      <c r="C119" t="inlineStr">
        <is>
          <t>Föryngringsavverkning</t>
        </is>
      </c>
      <c r="D119" s="1" t="n">
        <v>45328</v>
      </c>
      <c r="E119" s="1" t="n">
        <v>46265</v>
      </c>
      <c r="F119" t="inlineStr">
        <is>
          <t>VÄSTRA GÖTALANDS LÄN</t>
        </is>
      </c>
      <c r="G119" t="inlineStr">
        <is>
          <t>ALE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14731-2022</t>
        </is>
      </c>
      <c r="B120" t="inlineStr">
        <is>
          <t>avverkningsanmälan</t>
        </is>
      </c>
      <c r="C120" t="inlineStr">
        <is>
          <t>Föryngringsavverkning</t>
        </is>
      </c>
      <c r="D120" s="1" t="n">
        <v>44656</v>
      </c>
      <c r="E120" s="1" t="n">
        <v>46265</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3520-2022</t>
        </is>
      </c>
      <c r="B121" t="inlineStr">
        <is>
          <t>avverkningsanmälan</t>
        </is>
      </c>
      <c r="C121" t="inlineStr">
        <is>
          <t>Föryngringsavverkning</t>
        </is>
      </c>
      <c r="D121" s="1" t="n">
        <v>44585</v>
      </c>
      <c r="E121" s="1" t="n">
        <v>46265</v>
      </c>
      <c r="F121" t="inlineStr">
        <is>
          <t>VÄSTRA GÖTALANDS LÄN</t>
        </is>
      </c>
      <c r="G121" t="inlineStr">
        <is>
          <t>ALE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44429-2023</t>
        </is>
      </c>
      <c r="B122" t="inlineStr">
        <is>
          <t>avverkningsanmälan</t>
        </is>
      </c>
      <c r="C122" t="inlineStr">
        <is>
          <t>Föryngringsavverkning</t>
        </is>
      </c>
      <c r="D122" s="1" t="n">
        <v>45189</v>
      </c>
      <c r="E122" s="1" t="n">
        <v>46265</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7892-2024</t>
        </is>
      </c>
      <c r="B123" t="inlineStr">
        <is>
          <t>avverkningsanmälan</t>
        </is>
      </c>
      <c r="C123" t="inlineStr">
        <is>
          <t>Föryngringsavverkning</t>
        </is>
      </c>
      <c r="D123" s="1" t="n">
        <v>45350</v>
      </c>
      <c r="E123" s="1" t="n">
        <v>46265</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51164-2024</t>
        </is>
      </c>
      <c r="B124" t="inlineStr">
        <is>
          <t>avverkningsanmälan</t>
        </is>
      </c>
      <c r="C124" t="inlineStr">
        <is>
          <t>Föryngringsavverkning</t>
        </is>
      </c>
      <c r="D124" s="1" t="n">
        <v>45603</v>
      </c>
      <c r="E124" s="1" t="n">
        <v>46265</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4444-2024</t>
        </is>
      </c>
      <c r="B125" t="inlineStr">
        <is>
          <t>avverkningsanmälan</t>
        </is>
      </c>
      <c r="C125" t="inlineStr">
        <is>
          <t>Föryngringsavverkning</t>
        </is>
      </c>
      <c r="D125" s="1" t="n">
        <v>45327</v>
      </c>
      <c r="E125" s="1" t="n">
        <v>46265</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72801-2021</t>
        </is>
      </c>
      <c r="B126" t="inlineStr">
        <is>
          <t>avverkningsanmälan</t>
        </is>
      </c>
      <c r="C126" t="inlineStr">
        <is>
          <t>Föryngringsavverkning</t>
        </is>
      </c>
      <c r="D126" s="1" t="n">
        <v>44546</v>
      </c>
      <c r="E126" s="1" t="n">
        <v>46265</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17199-2026</t>
        </is>
      </c>
      <c r="B127" t="inlineStr">
        <is>
          <t>avverkningsanmälan</t>
        </is>
      </c>
      <c r="C127" t="inlineStr">
        <is>
          <t>Föryngringsavverkning</t>
        </is>
      </c>
      <c r="D127" s="1" t="n">
        <v>46118</v>
      </c>
      <c r="E127" s="1" t="n">
        <v>46265</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19613-2026</t>
        </is>
      </c>
      <c r="B128" t="inlineStr">
        <is>
          <t>avverkningsanmälan</t>
        </is>
      </c>
      <c r="C128" t="inlineStr">
        <is>
          <t>Föryngringsavverkning</t>
        </is>
      </c>
      <c r="D128" s="1" t="n">
        <v>46134</v>
      </c>
      <c r="E128" s="1" t="n">
        <v>46265</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25840-2025</t>
        </is>
      </c>
      <c r="B129" t="inlineStr">
        <is>
          <t>avverkningsanmälan</t>
        </is>
      </c>
      <c r="C129" t="inlineStr">
        <is>
          <t>Avverkning för annat ändamål</t>
        </is>
      </c>
      <c r="D129" s="1" t="n">
        <v>45804</v>
      </c>
      <c r="E129" s="1" t="n">
        <v>46265</v>
      </c>
      <c r="F129" t="inlineStr">
        <is>
          <t>VÄSTRA GÖTALANDS LÄN</t>
        </is>
      </c>
      <c r="G129" t="inlineStr">
        <is>
          <t>ALE</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1822-2024</t>
        </is>
      </c>
      <c r="B130" t="inlineStr">
        <is>
          <t>avverkningsanmälan</t>
        </is>
      </c>
      <c r="C130" t="inlineStr">
        <is>
          <t>Föryngringsavverkning</t>
        </is>
      </c>
      <c r="D130" s="1" t="n">
        <v>45307</v>
      </c>
      <c r="E130" s="1" t="n">
        <v>46265</v>
      </c>
      <c r="F130" t="inlineStr">
        <is>
          <t>VÄSTRA GÖTALANDS LÄN</t>
        </is>
      </c>
      <c r="G130" t="inlineStr">
        <is>
          <t>ALE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15241-2025</t>
        </is>
      </c>
      <c r="B131" t="inlineStr">
        <is>
          <t>avverkningsanmälan</t>
        </is>
      </c>
      <c r="C131" t="inlineStr">
        <is>
          <t>Föryngringsavverkning</t>
        </is>
      </c>
      <c r="D131" s="1" t="n">
        <v>45744</v>
      </c>
      <c r="E131" s="1" t="n">
        <v>46265</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62828-2025</t>
        </is>
      </c>
      <c r="B132" t="inlineStr">
        <is>
          <t>avverkningsanmälan</t>
        </is>
      </c>
      <c r="C132" t="inlineStr">
        <is>
          <t>Föryngringsavverkning</t>
        </is>
      </c>
      <c r="D132" s="1" t="n">
        <v>46008</v>
      </c>
      <c r="E132" s="1" t="n">
        <v>46265</v>
      </c>
      <c r="F132" t="inlineStr">
        <is>
          <t>VÄSTRA GÖTALANDS LÄN</t>
        </is>
      </c>
      <c r="G132" t="inlineStr">
        <is>
          <t>ALE</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46265</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41309-2024</t>
        </is>
      </c>
      <c r="B134" t="inlineStr">
        <is>
          <t>avverkningsanmälan</t>
        </is>
      </c>
      <c r="C134" t="inlineStr">
        <is>
          <t>Föryngringsavverkning</t>
        </is>
      </c>
      <c r="D134" s="1" t="n">
        <v>45559</v>
      </c>
      <c r="E134" s="1" t="n">
        <v>46265</v>
      </c>
      <c r="F134" t="inlineStr">
        <is>
          <t>VÄSTRA GÖTALANDS LÄN</t>
        </is>
      </c>
      <c r="G134" t="inlineStr">
        <is>
          <t>ALE</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15499-2022</t>
        </is>
      </c>
      <c r="B135" t="inlineStr">
        <is>
          <t>avverkningsanmälan</t>
        </is>
      </c>
      <c r="C135" t="inlineStr">
        <is>
          <t>Föryngringsavverkning</t>
        </is>
      </c>
      <c r="D135" s="1" t="n">
        <v>44662</v>
      </c>
      <c r="E135" s="1" t="n">
        <v>46265</v>
      </c>
      <c r="F135" t="inlineStr">
        <is>
          <t>VÄSTRA GÖTALANDS LÄN</t>
        </is>
      </c>
      <c r="G135" t="inlineStr">
        <is>
          <t>ALE</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40074-2025</t>
        </is>
      </c>
      <c r="B136" t="inlineStr">
        <is>
          <t>avverkningsanmälan</t>
        </is>
      </c>
      <c r="C136" t="inlineStr">
        <is>
          <t>Föryngringsavverkning</t>
        </is>
      </c>
      <c r="D136" s="1" t="n">
        <v>45894</v>
      </c>
      <c r="E136" s="1" t="n">
        <v>46265</v>
      </c>
      <c r="F136" t="inlineStr">
        <is>
          <t>VÄSTRA GÖTALANDS LÄN</t>
        </is>
      </c>
      <c r="G136" t="inlineStr">
        <is>
          <t>ALE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1960-2024</t>
        </is>
      </c>
      <c r="B137" t="inlineStr">
        <is>
          <t>avverkningsanmälan</t>
        </is>
      </c>
      <c r="C137" t="inlineStr">
        <is>
          <t>Föryngringsavverkning</t>
        </is>
      </c>
      <c r="D137" s="1" t="n">
        <v>45308</v>
      </c>
      <c r="E137" s="1" t="n">
        <v>46265</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3418-2023</t>
        </is>
      </c>
      <c r="B138" t="inlineStr">
        <is>
          <t>avverkningsanmälan</t>
        </is>
      </c>
      <c r="C138" t="inlineStr">
        <is>
          <t>Föryngringsavverkning</t>
        </is>
      </c>
      <c r="D138" s="1" t="n">
        <v>44949</v>
      </c>
      <c r="E138" s="1" t="n">
        <v>46265</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65226-2021</t>
        </is>
      </c>
      <c r="B139" t="inlineStr">
        <is>
          <t>avverkningsanmälan</t>
        </is>
      </c>
      <c r="C139" t="inlineStr">
        <is>
          <t>Föryngringsavverkning</t>
        </is>
      </c>
      <c r="D139" s="1" t="n">
        <v>44515</v>
      </c>
      <c r="E139" s="1" t="n">
        <v>46265</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46265</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46265</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5916-2023</t>
        </is>
      </c>
      <c r="B142" t="inlineStr">
        <is>
          <t>avverkningsanmälan</t>
        </is>
      </c>
      <c r="C142" t="inlineStr">
        <is>
          <t>Föryngringsavverkning</t>
        </is>
      </c>
      <c r="D142" s="1" t="n">
        <v>44963</v>
      </c>
      <c r="E142" s="1" t="n">
        <v>46265</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46265</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1500-2024</t>
        </is>
      </c>
      <c r="B144" t="inlineStr">
        <is>
          <t>avverkningsanmälan</t>
        </is>
      </c>
      <c r="C144" t="inlineStr">
        <is>
          <t>Föryngringsavverkning</t>
        </is>
      </c>
      <c r="D144" s="1" t="n">
        <v>45306</v>
      </c>
      <c r="E144" s="1" t="n">
        <v>46265</v>
      </c>
      <c r="F144" t="inlineStr">
        <is>
          <t>VÄSTRA GÖTALANDS LÄN</t>
        </is>
      </c>
      <c r="G144" t="inlineStr">
        <is>
          <t>ALE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6916-2023</t>
        </is>
      </c>
      <c r="B145" t="inlineStr">
        <is>
          <t>avverkningsanmälan</t>
        </is>
      </c>
      <c r="C145" t="inlineStr">
        <is>
          <t>Föryngringsavverkning</t>
        </is>
      </c>
      <c r="D145" s="1" t="n">
        <v>44967</v>
      </c>
      <c r="E145" s="1" t="n">
        <v>46265</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64199-2021</t>
        </is>
      </c>
      <c r="B146" t="inlineStr">
        <is>
          <t>avverkningsanmälan</t>
        </is>
      </c>
      <c r="C146" t="inlineStr">
        <is>
          <t>Föryngringsavverkning</t>
        </is>
      </c>
      <c r="D146" s="1" t="n">
        <v>44510</v>
      </c>
      <c r="E146" s="1" t="n">
        <v>46265</v>
      </c>
      <c r="F146" t="inlineStr">
        <is>
          <t>VÄSTRA GÖTALANDS LÄN</t>
        </is>
      </c>
      <c r="G146" t="inlineStr">
        <is>
          <t>ALE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22420-2026</t>
        </is>
      </c>
      <c r="B147" t="inlineStr">
        <is>
          <t>avverkningsanmälan</t>
        </is>
      </c>
      <c r="C147" t="inlineStr">
        <is>
          <t>Föryngringsavverkning</t>
        </is>
      </c>
      <c r="D147" s="1" t="n">
        <v>46154</v>
      </c>
      <c r="E147" s="1" t="n">
        <v>46265</v>
      </c>
      <c r="F147" t="inlineStr">
        <is>
          <t>VÄSTRA GÖTALANDS LÄN</t>
        </is>
      </c>
      <c r="G147" t="inlineStr">
        <is>
          <t>ALE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15582-2025</t>
        </is>
      </c>
      <c r="B148" t="inlineStr">
        <is>
          <t>avverkningsanmälan</t>
        </is>
      </c>
      <c r="C148" t="inlineStr">
        <is>
          <t>Föryngringsavverkning</t>
        </is>
      </c>
      <c r="D148" s="1" t="n">
        <v>45747</v>
      </c>
      <c r="E148" s="1" t="n">
        <v>46265</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47728-2025</t>
        </is>
      </c>
      <c r="B149" t="inlineStr">
        <is>
          <t>avverkningsanmälan</t>
        </is>
      </c>
      <c r="C149" t="inlineStr">
        <is>
          <t>Föryngringsavverkning</t>
        </is>
      </c>
      <c r="D149" s="1" t="n">
        <v>45931</v>
      </c>
      <c r="E149" s="1" t="n">
        <v>46265</v>
      </c>
      <c r="F149" t="inlineStr">
        <is>
          <t>VÄSTRA GÖTALANDS LÄN</t>
        </is>
      </c>
      <c r="G149" t="inlineStr">
        <is>
          <t>ALE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28023-2026</t>
        </is>
      </c>
      <c r="B150" t="inlineStr">
        <is>
          <t>avverkningsanmälan</t>
        </is>
      </c>
      <c r="C150" t="inlineStr">
        <is>
          <t>Föryngringsavverkning</t>
        </is>
      </c>
      <c r="D150" s="1" t="n">
        <v>46195</v>
      </c>
      <c r="E150" s="1" t="n">
        <v>46265</v>
      </c>
      <c r="F150" t="inlineStr">
        <is>
          <t>VÄSTRA GÖTALANDS LÄN</t>
        </is>
      </c>
      <c r="G150" t="inlineStr">
        <is>
          <t>ALE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28028-2026</t>
        </is>
      </c>
      <c r="B151" t="inlineStr">
        <is>
          <t>avverkningsanmälan</t>
        </is>
      </c>
      <c r="C151" t="inlineStr">
        <is>
          <t>Föryngringsavverkning</t>
        </is>
      </c>
      <c r="D151" s="1" t="n">
        <v>46195</v>
      </c>
      <c r="E151" s="1" t="n">
        <v>46265</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34104-2024</t>
        </is>
      </c>
      <c r="B152" t="inlineStr">
        <is>
          <t>avverkningsanmälan</t>
        </is>
      </c>
      <c r="C152" t="inlineStr">
        <is>
          <t>Föryngringsavverkning</t>
        </is>
      </c>
      <c r="D152" s="1" t="n">
        <v>45523</v>
      </c>
      <c r="E152" s="1" t="n">
        <v>46265</v>
      </c>
      <c r="F152" t="inlineStr">
        <is>
          <t>VÄSTRA GÖTALANDS LÄN</t>
        </is>
      </c>
      <c r="G152" t="inlineStr">
        <is>
          <t>ALE</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46265</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46265</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46265</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2026-08-31T09:56:14Z</dcterms:created>
  <dcterms:modified xmlns:dcterms="http://purl.org/dc/terms/" xmlns:xsi="http://www.w3.org/2001/XMLSchema-instance" xsi:type="dcterms:W3CDTF">2026-08-31T09:56:14Z</dcterms:modified>
</cp:coreProperties>
</file>