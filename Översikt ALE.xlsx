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45754</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45754</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45754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45754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45754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45754</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45754</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45754</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45754</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45754</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45754</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45754</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45754</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45754</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45754</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45754</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45754</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45754</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45754</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45754</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45754</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45754</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45754</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45754</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45754</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45754</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26493-2024</t>
        </is>
      </c>
      <c r="B42" s="1" t="n">
        <v>45469</v>
      </c>
      <c r="C42" s="1" t="n">
        <v>45754</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5040-2025</t>
        </is>
      </c>
      <c r="B43" s="1" t="n">
        <v>45691</v>
      </c>
      <c r="C43" s="1" t="n">
        <v>45754</v>
      </c>
      <c r="D43" t="inlineStr">
        <is>
          <t>VÄSTRA GÖTALANDS LÄN</t>
        </is>
      </c>
      <c r="E43" t="inlineStr">
        <is>
          <t>ALE</t>
        </is>
      </c>
      <c r="G43" t="n">
        <v>3</v>
      </c>
      <c r="H43" t="n">
        <v>1</v>
      </c>
      <c r="I43" t="n">
        <v>0</v>
      </c>
      <c r="J43" t="n">
        <v>1</v>
      </c>
      <c r="K43" t="n">
        <v>0</v>
      </c>
      <c r="L43" t="n">
        <v>0</v>
      </c>
      <c r="M43" t="n">
        <v>0</v>
      </c>
      <c r="N43" t="n">
        <v>0</v>
      </c>
      <c r="O43" t="n">
        <v>1</v>
      </c>
      <c r="P43" t="n">
        <v>0</v>
      </c>
      <c r="Q43" t="n">
        <v>1</v>
      </c>
      <c r="R43" s="2" t="inlineStr">
        <is>
          <t>Spillkråka</t>
        </is>
      </c>
      <c r="S43">
        <f>HYPERLINK("https://klasma.github.io/Logging_1440/artfynd/A 5040-2025 artfynd.xlsx", "A 5040-2025")</f>
        <v/>
      </c>
      <c r="T43">
        <f>HYPERLINK("https://klasma.github.io/Logging_1440/kartor/A 5040-2025 karta.png", "A 5040-2025")</f>
        <v/>
      </c>
      <c r="V43">
        <f>HYPERLINK("https://klasma.github.io/Logging_1440/klagomål/A 5040-2025 FSC-klagomål.docx", "A 5040-2025")</f>
        <v/>
      </c>
      <c r="W43">
        <f>HYPERLINK("https://klasma.github.io/Logging_1440/klagomålsmail/A 5040-2025 FSC-klagomål mail.docx", "A 5040-2025")</f>
        <v/>
      </c>
      <c r="X43">
        <f>HYPERLINK("https://klasma.github.io/Logging_1440/tillsyn/A 5040-2025 tillsynsbegäran.docx", "A 5040-2025")</f>
        <v/>
      </c>
      <c r="Y43">
        <f>HYPERLINK("https://klasma.github.io/Logging_1440/tillsynsmail/A 5040-2025 tillsynsbegäran mail.docx", "A 5040-2025")</f>
        <v/>
      </c>
      <c r="Z43">
        <f>HYPERLINK("https://klasma.github.io/Logging_1440/fåglar/A 5040-2025 prioriterade fågelarter.docx", "A 5040-2025")</f>
        <v/>
      </c>
    </row>
    <row r="44" ht="15" customHeight="1">
      <c r="A44" t="inlineStr">
        <is>
          <t>A 9832-2025</t>
        </is>
      </c>
      <c r="B44" s="1" t="n">
        <v>45716</v>
      </c>
      <c r="C44" s="1" t="n">
        <v>45754</v>
      </c>
      <c r="D44" t="inlineStr">
        <is>
          <t>VÄSTRA GÖTALANDS LÄN</t>
        </is>
      </c>
      <c r="E44" t="inlineStr">
        <is>
          <t>ALE</t>
        </is>
      </c>
      <c r="G44" t="n">
        <v>2.8</v>
      </c>
      <c r="H44" t="n">
        <v>1</v>
      </c>
      <c r="I44" t="n">
        <v>0</v>
      </c>
      <c r="J44" t="n">
        <v>1</v>
      </c>
      <c r="K44" t="n">
        <v>0</v>
      </c>
      <c r="L44" t="n">
        <v>0</v>
      </c>
      <c r="M44" t="n">
        <v>0</v>
      </c>
      <c r="N44" t="n">
        <v>0</v>
      </c>
      <c r="O44" t="n">
        <v>1</v>
      </c>
      <c r="P44" t="n">
        <v>0</v>
      </c>
      <c r="Q44" t="n">
        <v>1</v>
      </c>
      <c r="R44" s="2" t="inlineStr">
        <is>
          <t>Spillkråka</t>
        </is>
      </c>
      <c r="S44">
        <f>HYPERLINK("https://klasma.github.io/Logging_141440/artfynd/A 9832-2025 artfynd.xlsx", "A 9832-2025")</f>
        <v/>
      </c>
      <c r="T44">
        <f>HYPERLINK("https://klasma.github.io/Logging_141440/kartor/A 9832-2025 karta.png", "A 9832-2025")</f>
        <v/>
      </c>
      <c r="V44">
        <f>HYPERLINK("https://klasma.github.io/Logging_141440/klagomål/A 9832-2025 FSC-klagomål.docx", "A 9832-2025")</f>
        <v/>
      </c>
      <c r="W44">
        <f>HYPERLINK("https://klasma.github.io/Logging_141440/klagomålsmail/A 9832-2025 FSC-klagomål mail.docx", "A 9832-2025")</f>
        <v/>
      </c>
      <c r="X44">
        <f>HYPERLINK("https://klasma.github.io/Logging_141440/tillsyn/A 9832-2025 tillsynsbegäran.docx", "A 9832-2025")</f>
        <v/>
      </c>
      <c r="Y44">
        <f>HYPERLINK("https://klasma.github.io/Logging_141440/tillsynsmail/A 9832-2025 tillsynsbegäran mail.docx", "A 9832-2025")</f>
        <v/>
      </c>
      <c r="Z44">
        <f>HYPERLINK("https://klasma.github.io/Logging_141440/fåglar/A 9832-2025 prioriterade fågelarter.docx", "A 9832-2025")</f>
        <v/>
      </c>
    </row>
    <row r="45" ht="15" customHeight="1">
      <c r="A45" t="inlineStr">
        <is>
          <t>A 12084-2025</t>
        </is>
      </c>
      <c r="B45" s="1" t="n">
        <v>45728</v>
      </c>
      <c r="C45" s="1" t="n">
        <v>45754</v>
      </c>
      <c r="D45" t="inlineStr">
        <is>
          <t>VÄSTRA GÖTALANDS LÄN</t>
        </is>
      </c>
      <c r="E45" t="inlineStr">
        <is>
          <t>ALE</t>
        </is>
      </c>
      <c r="G45" t="n">
        <v>2.4</v>
      </c>
      <c r="H45" t="n">
        <v>1</v>
      </c>
      <c r="I45" t="n">
        <v>0</v>
      </c>
      <c r="J45" t="n">
        <v>1</v>
      </c>
      <c r="K45" t="n">
        <v>0</v>
      </c>
      <c r="L45" t="n">
        <v>0</v>
      </c>
      <c r="M45" t="n">
        <v>0</v>
      </c>
      <c r="N45" t="n">
        <v>0</v>
      </c>
      <c r="O45" t="n">
        <v>1</v>
      </c>
      <c r="P45" t="n">
        <v>0</v>
      </c>
      <c r="Q45" t="n">
        <v>1</v>
      </c>
      <c r="R45" s="2" t="inlineStr">
        <is>
          <t>Spillkråka</t>
        </is>
      </c>
      <c r="S45">
        <f>HYPERLINK("https://klasma.github.io/Logging_141440/artfynd/A 12084-2025 artfynd.xlsx", "A 12084-2025")</f>
        <v/>
      </c>
      <c r="T45">
        <f>HYPERLINK("https://klasma.github.io/Logging_141440/kartor/A 12084-2025 karta.png", "A 12084-2025")</f>
        <v/>
      </c>
      <c r="V45">
        <f>HYPERLINK("https://klasma.github.io/Logging_141440/klagomål/A 12084-2025 FSC-klagomål.docx", "A 12084-2025")</f>
        <v/>
      </c>
      <c r="W45">
        <f>HYPERLINK("https://klasma.github.io/Logging_141440/klagomålsmail/A 12084-2025 FSC-klagomål mail.docx", "A 12084-2025")</f>
        <v/>
      </c>
      <c r="X45">
        <f>HYPERLINK("https://klasma.github.io/Logging_141440/tillsyn/A 12084-2025 tillsynsbegäran.docx", "A 12084-2025")</f>
        <v/>
      </c>
      <c r="Y45">
        <f>HYPERLINK("https://klasma.github.io/Logging_141440/tillsynsmail/A 12084-2025 tillsynsbegäran mail.docx", "A 12084-2025")</f>
        <v/>
      </c>
      <c r="Z45">
        <f>HYPERLINK("https://klasma.github.io/Logging_141440/fåglar/A 12084-2025 prioriterade fågelarter.docx", "A 12084-2025")</f>
        <v/>
      </c>
    </row>
    <row r="46" ht="15" customHeight="1">
      <c r="A46" t="inlineStr">
        <is>
          <t>A 13380-2025</t>
        </is>
      </c>
      <c r="B46" s="1" t="n">
        <v>45735</v>
      </c>
      <c r="C46" s="1" t="n">
        <v>45754</v>
      </c>
      <c r="D46" t="inlineStr">
        <is>
          <t>VÄSTRA GÖTALANDS LÄN</t>
        </is>
      </c>
      <c r="E46" t="inlineStr">
        <is>
          <t>ALE</t>
        </is>
      </c>
      <c r="G46" t="n">
        <v>1.8</v>
      </c>
      <c r="H46" t="n">
        <v>1</v>
      </c>
      <c r="I46" t="n">
        <v>0</v>
      </c>
      <c r="J46" t="n">
        <v>1</v>
      </c>
      <c r="K46" t="n">
        <v>0</v>
      </c>
      <c r="L46" t="n">
        <v>0</v>
      </c>
      <c r="M46" t="n">
        <v>0</v>
      </c>
      <c r="N46" t="n">
        <v>0</v>
      </c>
      <c r="O46" t="n">
        <v>1</v>
      </c>
      <c r="P46" t="n">
        <v>0</v>
      </c>
      <c r="Q46" t="n">
        <v>1</v>
      </c>
      <c r="R46" s="2" t="inlineStr">
        <is>
          <t>Spillkråka</t>
        </is>
      </c>
      <c r="S46">
        <f>HYPERLINK("https://klasma.github.io/Logging_141440/artfynd/A 13380-2025 artfynd.xlsx", "A 13380-2025")</f>
        <v/>
      </c>
      <c r="T46">
        <f>HYPERLINK("https://klasma.github.io/Logging_141440/kartor/A 13380-2025 karta.png", "A 13380-2025")</f>
        <v/>
      </c>
      <c r="V46">
        <f>HYPERLINK("https://klasma.github.io/Logging_141440/klagomål/A 13380-2025 FSC-klagomål.docx", "A 13380-2025")</f>
        <v/>
      </c>
      <c r="W46">
        <f>HYPERLINK("https://klasma.github.io/Logging_141440/klagomålsmail/A 13380-2025 FSC-klagomål mail.docx", "A 13380-2025")</f>
        <v/>
      </c>
      <c r="X46">
        <f>HYPERLINK("https://klasma.github.io/Logging_141440/tillsyn/A 13380-2025 tillsynsbegäran.docx", "A 13380-2025")</f>
        <v/>
      </c>
      <c r="Y46">
        <f>HYPERLINK("https://klasma.github.io/Logging_141440/tillsynsmail/A 13380-2025 tillsynsbegäran mail.docx", "A 13380-2025")</f>
        <v/>
      </c>
      <c r="Z46">
        <f>HYPERLINK("https://klasma.github.io/Logging_141440/fåglar/A 13380-2025 prioriterade fågelarter.docx", "A 13380-2025")</f>
        <v/>
      </c>
    </row>
    <row r="47" ht="15" customHeight="1">
      <c r="A47" t="inlineStr">
        <is>
          <t>A 13902-2025</t>
        </is>
      </c>
      <c r="B47" s="1" t="n">
        <v>45737</v>
      </c>
      <c r="C47" s="1" t="n">
        <v>45754</v>
      </c>
      <c r="D47" t="inlineStr">
        <is>
          <t>VÄSTRA GÖTALANDS LÄN</t>
        </is>
      </c>
      <c r="E47" t="inlineStr">
        <is>
          <t>ALE</t>
        </is>
      </c>
      <c r="G47" t="n">
        <v>1.4</v>
      </c>
      <c r="H47" t="n">
        <v>1</v>
      </c>
      <c r="I47" t="n">
        <v>0</v>
      </c>
      <c r="J47" t="n">
        <v>1</v>
      </c>
      <c r="K47" t="n">
        <v>0</v>
      </c>
      <c r="L47" t="n">
        <v>0</v>
      </c>
      <c r="M47" t="n">
        <v>0</v>
      </c>
      <c r="N47" t="n">
        <v>0</v>
      </c>
      <c r="O47" t="n">
        <v>1</v>
      </c>
      <c r="P47" t="n">
        <v>0</v>
      </c>
      <c r="Q47" t="n">
        <v>1</v>
      </c>
      <c r="R47" s="2" t="inlineStr">
        <is>
          <t>Svartvit flugsnappare</t>
        </is>
      </c>
      <c r="S47">
        <f>HYPERLINK("https://klasma.github.io/Logging_141440/artfynd/A 13902-2025 artfynd.xlsx", "A 13902-2025")</f>
        <v/>
      </c>
      <c r="T47">
        <f>HYPERLINK("https://klasma.github.io/Logging_141440/kartor/A 13902-2025 karta.png", "A 13902-2025")</f>
        <v/>
      </c>
      <c r="V47">
        <f>HYPERLINK("https://klasma.github.io/Logging_141440/klagomål/A 13902-2025 FSC-klagomål.docx", "A 13902-2025")</f>
        <v/>
      </c>
      <c r="W47">
        <f>HYPERLINK("https://klasma.github.io/Logging_141440/klagomålsmail/A 13902-2025 FSC-klagomål mail.docx", "A 13902-2025")</f>
        <v/>
      </c>
      <c r="X47">
        <f>HYPERLINK("https://klasma.github.io/Logging_141440/tillsyn/A 13902-2025 tillsynsbegäran.docx", "A 13902-2025")</f>
        <v/>
      </c>
      <c r="Y47">
        <f>HYPERLINK("https://klasma.github.io/Logging_141440/tillsynsmail/A 13902-2025 tillsynsbegäran mail.docx", "A 13902-2025")</f>
        <v/>
      </c>
      <c r="Z47">
        <f>HYPERLINK("https://klasma.github.io/Logging_141440/fåglar/A 13902-2025 prioriterade fågelarter.docx", "A 13902-2025")</f>
        <v/>
      </c>
    </row>
    <row r="48" ht="15" customHeight="1">
      <c r="A48" t="inlineStr">
        <is>
          <t>A 22015-2019</t>
        </is>
      </c>
      <c r="B48" s="1" t="n">
        <v>43584</v>
      </c>
      <c r="C48" s="1" t="n">
        <v>45754</v>
      </c>
      <c r="D48" t="inlineStr">
        <is>
          <t>VÄSTRA GÖTALANDS LÄN</t>
        </is>
      </c>
      <c r="E48" t="inlineStr">
        <is>
          <t>ALE</t>
        </is>
      </c>
      <c r="G48" t="n">
        <v>1.6</v>
      </c>
      <c r="H48" t="n">
        <v>0</v>
      </c>
      <c r="I48" t="n">
        <v>0</v>
      </c>
      <c r="J48" t="n">
        <v>0</v>
      </c>
      <c r="K48" t="n">
        <v>0</v>
      </c>
      <c r="L48" t="n">
        <v>0</v>
      </c>
      <c r="M48" t="n">
        <v>0</v>
      </c>
      <c r="N48" t="n">
        <v>0</v>
      </c>
      <c r="O48" t="n">
        <v>0</v>
      </c>
      <c r="P48" t="n">
        <v>0</v>
      </c>
      <c r="Q48" t="n">
        <v>0</v>
      </c>
      <c r="R48" s="2" t="inlineStr"/>
    </row>
    <row r="49" ht="15" customHeight="1">
      <c r="A49" t="inlineStr">
        <is>
          <t>A 50538-2019</t>
        </is>
      </c>
      <c r="B49" s="1" t="n">
        <v>43735</v>
      </c>
      <c r="C49" s="1" t="n">
        <v>45754</v>
      </c>
      <c r="D49" t="inlineStr">
        <is>
          <t>VÄSTRA GÖTALANDS LÄN</t>
        </is>
      </c>
      <c r="E49" t="inlineStr">
        <is>
          <t>ALE</t>
        </is>
      </c>
      <c r="G49" t="n">
        <v>10.9</v>
      </c>
      <c r="H49" t="n">
        <v>0</v>
      </c>
      <c r="I49" t="n">
        <v>0</v>
      </c>
      <c r="J49" t="n">
        <v>0</v>
      </c>
      <c r="K49" t="n">
        <v>0</v>
      </c>
      <c r="L49" t="n">
        <v>0</v>
      </c>
      <c r="M49" t="n">
        <v>0</v>
      </c>
      <c r="N49" t="n">
        <v>0</v>
      </c>
      <c r="O49" t="n">
        <v>0</v>
      </c>
      <c r="P49" t="n">
        <v>0</v>
      </c>
      <c r="Q49" t="n">
        <v>0</v>
      </c>
      <c r="R49" s="2" t="inlineStr"/>
    </row>
    <row r="50" ht="15" customHeight="1">
      <c r="A50" t="inlineStr">
        <is>
          <t>A 59735-2019</t>
        </is>
      </c>
      <c r="B50" s="1" t="n">
        <v>43776</v>
      </c>
      <c r="C50" s="1" t="n">
        <v>45754</v>
      </c>
      <c r="D50" t="inlineStr">
        <is>
          <t>VÄSTRA GÖTALANDS LÄN</t>
        </is>
      </c>
      <c r="E50" t="inlineStr">
        <is>
          <t>ALE</t>
        </is>
      </c>
      <c r="G50" t="n">
        <v>2</v>
      </c>
      <c r="H50" t="n">
        <v>0</v>
      </c>
      <c r="I50" t="n">
        <v>0</v>
      </c>
      <c r="J50" t="n">
        <v>0</v>
      </c>
      <c r="K50" t="n">
        <v>0</v>
      </c>
      <c r="L50" t="n">
        <v>0</v>
      </c>
      <c r="M50" t="n">
        <v>0</v>
      </c>
      <c r="N50" t="n">
        <v>0</v>
      </c>
      <c r="O50" t="n">
        <v>0</v>
      </c>
      <c r="P50" t="n">
        <v>0</v>
      </c>
      <c r="Q50" t="n">
        <v>0</v>
      </c>
      <c r="R50" s="2" t="inlineStr"/>
    </row>
    <row r="51" ht="15" customHeight="1">
      <c r="A51" t="inlineStr">
        <is>
          <t>A 60395-2019</t>
        </is>
      </c>
      <c r="B51" s="1" t="n">
        <v>43780</v>
      </c>
      <c r="C51" s="1" t="n">
        <v>45754</v>
      </c>
      <c r="D51" t="inlineStr">
        <is>
          <t>VÄSTRA GÖTALANDS LÄN</t>
        </is>
      </c>
      <c r="E51" t="inlineStr">
        <is>
          <t>ALE</t>
        </is>
      </c>
      <c r="F51" t="inlineStr">
        <is>
          <t>Kommuner</t>
        </is>
      </c>
      <c r="G51" t="n">
        <v>1.7</v>
      </c>
      <c r="H51" t="n">
        <v>0</v>
      </c>
      <c r="I51" t="n">
        <v>0</v>
      </c>
      <c r="J51" t="n">
        <v>0</v>
      </c>
      <c r="K51" t="n">
        <v>0</v>
      </c>
      <c r="L51" t="n">
        <v>0</v>
      </c>
      <c r="M51" t="n">
        <v>0</v>
      </c>
      <c r="N51" t="n">
        <v>0</v>
      </c>
      <c r="O51" t="n">
        <v>0</v>
      </c>
      <c r="P51" t="n">
        <v>0</v>
      </c>
      <c r="Q51" t="n">
        <v>0</v>
      </c>
      <c r="R51" s="2" t="inlineStr"/>
    </row>
    <row r="52" ht="15" customHeight="1">
      <c r="A52" t="inlineStr">
        <is>
          <t>A 60379-2019</t>
        </is>
      </c>
      <c r="B52" s="1" t="n">
        <v>43780</v>
      </c>
      <c r="C52" s="1" t="n">
        <v>45754</v>
      </c>
      <c r="D52" t="inlineStr">
        <is>
          <t>VÄSTRA GÖTALANDS LÄN</t>
        </is>
      </c>
      <c r="E52" t="inlineStr">
        <is>
          <t>ALE</t>
        </is>
      </c>
      <c r="F52" t="inlineStr">
        <is>
          <t>Kommuner</t>
        </is>
      </c>
      <c r="G52" t="n">
        <v>1.1</v>
      </c>
      <c r="H52" t="n">
        <v>0</v>
      </c>
      <c r="I52" t="n">
        <v>0</v>
      </c>
      <c r="J52" t="n">
        <v>0</v>
      </c>
      <c r="K52" t="n">
        <v>0</v>
      </c>
      <c r="L52" t="n">
        <v>0</v>
      </c>
      <c r="M52" t="n">
        <v>0</v>
      </c>
      <c r="N52" t="n">
        <v>0</v>
      </c>
      <c r="O52" t="n">
        <v>0</v>
      </c>
      <c r="P52" t="n">
        <v>0</v>
      </c>
      <c r="Q52" t="n">
        <v>0</v>
      </c>
      <c r="R52" s="2" t="inlineStr"/>
    </row>
    <row r="53" ht="15" customHeight="1">
      <c r="A53" t="inlineStr">
        <is>
          <t>A 60679-2019</t>
        </is>
      </c>
      <c r="B53" s="1" t="n">
        <v>43781</v>
      </c>
      <c r="C53" s="1" t="n">
        <v>45754</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377-2020</t>
        </is>
      </c>
      <c r="B54" s="1" t="n">
        <v>43837</v>
      </c>
      <c r="C54" s="1" t="n">
        <v>45754</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2843-2020</t>
        </is>
      </c>
      <c r="B55" s="1" t="n">
        <v>43850</v>
      </c>
      <c r="C55" s="1" t="n">
        <v>45754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4879-2020</t>
        </is>
      </c>
      <c r="B56" s="1" t="n">
        <v>43859</v>
      </c>
      <c r="C56" s="1" t="n">
        <v>45754</v>
      </c>
      <c r="D56" t="inlineStr">
        <is>
          <t>VÄSTRA GÖTALANDS LÄN</t>
        </is>
      </c>
      <c r="E56" t="inlineStr">
        <is>
          <t>ALE</t>
        </is>
      </c>
      <c r="G56" t="n">
        <v>3.1</v>
      </c>
      <c r="H56" t="n">
        <v>0</v>
      </c>
      <c r="I56" t="n">
        <v>0</v>
      </c>
      <c r="J56" t="n">
        <v>0</v>
      </c>
      <c r="K56" t="n">
        <v>0</v>
      </c>
      <c r="L56" t="n">
        <v>0</v>
      </c>
      <c r="M56" t="n">
        <v>0</v>
      </c>
      <c r="N56" t="n">
        <v>0</v>
      </c>
      <c r="O56" t="n">
        <v>0</v>
      </c>
      <c r="P56" t="n">
        <v>0</v>
      </c>
      <c r="Q56" t="n">
        <v>0</v>
      </c>
      <c r="R56" s="2" t="inlineStr"/>
    </row>
    <row r="57" ht="15" customHeight="1">
      <c r="A57" t="inlineStr">
        <is>
          <t>A 7706-2020</t>
        </is>
      </c>
      <c r="B57" s="1" t="n">
        <v>43872</v>
      </c>
      <c r="C57" s="1" t="n">
        <v>45754</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7804-2020</t>
        </is>
      </c>
      <c r="B58" s="1" t="n">
        <v>43873</v>
      </c>
      <c r="C58" s="1" t="n">
        <v>45754</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9154-2020</t>
        </is>
      </c>
      <c r="B59" s="1" t="n">
        <v>43879</v>
      </c>
      <c r="C59" s="1" t="n">
        <v>45754</v>
      </c>
      <c r="D59" t="inlineStr">
        <is>
          <t>VÄSTRA GÖTALANDS LÄN</t>
        </is>
      </c>
      <c r="E59" t="inlineStr">
        <is>
          <t>ALE</t>
        </is>
      </c>
      <c r="G59" t="n">
        <v>2.7</v>
      </c>
      <c r="H59" t="n">
        <v>0</v>
      </c>
      <c r="I59" t="n">
        <v>0</v>
      </c>
      <c r="J59" t="n">
        <v>0</v>
      </c>
      <c r="K59" t="n">
        <v>0</v>
      </c>
      <c r="L59" t="n">
        <v>0</v>
      </c>
      <c r="M59" t="n">
        <v>0</v>
      </c>
      <c r="N59" t="n">
        <v>0</v>
      </c>
      <c r="O59" t="n">
        <v>0</v>
      </c>
      <c r="P59" t="n">
        <v>0</v>
      </c>
      <c r="Q59" t="n">
        <v>0</v>
      </c>
      <c r="R59" s="2" t="inlineStr"/>
    </row>
    <row r="60" ht="15" customHeight="1">
      <c r="A60" t="inlineStr">
        <is>
          <t>A 10079-2020</t>
        </is>
      </c>
      <c r="B60" s="1" t="n">
        <v>43886</v>
      </c>
      <c r="C60" s="1" t="n">
        <v>45754</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13432-2020</t>
        </is>
      </c>
      <c r="B61" s="1" t="n">
        <v>43902</v>
      </c>
      <c r="C61" s="1" t="n">
        <v>45754</v>
      </c>
      <c r="D61" t="inlineStr">
        <is>
          <t>VÄSTRA GÖTALANDS LÄN</t>
        </is>
      </c>
      <c r="E61" t="inlineStr">
        <is>
          <t>ALE</t>
        </is>
      </c>
      <c r="G61" t="n">
        <v>0.6</v>
      </c>
      <c r="H61" t="n">
        <v>0</v>
      </c>
      <c r="I61" t="n">
        <v>0</v>
      </c>
      <c r="J61" t="n">
        <v>0</v>
      </c>
      <c r="K61" t="n">
        <v>0</v>
      </c>
      <c r="L61" t="n">
        <v>0</v>
      </c>
      <c r="M61" t="n">
        <v>0</v>
      </c>
      <c r="N61" t="n">
        <v>0</v>
      </c>
      <c r="O61" t="n">
        <v>0</v>
      </c>
      <c r="P61" t="n">
        <v>0</v>
      </c>
      <c r="Q61" t="n">
        <v>0</v>
      </c>
      <c r="R61" s="2" t="inlineStr"/>
    </row>
    <row r="62" ht="15" customHeight="1">
      <c r="A62" t="inlineStr">
        <is>
          <t>A 21077-2020</t>
        </is>
      </c>
      <c r="B62" s="1" t="n">
        <v>43951</v>
      </c>
      <c r="C62" s="1" t="n">
        <v>45754</v>
      </c>
      <c r="D62" t="inlineStr">
        <is>
          <t>VÄSTRA GÖTALANDS LÄN</t>
        </is>
      </c>
      <c r="E62" t="inlineStr">
        <is>
          <t>ALE</t>
        </is>
      </c>
      <c r="G62" t="n">
        <v>4.4</v>
      </c>
      <c r="H62" t="n">
        <v>0</v>
      </c>
      <c r="I62" t="n">
        <v>0</v>
      </c>
      <c r="J62" t="n">
        <v>0</v>
      </c>
      <c r="K62" t="n">
        <v>0</v>
      </c>
      <c r="L62" t="n">
        <v>0</v>
      </c>
      <c r="M62" t="n">
        <v>0</v>
      </c>
      <c r="N62" t="n">
        <v>0</v>
      </c>
      <c r="O62" t="n">
        <v>0</v>
      </c>
      <c r="P62" t="n">
        <v>0</v>
      </c>
      <c r="Q62" t="n">
        <v>0</v>
      </c>
      <c r="R62" s="2" t="inlineStr"/>
    </row>
    <row r="63" ht="15" customHeight="1">
      <c r="A63" t="inlineStr">
        <is>
          <t>A 23099-2020</t>
        </is>
      </c>
      <c r="B63" s="1" t="n">
        <v>43965</v>
      </c>
      <c r="C63" s="1" t="n">
        <v>45754</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27496-2020</t>
        </is>
      </c>
      <c r="B64" s="1" t="n">
        <v>43993</v>
      </c>
      <c r="C64" s="1" t="n">
        <v>45754</v>
      </c>
      <c r="D64" t="inlineStr">
        <is>
          <t>VÄSTRA GÖTALANDS LÄN</t>
        </is>
      </c>
      <c r="E64" t="inlineStr">
        <is>
          <t>ALE</t>
        </is>
      </c>
      <c r="G64" t="n">
        <v>3.5</v>
      </c>
      <c r="H64" t="n">
        <v>0</v>
      </c>
      <c r="I64" t="n">
        <v>0</v>
      </c>
      <c r="J64" t="n">
        <v>0</v>
      </c>
      <c r="K64" t="n">
        <v>0</v>
      </c>
      <c r="L64" t="n">
        <v>0</v>
      </c>
      <c r="M64" t="n">
        <v>0</v>
      </c>
      <c r="N64" t="n">
        <v>0</v>
      </c>
      <c r="O64" t="n">
        <v>0</v>
      </c>
      <c r="P64" t="n">
        <v>0</v>
      </c>
      <c r="Q64" t="n">
        <v>0</v>
      </c>
      <c r="R64" s="2" t="inlineStr"/>
    </row>
    <row r="65" ht="15" customHeight="1">
      <c r="A65" t="inlineStr">
        <is>
          <t>A 29258-2020</t>
        </is>
      </c>
      <c r="B65" s="1" t="n">
        <v>44004</v>
      </c>
      <c r="C65" s="1" t="n">
        <v>45754</v>
      </c>
      <c r="D65" t="inlineStr">
        <is>
          <t>VÄSTRA GÖTALANDS LÄN</t>
        </is>
      </c>
      <c r="E65" t="inlineStr">
        <is>
          <t>ALE</t>
        </is>
      </c>
      <c r="G65" t="n">
        <v>1.5</v>
      </c>
      <c r="H65" t="n">
        <v>0</v>
      </c>
      <c r="I65" t="n">
        <v>0</v>
      </c>
      <c r="J65" t="n">
        <v>0</v>
      </c>
      <c r="K65" t="n">
        <v>0</v>
      </c>
      <c r="L65" t="n">
        <v>0</v>
      </c>
      <c r="M65" t="n">
        <v>0</v>
      </c>
      <c r="N65" t="n">
        <v>0</v>
      </c>
      <c r="O65" t="n">
        <v>0</v>
      </c>
      <c r="P65" t="n">
        <v>0</v>
      </c>
      <c r="Q65" t="n">
        <v>0</v>
      </c>
      <c r="R65" s="2" t="inlineStr"/>
    </row>
    <row r="66" ht="15" customHeight="1">
      <c r="A66" t="inlineStr">
        <is>
          <t>A 31247-2020</t>
        </is>
      </c>
      <c r="B66" s="1" t="n">
        <v>44012</v>
      </c>
      <c r="C66" s="1" t="n">
        <v>45754</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52839-2020</t>
        </is>
      </c>
      <c r="B67" s="1" t="n">
        <v>44118</v>
      </c>
      <c r="C67" s="1" t="n">
        <v>45754</v>
      </c>
      <c r="D67" t="inlineStr">
        <is>
          <t>VÄSTRA GÖTALANDS LÄN</t>
        </is>
      </c>
      <c r="E67" t="inlineStr">
        <is>
          <t>ALE</t>
        </is>
      </c>
      <c r="G67" t="n">
        <v>1.4</v>
      </c>
      <c r="H67" t="n">
        <v>0</v>
      </c>
      <c r="I67" t="n">
        <v>0</v>
      </c>
      <c r="J67" t="n">
        <v>0</v>
      </c>
      <c r="K67" t="n">
        <v>0</v>
      </c>
      <c r="L67" t="n">
        <v>0</v>
      </c>
      <c r="M67" t="n">
        <v>0</v>
      </c>
      <c r="N67" t="n">
        <v>0</v>
      </c>
      <c r="O67" t="n">
        <v>0</v>
      </c>
      <c r="P67" t="n">
        <v>0</v>
      </c>
      <c r="Q67" t="n">
        <v>0</v>
      </c>
      <c r="R67" s="2" t="inlineStr"/>
    </row>
    <row r="68" ht="15" customHeight="1">
      <c r="A68" t="inlineStr">
        <is>
          <t>A 58099-2020</t>
        </is>
      </c>
      <c r="B68" s="1" t="n">
        <v>44144</v>
      </c>
      <c r="C68" s="1" t="n">
        <v>45754</v>
      </c>
      <c r="D68" t="inlineStr">
        <is>
          <t>VÄSTRA GÖTALANDS LÄN</t>
        </is>
      </c>
      <c r="E68" t="inlineStr">
        <is>
          <t>ALE</t>
        </is>
      </c>
      <c r="G68" t="n">
        <v>4.6</v>
      </c>
      <c r="H68" t="n">
        <v>0</v>
      </c>
      <c r="I68" t="n">
        <v>0</v>
      </c>
      <c r="J68" t="n">
        <v>0</v>
      </c>
      <c r="K68" t="n">
        <v>0</v>
      </c>
      <c r="L68" t="n">
        <v>0</v>
      </c>
      <c r="M68" t="n">
        <v>0</v>
      </c>
      <c r="N68" t="n">
        <v>0</v>
      </c>
      <c r="O68" t="n">
        <v>0</v>
      </c>
      <c r="P68" t="n">
        <v>0</v>
      </c>
      <c r="Q68" t="n">
        <v>0</v>
      </c>
      <c r="R68" s="2" t="inlineStr"/>
    </row>
    <row r="69" ht="15" customHeight="1">
      <c r="A69" t="inlineStr">
        <is>
          <t>A 66466-2020</t>
        </is>
      </c>
      <c r="B69" s="1" t="n">
        <v>44176</v>
      </c>
      <c r="C69" s="1" t="n">
        <v>45754</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66467-2020</t>
        </is>
      </c>
      <c r="B70" s="1" t="n">
        <v>44176</v>
      </c>
      <c r="C70" s="1" t="n">
        <v>45754</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45754</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69325-2020</t>
        </is>
      </c>
      <c r="B72" s="1" t="n">
        <v>44193</v>
      </c>
      <c r="C72" s="1" t="n">
        <v>45754</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69359-2020</t>
        </is>
      </c>
      <c r="B73" s="1" t="n">
        <v>44193</v>
      </c>
      <c r="C73" s="1" t="n">
        <v>45754</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2003-2021</t>
        </is>
      </c>
      <c r="B74" s="1" t="n">
        <v>44210</v>
      </c>
      <c r="C74" s="1" t="n">
        <v>45754</v>
      </c>
      <c r="D74" t="inlineStr">
        <is>
          <t>VÄSTRA GÖTALANDS LÄN</t>
        </is>
      </c>
      <c r="E74" t="inlineStr">
        <is>
          <t>ALE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3293-2021</t>
        </is>
      </c>
      <c r="B75" s="1" t="n">
        <v>44217</v>
      </c>
      <c r="C75" s="1" t="n">
        <v>45754</v>
      </c>
      <c r="D75" t="inlineStr">
        <is>
          <t>VÄSTRA GÖTALANDS LÄN</t>
        </is>
      </c>
      <c r="E75" t="inlineStr">
        <is>
          <t>ALE</t>
        </is>
      </c>
      <c r="G75" t="n">
        <v>4.2</v>
      </c>
      <c r="H75" t="n">
        <v>0</v>
      </c>
      <c r="I75" t="n">
        <v>0</v>
      </c>
      <c r="J75" t="n">
        <v>0</v>
      </c>
      <c r="K75" t="n">
        <v>0</v>
      </c>
      <c r="L75" t="n">
        <v>0</v>
      </c>
      <c r="M75" t="n">
        <v>0</v>
      </c>
      <c r="N75" t="n">
        <v>0</v>
      </c>
      <c r="O75" t="n">
        <v>0</v>
      </c>
      <c r="P75" t="n">
        <v>0</v>
      </c>
      <c r="Q75" t="n">
        <v>0</v>
      </c>
      <c r="R75" s="2" t="inlineStr"/>
    </row>
    <row r="76" ht="15" customHeight="1">
      <c r="A76" t="inlineStr">
        <is>
          <t>A 13462-2021</t>
        </is>
      </c>
      <c r="B76" s="1" t="n">
        <v>44273</v>
      </c>
      <c r="C76" s="1" t="n">
        <v>45754</v>
      </c>
      <c r="D76" t="inlineStr">
        <is>
          <t>VÄSTRA GÖTALANDS LÄN</t>
        </is>
      </c>
      <c r="E76" t="inlineStr">
        <is>
          <t>ALE</t>
        </is>
      </c>
      <c r="G76" t="n">
        <v>7.4</v>
      </c>
      <c r="H76" t="n">
        <v>0</v>
      </c>
      <c r="I76" t="n">
        <v>0</v>
      </c>
      <c r="J76" t="n">
        <v>0</v>
      </c>
      <c r="K76" t="n">
        <v>0</v>
      </c>
      <c r="L76" t="n">
        <v>0</v>
      </c>
      <c r="M76" t="n">
        <v>0</v>
      </c>
      <c r="N76" t="n">
        <v>0</v>
      </c>
      <c r="O76" t="n">
        <v>0</v>
      </c>
      <c r="P76" t="n">
        <v>0</v>
      </c>
      <c r="Q76" t="n">
        <v>0</v>
      </c>
      <c r="R76" s="2" t="inlineStr"/>
    </row>
    <row r="77" ht="15" customHeight="1">
      <c r="A77" t="inlineStr">
        <is>
          <t>A 14517-2021</t>
        </is>
      </c>
      <c r="B77" s="1" t="n">
        <v>44279</v>
      </c>
      <c r="C77" s="1" t="n">
        <v>45754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17283-2021</t>
        </is>
      </c>
      <c r="B78" s="1" t="n">
        <v>44298</v>
      </c>
      <c r="C78" s="1" t="n">
        <v>45754</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17286-2021</t>
        </is>
      </c>
      <c r="B79" s="1" t="n">
        <v>44298</v>
      </c>
      <c r="C79" s="1" t="n">
        <v>45754</v>
      </c>
      <c r="D79" t="inlineStr">
        <is>
          <t>VÄSTRA GÖTALANDS LÄN</t>
        </is>
      </c>
      <c r="E79" t="inlineStr">
        <is>
          <t>ALE</t>
        </is>
      </c>
      <c r="G79" t="n">
        <v>3.3</v>
      </c>
      <c r="H79" t="n">
        <v>0</v>
      </c>
      <c r="I79" t="n">
        <v>0</v>
      </c>
      <c r="J79" t="n">
        <v>0</v>
      </c>
      <c r="K79" t="n">
        <v>0</v>
      </c>
      <c r="L79" t="n">
        <v>0</v>
      </c>
      <c r="M79" t="n">
        <v>0</v>
      </c>
      <c r="N79" t="n">
        <v>0</v>
      </c>
      <c r="O79" t="n">
        <v>0</v>
      </c>
      <c r="P79" t="n">
        <v>0</v>
      </c>
      <c r="Q79" t="n">
        <v>0</v>
      </c>
      <c r="R79" s="2" t="inlineStr"/>
    </row>
    <row r="80" ht="15" customHeight="1">
      <c r="A80" t="inlineStr">
        <is>
          <t>A 18999-2021</t>
        </is>
      </c>
      <c r="B80" s="1" t="n">
        <v>44308</v>
      </c>
      <c r="C80" s="1" t="n">
        <v>45754</v>
      </c>
      <c r="D80" t="inlineStr">
        <is>
          <t>VÄSTRA GÖTALANDS LÄN</t>
        </is>
      </c>
      <c r="E80" t="inlineStr">
        <is>
          <t>ALE</t>
        </is>
      </c>
      <c r="G80" t="n">
        <v>3.7</v>
      </c>
      <c r="H80" t="n">
        <v>0</v>
      </c>
      <c r="I80" t="n">
        <v>0</v>
      </c>
      <c r="J80" t="n">
        <v>0</v>
      </c>
      <c r="K80" t="n">
        <v>0</v>
      </c>
      <c r="L80" t="n">
        <v>0</v>
      </c>
      <c r="M80" t="n">
        <v>0</v>
      </c>
      <c r="N80" t="n">
        <v>0</v>
      </c>
      <c r="O80" t="n">
        <v>0</v>
      </c>
      <c r="P80" t="n">
        <v>0</v>
      </c>
      <c r="Q80" t="n">
        <v>0</v>
      </c>
      <c r="R80" s="2" t="inlineStr"/>
    </row>
    <row r="81" ht="15" customHeight="1">
      <c r="A81" t="inlineStr">
        <is>
          <t>A 21026-2021</t>
        </is>
      </c>
      <c r="B81" s="1" t="n">
        <v>44319</v>
      </c>
      <c r="C81" s="1" t="n">
        <v>45754</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21281-2021</t>
        </is>
      </c>
      <c r="B82" s="1" t="n">
        <v>44320</v>
      </c>
      <c r="C82" s="1" t="n">
        <v>45754</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22138-2021</t>
        </is>
      </c>
      <c r="B83" s="1" t="n">
        <v>44324</v>
      </c>
      <c r="C83" s="1" t="n">
        <v>45754</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25632-2021</t>
        </is>
      </c>
      <c r="B84" s="1" t="n">
        <v>44343</v>
      </c>
      <c r="C84" s="1" t="n">
        <v>45754</v>
      </c>
      <c r="D84" t="inlineStr">
        <is>
          <t>VÄSTRA GÖTALANDS LÄN</t>
        </is>
      </c>
      <c r="E84" t="inlineStr">
        <is>
          <t>ALE</t>
        </is>
      </c>
      <c r="G84" t="n">
        <v>3.2</v>
      </c>
      <c r="H84" t="n">
        <v>0</v>
      </c>
      <c r="I84" t="n">
        <v>0</v>
      </c>
      <c r="J84" t="n">
        <v>0</v>
      </c>
      <c r="K84" t="n">
        <v>0</v>
      </c>
      <c r="L84" t="n">
        <v>0</v>
      </c>
      <c r="M84" t="n">
        <v>0</v>
      </c>
      <c r="N84" t="n">
        <v>0</v>
      </c>
      <c r="O84" t="n">
        <v>0</v>
      </c>
      <c r="P84" t="n">
        <v>0</v>
      </c>
      <c r="Q84" t="n">
        <v>0</v>
      </c>
      <c r="R84" s="2" t="inlineStr"/>
    </row>
    <row r="85" ht="15" customHeight="1">
      <c r="A85" t="inlineStr">
        <is>
          <t>A 27314-2021</t>
        </is>
      </c>
      <c r="B85" s="1" t="n">
        <v>44351</v>
      </c>
      <c r="C85" s="1" t="n">
        <v>45754</v>
      </c>
      <c r="D85" t="inlineStr">
        <is>
          <t>VÄSTRA GÖTALANDS LÄN</t>
        </is>
      </c>
      <c r="E85" t="inlineStr">
        <is>
          <t>ALE</t>
        </is>
      </c>
      <c r="G85" t="n">
        <v>11.3</v>
      </c>
      <c r="H85" t="n">
        <v>0</v>
      </c>
      <c r="I85" t="n">
        <v>0</v>
      </c>
      <c r="J85" t="n">
        <v>0</v>
      </c>
      <c r="K85" t="n">
        <v>0</v>
      </c>
      <c r="L85" t="n">
        <v>0</v>
      </c>
      <c r="M85" t="n">
        <v>0</v>
      </c>
      <c r="N85" t="n">
        <v>0</v>
      </c>
      <c r="O85" t="n">
        <v>0</v>
      </c>
      <c r="P85" t="n">
        <v>0</v>
      </c>
      <c r="Q85" t="n">
        <v>0</v>
      </c>
      <c r="R85" s="2" t="inlineStr"/>
    </row>
    <row r="86" ht="15" customHeight="1">
      <c r="A86" t="inlineStr">
        <is>
          <t>A 31566-2021</t>
        </is>
      </c>
      <c r="B86" s="1" t="n">
        <v>44369</v>
      </c>
      <c r="C86" s="1" t="n">
        <v>45754</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31568-2021</t>
        </is>
      </c>
      <c r="B87" s="1" t="n">
        <v>44369</v>
      </c>
      <c r="C87" s="1" t="n">
        <v>45754</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35148-2021</t>
        </is>
      </c>
      <c r="B88" s="1" t="n">
        <v>44384</v>
      </c>
      <c r="C88" s="1" t="n">
        <v>45754</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36394-2021</t>
        </is>
      </c>
      <c r="B89" s="1" t="n">
        <v>44389</v>
      </c>
      <c r="C89" s="1" t="n">
        <v>45754</v>
      </c>
      <c r="D89" t="inlineStr">
        <is>
          <t>VÄSTRA GÖTALANDS LÄN</t>
        </is>
      </c>
      <c r="E89" t="inlineStr">
        <is>
          <t>ALE</t>
        </is>
      </c>
      <c r="G89" t="n">
        <v>0.9</v>
      </c>
      <c r="H89" t="n">
        <v>0</v>
      </c>
      <c r="I89" t="n">
        <v>0</v>
      </c>
      <c r="J89" t="n">
        <v>0</v>
      </c>
      <c r="K89" t="n">
        <v>0</v>
      </c>
      <c r="L89" t="n">
        <v>0</v>
      </c>
      <c r="M89" t="n">
        <v>0</v>
      </c>
      <c r="N89" t="n">
        <v>0</v>
      </c>
      <c r="O89" t="n">
        <v>0</v>
      </c>
      <c r="P89" t="n">
        <v>0</v>
      </c>
      <c r="Q89" t="n">
        <v>0</v>
      </c>
      <c r="R89" s="2" t="inlineStr"/>
    </row>
    <row r="90" ht="15" customHeight="1">
      <c r="A90" t="inlineStr">
        <is>
          <t>A 45986-2021</t>
        </is>
      </c>
      <c r="B90" s="1" t="n">
        <v>44441</v>
      </c>
      <c r="C90" s="1" t="n">
        <v>45754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45988-2021</t>
        </is>
      </c>
      <c r="B91" s="1" t="n">
        <v>44441</v>
      </c>
      <c r="C91" s="1" t="n">
        <v>45754</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46391-2021</t>
        </is>
      </c>
      <c r="B92" s="1" t="n">
        <v>44443</v>
      </c>
      <c r="C92" s="1" t="n">
        <v>45754</v>
      </c>
      <c r="D92" t="inlineStr">
        <is>
          <t>VÄSTRA GÖTALANDS LÄN</t>
        </is>
      </c>
      <c r="E92" t="inlineStr">
        <is>
          <t>ALE</t>
        </is>
      </c>
      <c r="G92" t="n">
        <v>1.3</v>
      </c>
      <c r="H92" t="n">
        <v>0</v>
      </c>
      <c r="I92" t="n">
        <v>0</v>
      </c>
      <c r="J92" t="n">
        <v>0</v>
      </c>
      <c r="K92" t="n">
        <v>0</v>
      </c>
      <c r="L92" t="n">
        <v>0</v>
      </c>
      <c r="M92" t="n">
        <v>0</v>
      </c>
      <c r="N92" t="n">
        <v>0</v>
      </c>
      <c r="O92" t="n">
        <v>0</v>
      </c>
      <c r="P92" t="n">
        <v>0</v>
      </c>
      <c r="Q92" t="n">
        <v>0</v>
      </c>
      <c r="R92" s="2" t="inlineStr"/>
    </row>
    <row r="93" ht="15" customHeight="1">
      <c r="A93" t="inlineStr">
        <is>
          <t>A 49955-2021</t>
        </is>
      </c>
      <c r="B93" s="1" t="n">
        <v>44456</v>
      </c>
      <c r="C93" s="1" t="n">
        <v>45754</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53144-2021</t>
        </is>
      </c>
      <c r="B94" s="1" t="n">
        <v>44468</v>
      </c>
      <c r="C94" s="1" t="n">
        <v>45754</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55405-2021</t>
        </is>
      </c>
      <c r="B95" s="1" t="n">
        <v>44475</v>
      </c>
      <c r="C95" s="1" t="n">
        <v>45754</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56493-2021</t>
        </is>
      </c>
      <c r="B96" s="1" t="n">
        <v>44480</v>
      </c>
      <c r="C96" s="1" t="n">
        <v>45754</v>
      </c>
      <c r="D96" t="inlineStr">
        <is>
          <t>VÄSTRA GÖTALANDS LÄN</t>
        </is>
      </c>
      <c r="E96" t="inlineStr">
        <is>
          <t>ALE</t>
        </is>
      </c>
      <c r="G96" t="n">
        <v>1.7</v>
      </c>
      <c r="H96" t="n">
        <v>0</v>
      </c>
      <c r="I96" t="n">
        <v>0</v>
      </c>
      <c r="J96" t="n">
        <v>0</v>
      </c>
      <c r="K96" t="n">
        <v>0</v>
      </c>
      <c r="L96" t="n">
        <v>0</v>
      </c>
      <c r="M96" t="n">
        <v>0</v>
      </c>
      <c r="N96" t="n">
        <v>0</v>
      </c>
      <c r="O96" t="n">
        <v>0</v>
      </c>
      <c r="P96" t="n">
        <v>0</v>
      </c>
      <c r="Q96" t="n">
        <v>0</v>
      </c>
      <c r="R96" s="2" t="inlineStr"/>
    </row>
    <row r="97" ht="15" customHeight="1">
      <c r="A97" t="inlineStr">
        <is>
          <t>A 62855-2021</t>
        </is>
      </c>
      <c r="B97" s="1" t="n">
        <v>44504</v>
      </c>
      <c r="C97" s="1" t="n">
        <v>45754</v>
      </c>
      <c r="D97" t="inlineStr">
        <is>
          <t>VÄSTRA GÖTALANDS LÄN</t>
        </is>
      </c>
      <c r="E97" t="inlineStr">
        <is>
          <t>ALE</t>
        </is>
      </c>
      <c r="G97" t="n">
        <v>5.6</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45754</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65226-2021</t>
        </is>
      </c>
      <c r="B99" s="1" t="n">
        <v>44515</v>
      </c>
      <c r="C99" s="1" t="n">
        <v>45754</v>
      </c>
      <c r="D99" t="inlineStr">
        <is>
          <t>VÄSTRA GÖTALANDS LÄN</t>
        </is>
      </c>
      <c r="E99" t="inlineStr">
        <is>
          <t>ALE</t>
        </is>
      </c>
      <c r="G99" t="n">
        <v>0.7</v>
      </c>
      <c r="H99" t="n">
        <v>0</v>
      </c>
      <c r="I99" t="n">
        <v>0</v>
      </c>
      <c r="J99" t="n">
        <v>0</v>
      </c>
      <c r="K99" t="n">
        <v>0</v>
      </c>
      <c r="L99" t="n">
        <v>0</v>
      </c>
      <c r="M99" t="n">
        <v>0</v>
      </c>
      <c r="N99" t="n">
        <v>0</v>
      </c>
      <c r="O99" t="n">
        <v>0</v>
      </c>
      <c r="P99" t="n">
        <v>0</v>
      </c>
      <c r="Q99" t="n">
        <v>0</v>
      </c>
      <c r="R99" s="2" t="inlineStr"/>
    </row>
    <row r="100" ht="15" customHeight="1">
      <c r="A100" t="inlineStr">
        <is>
          <t>A 65222-2021</t>
        </is>
      </c>
      <c r="B100" s="1" t="n">
        <v>44515</v>
      </c>
      <c r="C100" s="1" t="n">
        <v>45754</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66893-2021</t>
        </is>
      </c>
      <c r="B101" s="1" t="n">
        <v>44522</v>
      </c>
      <c r="C101" s="1" t="n">
        <v>45754</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67165-2021</t>
        </is>
      </c>
      <c r="B102" s="1" t="n">
        <v>44523</v>
      </c>
      <c r="C102" s="1" t="n">
        <v>45754</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67160-2021</t>
        </is>
      </c>
      <c r="B103" s="1" t="n">
        <v>44523</v>
      </c>
      <c r="C103" s="1" t="n">
        <v>45754</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72801-2021</t>
        </is>
      </c>
      <c r="B104" s="1" t="n">
        <v>44546</v>
      </c>
      <c r="C104" s="1" t="n">
        <v>45754</v>
      </c>
      <c r="D104" t="inlineStr">
        <is>
          <t>VÄSTRA GÖTALANDS LÄN</t>
        </is>
      </c>
      <c r="E104" t="inlineStr">
        <is>
          <t>ALE</t>
        </is>
      </c>
      <c r="F104" t="inlineStr">
        <is>
          <t>Naturvårdsverket</t>
        </is>
      </c>
      <c r="G104" t="n">
        <v>1.4</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45754</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45754</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2563-2022</t>
        </is>
      </c>
      <c r="B107" s="1" t="n">
        <v>44580</v>
      </c>
      <c r="C107" s="1" t="n">
        <v>45754</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3179-2022</t>
        </is>
      </c>
      <c r="B108" s="1" t="n">
        <v>44582</v>
      </c>
      <c r="C108" s="1" t="n">
        <v>45754</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3457-2022</t>
        </is>
      </c>
      <c r="B109" s="1" t="n">
        <v>44585</v>
      </c>
      <c r="C109" s="1" t="n">
        <v>45754</v>
      </c>
      <c r="D109" t="inlineStr">
        <is>
          <t>VÄSTRA GÖTALANDS LÄN</t>
        </is>
      </c>
      <c r="E109" t="inlineStr">
        <is>
          <t>ALE</t>
        </is>
      </c>
      <c r="G109" t="n">
        <v>5.1</v>
      </c>
      <c r="H109" t="n">
        <v>0</v>
      </c>
      <c r="I109" t="n">
        <v>0</v>
      </c>
      <c r="J109" t="n">
        <v>0</v>
      </c>
      <c r="K109" t="n">
        <v>0</v>
      </c>
      <c r="L109" t="n">
        <v>0</v>
      </c>
      <c r="M109" t="n">
        <v>0</v>
      </c>
      <c r="N109" t="n">
        <v>0</v>
      </c>
      <c r="O109" t="n">
        <v>0</v>
      </c>
      <c r="P109" t="n">
        <v>0</v>
      </c>
      <c r="Q109" t="n">
        <v>0</v>
      </c>
      <c r="R109" s="2" t="inlineStr"/>
    </row>
    <row r="110" ht="15" customHeight="1">
      <c r="A110" t="inlineStr">
        <is>
          <t>A 3520-2022</t>
        </is>
      </c>
      <c r="B110" s="1" t="n">
        <v>44585</v>
      </c>
      <c r="C110" s="1" t="n">
        <v>45754</v>
      </c>
      <c r="D110" t="inlineStr">
        <is>
          <t>VÄSTRA GÖTALANDS LÄN</t>
        </is>
      </c>
      <c r="E110" t="inlineStr">
        <is>
          <t>ALE</t>
        </is>
      </c>
      <c r="G110" t="n">
        <v>2.3</v>
      </c>
      <c r="H110" t="n">
        <v>0</v>
      </c>
      <c r="I110" t="n">
        <v>0</v>
      </c>
      <c r="J110" t="n">
        <v>0</v>
      </c>
      <c r="K110" t="n">
        <v>0</v>
      </c>
      <c r="L110" t="n">
        <v>0</v>
      </c>
      <c r="M110" t="n">
        <v>0</v>
      </c>
      <c r="N110" t="n">
        <v>0</v>
      </c>
      <c r="O110" t="n">
        <v>0</v>
      </c>
      <c r="P110" t="n">
        <v>0</v>
      </c>
      <c r="Q110" t="n">
        <v>0</v>
      </c>
      <c r="R110" s="2" t="inlineStr"/>
    </row>
    <row r="111" ht="15" customHeight="1">
      <c r="A111" t="inlineStr">
        <is>
          <t>A 8609-2022</t>
        </is>
      </c>
      <c r="B111" s="1" t="n">
        <v>44613</v>
      </c>
      <c r="C111" s="1" t="n">
        <v>45754</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12055-2022</t>
        </is>
      </c>
      <c r="B112" s="1" t="n">
        <v>44636</v>
      </c>
      <c r="C112" s="1" t="n">
        <v>45754</v>
      </c>
      <c r="D112" t="inlineStr">
        <is>
          <t>VÄSTRA GÖTALANDS LÄN</t>
        </is>
      </c>
      <c r="E112" t="inlineStr">
        <is>
          <t>ALE</t>
        </is>
      </c>
      <c r="G112" t="n">
        <v>0.2</v>
      </c>
      <c r="H112" t="n">
        <v>0</v>
      </c>
      <c r="I112" t="n">
        <v>0</v>
      </c>
      <c r="J112" t="n">
        <v>0</v>
      </c>
      <c r="K112" t="n">
        <v>0</v>
      </c>
      <c r="L112" t="n">
        <v>0</v>
      </c>
      <c r="M112" t="n">
        <v>0</v>
      </c>
      <c r="N112" t="n">
        <v>0</v>
      </c>
      <c r="O112" t="n">
        <v>0</v>
      </c>
      <c r="P112" t="n">
        <v>0</v>
      </c>
      <c r="Q112" t="n">
        <v>0</v>
      </c>
      <c r="R112" s="2" t="inlineStr"/>
    </row>
    <row r="113" ht="15" customHeight="1">
      <c r="A113" t="inlineStr">
        <is>
          <t>A 12445-2022</t>
        </is>
      </c>
      <c r="B113" s="1" t="n">
        <v>44638</v>
      </c>
      <c r="C113" s="1" t="n">
        <v>45754</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14736-2022</t>
        </is>
      </c>
      <c r="B114" s="1" t="n">
        <v>44656</v>
      </c>
      <c r="C114" s="1" t="n">
        <v>45754</v>
      </c>
      <c r="D114" t="inlineStr">
        <is>
          <t>VÄSTRA GÖTALANDS LÄN</t>
        </is>
      </c>
      <c r="E114" t="inlineStr">
        <is>
          <t>ALE</t>
        </is>
      </c>
      <c r="G114" t="n">
        <v>0.7</v>
      </c>
      <c r="H114" t="n">
        <v>0</v>
      </c>
      <c r="I114" t="n">
        <v>0</v>
      </c>
      <c r="J114" t="n">
        <v>0</v>
      </c>
      <c r="K114" t="n">
        <v>0</v>
      </c>
      <c r="L114" t="n">
        <v>0</v>
      </c>
      <c r="M114" t="n">
        <v>0</v>
      </c>
      <c r="N114" t="n">
        <v>0</v>
      </c>
      <c r="O114" t="n">
        <v>0</v>
      </c>
      <c r="P114" t="n">
        <v>0</v>
      </c>
      <c r="Q114" t="n">
        <v>0</v>
      </c>
      <c r="R114" s="2" t="inlineStr"/>
    </row>
    <row r="115" ht="15" customHeight="1">
      <c r="A115" t="inlineStr">
        <is>
          <t>A 14751-2022</t>
        </is>
      </c>
      <c r="B115" s="1" t="n">
        <v>44656</v>
      </c>
      <c r="C115" s="1" t="n">
        <v>45754</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14731-2022</t>
        </is>
      </c>
      <c r="B116" s="1" t="n">
        <v>44656</v>
      </c>
      <c r="C116" s="1" t="n">
        <v>45754</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15499-2022</t>
        </is>
      </c>
      <c r="B117" s="1" t="n">
        <v>44662</v>
      </c>
      <c r="C117" s="1" t="n">
        <v>45754</v>
      </c>
      <c r="D117" t="inlineStr">
        <is>
          <t>VÄSTRA GÖTALANDS LÄN</t>
        </is>
      </c>
      <c r="E117" t="inlineStr">
        <is>
          <t>ALE</t>
        </is>
      </c>
      <c r="G117" t="n">
        <v>4.7</v>
      </c>
      <c r="H117" t="n">
        <v>0</v>
      </c>
      <c r="I117" t="n">
        <v>0</v>
      </c>
      <c r="J117" t="n">
        <v>0</v>
      </c>
      <c r="K117" t="n">
        <v>0</v>
      </c>
      <c r="L117" t="n">
        <v>0</v>
      </c>
      <c r="M117" t="n">
        <v>0</v>
      </c>
      <c r="N117" t="n">
        <v>0</v>
      </c>
      <c r="O117" t="n">
        <v>0</v>
      </c>
      <c r="P117" t="n">
        <v>0</v>
      </c>
      <c r="Q117" t="n">
        <v>0</v>
      </c>
      <c r="R117" s="2" t="inlineStr"/>
    </row>
    <row r="118" ht="15" customHeight="1">
      <c r="A118" t="inlineStr">
        <is>
          <t>A 15508-2022</t>
        </is>
      </c>
      <c r="B118" s="1" t="n">
        <v>44662</v>
      </c>
      <c r="C118" s="1" t="n">
        <v>45754</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20285-2022</t>
        </is>
      </c>
      <c r="B119" s="1" t="n">
        <v>44698</v>
      </c>
      <c r="C119" s="1" t="n">
        <v>45754</v>
      </c>
      <c r="D119" t="inlineStr">
        <is>
          <t>VÄSTRA GÖTALANDS LÄN</t>
        </is>
      </c>
      <c r="E119" t="inlineStr">
        <is>
          <t>ALE</t>
        </is>
      </c>
      <c r="G119" t="n">
        <v>1.8</v>
      </c>
      <c r="H119" t="n">
        <v>0</v>
      </c>
      <c r="I119" t="n">
        <v>0</v>
      </c>
      <c r="J119" t="n">
        <v>0</v>
      </c>
      <c r="K119" t="n">
        <v>0</v>
      </c>
      <c r="L119" t="n">
        <v>0</v>
      </c>
      <c r="M119" t="n">
        <v>0</v>
      </c>
      <c r="N119" t="n">
        <v>0</v>
      </c>
      <c r="O119" t="n">
        <v>0</v>
      </c>
      <c r="P119" t="n">
        <v>0</v>
      </c>
      <c r="Q119" t="n">
        <v>0</v>
      </c>
      <c r="R119" s="2" t="inlineStr"/>
    </row>
    <row r="120" ht="15" customHeight="1">
      <c r="A120" t="inlineStr">
        <is>
          <t>A 22358-2022</t>
        </is>
      </c>
      <c r="B120" s="1" t="n">
        <v>44712</v>
      </c>
      <c r="C120" s="1" t="n">
        <v>45754</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24644-2022</t>
        </is>
      </c>
      <c r="B121" s="1" t="n">
        <v>44727</v>
      </c>
      <c r="C121" s="1" t="n">
        <v>45754</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24642-2022</t>
        </is>
      </c>
      <c r="B122" s="1" t="n">
        <v>44727</v>
      </c>
      <c r="C122" s="1" t="n">
        <v>45754</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24649-2022</t>
        </is>
      </c>
      <c r="B123" s="1" t="n">
        <v>44727</v>
      </c>
      <c r="C123" s="1" t="n">
        <v>45754</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26983-2022</t>
        </is>
      </c>
      <c r="B124" s="1" t="n">
        <v>44740</v>
      </c>
      <c r="C124" s="1" t="n">
        <v>45754</v>
      </c>
      <c r="D124" t="inlineStr">
        <is>
          <t>VÄSTRA GÖTALANDS LÄN</t>
        </is>
      </c>
      <c r="E124" t="inlineStr">
        <is>
          <t>ALE</t>
        </is>
      </c>
      <c r="F124" t="inlineStr">
        <is>
          <t>Kommuner</t>
        </is>
      </c>
      <c r="G124" t="n">
        <v>0.5</v>
      </c>
      <c r="H124" t="n">
        <v>0</v>
      </c>
      <c r="I124" t="n">
        <v>0</v>
      </c>
      <c r="J124" t="n">
        <v>0</v>
      </c>
      <c r="K124" t="n">
        <v>0</v>
      </c>
      <c r="L124" t="n">
        <v>0</v>
      </c>
      <c r="M124" t="n">
        <v>0</v>
      </c>
      <c r="N124" t="n">
        <v>0</v>
      </c>
      <c r="O124" t="n">
        <v>0</v>
      </c>
      <c r="P124" t="n">
        <v>0</v>
      </c>
      <c r="Q124" t="n">
        <v>0</v>
      </c>
      <c r="R124" s="2" t="inlineStr"/>
    </row>
    <row r="125" ht="15" customHeight="1">
      <c r="A125" t="inlineStr">
        <is>
          <t>A 26987-2022</t>
        </is>
      </c>
      <c r="B125" s="1" t="n">
        <v>44740</v>
      </c>
      <c r="C125" s="1" t="n">
        <v>45754</v>
      </c>
      <c r="D125" t="inlineStr">
        <is>
          <t>VÄSTRA GÖTALANDS LÄN</t>
        </is>
      </c>
      <c r="E125" t="inlineStr">
        <is>
          <t>ALE</t>
        </is>
      </c>
      <c r="F125" t="inlineStr">
        <is>
          <t>Kommuner</t>
        </is>
      </c>
      <c r="G125" t="n">
        <v>5.8</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v>
      </c>
      <c r="C126" s="1" t="n">
        <v>45754</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36763-2022</t>
        </is>
      </c>
      <c r="B127" s="1" t="n">
        <v>44805</v>
      </c>
      <c r="C127" s="1" t="n">
        <v>45754</v>
      </c>
      <c r="D127" t="inlineStr">
        <is>
          <t>VÄSTRA GÖTALANDS LÄN</t>
        </is>
      </c>
      <c r="E127" t="inlineStr">
        <is>
          <t>ALE</t>
        </is>
      </c>
      <c r="G127" t="n">
        <v>6.1</v>
      </c>
      <c r="H127" t="n">
        <v>0</v>
      </c>
      <c r="I127" t="n">
        <v>0</v>
      </c>
      <c r="J127" t="n">
        <v>0</v>
      </c>
      <c r="K127" t="n">
        <v>0</v>
      </c>
      <c r="L127" t="n">
        <v>0</v>
      </c>
      <c r="M127" t="n">
        <v>0</v>
      </c>
      <c r="N127" t="n">
        <v>0</v>
      </c>
      <c r="O127" t="n">
        <v>0</v>
      </c>
      <c r="P127" t="n">
        <v>0</v>
      </c>
      <c r="Q127" t="n">
        <v>0</v>
      </c>
      <c r="R127" s="2" t="inlineStr"/>
    </row>
    <row r="128" ht="15" customHeight="1">
      <c r="A128" t="inlineStr">
        <is>
          <t>A 41607-2022</t>
        </is>
      </c>
      <c r="B128" s="1" t="n">
        <v>44827</v>
      </c>
      <c r="C128" s="1" t="n">
        <v>45754</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41613-2022</t>
        </is>
      </c>
      <c r="B129" s="1" t="n">
        <v>44827</v>
      </c>
      <c r="C129" s="1" t="n">
        <v>45754</v>
      </c>
      <c r="D129" t="inlineStr">
        <is>
          <t>VÄSTRA GÖTALANDS LÄN</t>
        </is>
      </c>
      <c r="E129" t="inlineStr">
        <is>
          <t>ALE</t>
        </is>
      </c>
      <c r="G129" t="n">
        <v>2.7</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v>
      </c>
      <c r="C130" s="1" t="n">
        <v>45754</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48257-2022</t>
        </is>
      </c>
      <c r="B131" s="1" t="n">
        <v>44858</v>
      </c>
      <c r="C131" s="1" t="n">
        <v>45754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55488-2022</t>
        </is>
      </c>
      <c r="B132" s="1" t="n">
        <v>44887</v>
      </c>
      <c r="C132" s="1" t="n">
        <v>45754</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57476-2022</t>
        </is>
      </c>
      <c r="B133" s="1" t="n">
        <v>44896</v>
      </c>
      <c r="C133" s="1" t="n">
        <v>45754</v>
      </c>
      <c r="D133" t="inlineStr">
        <is>
          <t>VÄSTRA GÖTALANDS LÄN</t>
        </is>
      </c>
      <c r="E133" t="inlineStr">
        <is>
          <t>ALE</t>
        </is>
      </c>
      <c r="G133" t="n">
        <v>1.3</v>
      </c>
      <c r="H133" t="n">
        <v>0</v>
      </c>
      <c r="I133" t="n">
        <v>0</v>
      </c>
      <c r="J133" t="n">
        <v>0</v>
      </c>
      <c r="K133" t="n">
        <v>0</v>
      </c>
      <c r="L133" t="n">
        <v>0</v>
      </c>
      <c r="M133" t="n">
        <v>0</v>
      </c>
      <c r="N133" t="n">
        <v>0</v>
      </c>
      <c r="O133" t="n">
        <v>0</v>
      </c>
      <c r="P133" t="n">
        <v>0</v>
      </c>
      <c r="Q133" t="n">
        <v>0</v>
      </c>
      <c r="R133" s="2" t="inlineStr"/>
    </row>
    <row r="134" ht="15" customHeight="1">
      <c r="A134" t="inlineStr">
        <is>
          <t>A 57473-2022</t>
        </is>
      </c>
      <c r="B134" s="1" t="n">
        <v>44896</v>
      </c>
      <c r="C134" s="1" t="n">
        <v>45754</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45754</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3407-2023</t>
        </is>
      </c>
      <c r="B136" s="1" t="n">
        <v>44949</v>
      </c>
      <c r="C136" s="1" t="n">
        <v>45754</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3418-2023</t>
        </is>
      </c>
      <c r="B137" s="1" t="n">
        <v>44949</v>
      </c>
      <c r="C137" s="1" t="n">
        <v>45754</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4665-2023</t>
        </is>
      </c>
      <c r="B138" s="1" t="n">
        <v>44957</v>
      </c>
      <c r="C138" s="1" t="n">
        <v>45754</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5867-2023</t>
        </is>
      </c>
      <c r="B139" s="1" t="n">
        <v>44963</v>
      </c>
      <c r="C139" s="1" t="n">
        <v>45754</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5875-2023</t>
        </is>
      </c>
      <c r="B140" s="1" t="n">
        <v>44963</v>
      </c>
      <c r="C140" s="1" t="n">
        <v>45754</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5916-2023</t>
        </is>
      </c>
      <c r="B141" s="1" t="n">
        <v>44963</v>
      </c>
      <c r="C141" s="1" t="n">
        <v>45754</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6916-2023</t>
        </is>
      </c>
      <c r="B142" s="1" t="n">
        <v>44967</v>
      </c>
      <c r="C142" s="1" t="n">
        <v>45754</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7807-2023</t>
        </is>
      </c>
      <c r="B143" s="1" t="n">
        <v>44973</v>
      </c>
      <c r="C143" s="1" t="n">
        <v>45754</v>
      </c>
      <c r="D143" t="inlineStr">
        <is>
          <t>VÄSTRA GÖTALANDS LÄN</t>
        </is>
      </c>
      <c r="E143" t="inlineStr">
        <is>
          <t>ALE</t>
        </is>
      </c>
      <c r="G143" t="n">
        <v>10.5</v>
      </c>
      <c r="H143" t="n">
        <v>0</v>
      </c>
      <c r="I143" t="n">
        <v>0</v>
      </c>
      <c r="J143" t="n">
        <v>0</v>
      </c>
      <c r="K143" t="n">
        <v>0</v>
      </c>
      <c r="L143" t="n">
        <v>0</v>
      </c>
      <c r="M143" t="n">
        <v>0</v>
      </c>
      <c r="N143" t="n">
        <v>0</v>
      </c>
      <c r="O143" t="n">
        <v>0</v>
      </c>
      <c r="P143" t="n">
        <v>0</v>
      </c>
      <c r="Q143" t="n">
        <v>0</v>
      </c>
      <c r="R143" s="2" t="inlineStr"/>
    </row>
    <row r="144" ht="15" customHeight="1">
      <c r="A144" t="inlineStr">
        <is>
          <t>A 9630-2023</t>
        </is>
      </c>
      <c r="B144" s="1" t="n">
        <v>44984</v>
      </c>
      <c r="C144" s="1" t="n">
        <v>45754</v>
      </c>
      <c r="D144" t="inlineStr">
        <is>
          <t>VÄSTRA GÖTALANDS LÄN</t>
        </is>
      </c>
      <c r="E144" t="inlineStr">
        <is>
          <t>ALE</t>
        </is>
      </c>
      <c r="G144" t="n">
        <v>5.4</v>
      </c>
      <c r="H144" t="n">
        <v>0</v>
      </c>
      <c r="I144" t="n">
        <v>0</v>
      </c>
      <c r="J144" t="n">
        <v>0</v>
      </c>
      <c r="K144" t="n">
        <v>0</v>
      </c>
      <c r="L144" t="n">
        <v>0</v>
      </c>
      <c r="M144" t="n">
        <v>0</v>
      </c>
      <c r="N144" t="n">
        <v>0</v>
      </c>
      <c r="O144" t="n">
        <v>0</v>
      </c>
      <c r="P144" t="n">
        <v>0</v>
      </c>
      <c r="Q144" t="n">
        <v>0</v>
      </c>
      <c r="R144" s="2" t="inlineStr"/>
    </row>
    <row r="145" ht="15" customHeight="1">
      <c r="A145" t="inlineStr">
        <is>
          <t>A 9891-2023</t>
        </is>
      </c>
      <c r="B145" s="1" t="n">
        <v>44985</v>
      </c>
      <c r="C145" s="1" t="n">
        <v>45754</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9886-2023</t>
        </is>
      </c>
      <c r="B146" s="1" t="n">
        <v>44985</v>
      </c>
      <c r="C146" s="1" t="n">
        <v>45754</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9896-2023</t>
        </is>
      </c>
      <c r="B147" s="1" t="n">
        <v>44985</v>
      </c>
      <c r="C147" s="1" t="n">
        <v>45754</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45754</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16389-2023</t>
        </is>
      </c>
      <c r="B149" s="1" t="n">
        <v>45029</v>
      </c>
      <c r="C149" s="1" t="n">
        <v>45754</v>
      </c>
      <c r="D149" t="inlineStr">
        <is>
          <t>VÄSTRA GÖTALANDS LÄN</t>
        </is>
      </c>
      <c r="E149" t="inlineStr">
        <is>
          <t>ALE</t>
        </is>
      </c>
      <c r="G149" t="n">
        <v>2.8</v>
      </c>
      <c r="H149" t="n">
        <v>0</v>
      </c>
      <c r="I149" t="n">
        <v>0</v>
      </c>
      <c r="J149" t="n">
        <v>0</v>
      </c>
      <c r="K149" t="n">
        <v>0</v>
      </c>
      <c r="L149" t="n">
        <v>0</v>
      </c>
      <c r="M149" t="n">
        <v>0</v>
      </c>
      <c r="N149" t="n">
        <v>0</v>
      </c>
      <c r="O149" t="n">
        <v>0</v>
      </c>
      <c r="P149" t="n">
        <v>0</v>
      </c>
      <c r="Q149" t="n">
        <v>0</v>
      </c>
      <c r="R149" s="2" t="inlineStr"/>
    </row>
    <row r="150" ht="15" customHeight="1">
      <c r="A150" t="inlineStr">
        <is>
          <t>A 16876-2023</t>
        </is>
      </c>
      <c r="B150" s="1" t="n">
        <v>45033</v>
      </c>
      <c r="C150" s="1" t="n">
        <v>45754</v>
      </c>
      <c r="D150" t="inlineStr">
        <is>
          <t>VÄSTRA GÖTALANDS LÄN</t>
        </is>
      </c>
      <c r="E150" t="inlineStr">
        <is>
          <t>ALE</t>
        </is>
      </c>
      <c r="G150" t="n">
        <v>0.9</v>
      </c>
      <c r="H150" t="n">
        <v>0</v>
      </c>
      <c r="I150" t="n">
        <v>0</v>
      </c>
      <c r="J150" t="n">
        <v>0</v>
      </c>
      <c r="K150" t="n">
        <v>0</v>
      </c>
      <c r="L150" t="n">
        <v>0</v>
      </c>
      <c r="M150" t="n">
        <v>0</v>
      </c>
      <c r="N150" t="n">
        <v>0</v>
      </c>
      <c r="O150" t="n">
        <v>0</v>
      </c>
      <c r="P150" t="n">
        <v>0</v>
      </c>
      <c r="Q150" t="n">
        <v>0</v>
      </c>
      <c r="R150" s="2" t="inlineStr"/>
    </row>
    <row r="151" ht="15" customHeight="1">
      <c r="A151" t="inlineStr">
        <is>
          <t>A 17534-2023</t>
        </is>
      </c>
      <c r="B151" s="1" t="n">
        <v>45036</v>
      </c>
      <c r="C151" s="1" t="n">
        <v>45754</v>
      </c>
      <c r="D151" t="inlineStr">
        <is>
          <t>VÄSTRA GÖTALANDS LÄN</t>
        </is>
      </c>
      <c r="E151" t="inlineStr">
        <is>
          <t>ALE</t>
        </is>
      </c>
      <c r="G151" t="n">
        <v>3.1</v>
      </c>
      <c r="H151" t="n">
        <v>0</v>
      </c>
      <c r="I151" t="n">
        <v>0</v>
      </c>
      <c r="J151" t="n">
        <v>0</v>
      </c>
      <c r="K151" t="n">
        <v>0</v>
      </c>
      <c r="L151" t="n">
        <v>0</v>
      </c>
      <c r="M151" t="n">
        <v>0</v>
      </c>
      <c r="N151" t="n">
        <v>0</v>
      </c>
      <c r="O151" t="n">
        <v>0</v>
      </c>
      <c r="P151" t="n">
        <v>0</v>
      </c>
      <c r="Q151" t="n">
        <v>0</v>
      </c>
      <c r="R151" s="2" t="inlineStr"/>
    </row>
    <row r="152" ht="15" customHeight="1">
      <c r="A152" t="inlineStr">
        <is>
          <t>A 18120-2023</t>
        </is>
      </c>
      <c r="B152" s="1" t="n">
        <v>45040</v>
      </c>
      <c r="C152" s="1" t="n">
        <v>45754</v>
      </c>
      <c r="D152" t="inlineStr">
        <is>
          <t>VÄSTRA GÖTALANDS LÄN</t>
        </is>
      </c>
      <c r="E152" t="inlineStr">
        <is>
          <t>ALE</t>
        </is>
      </c>
      <c r="G152" t="n">
        <v>3</v>
      </c>
      <c r="H152" t="n">
        <v>0</v>
      </c>
      <c r="I152" t="n">
        <v>0</v>
      </c>
      <c r="J152" t="n">
        <v>0</v>
      </c>
      <c r="K152" t="n">
        <v>0</v>
      </c>
      <c r="L152" t="n">
        <v>0</v>
      </c>
      <c r="M152" t="n">
        <v>0</v>
      </c>
      <c r="N152" t="n">
        <v>0</v>
      </c>
      <c r="O152" t="n">
        <v>0</v>
      </c>
      <c r="P152" t="n">
        <v>0</v>
      </c>
      <c r="Q152" t="n">
        <v>0</v>
      </c>
      <c r="R152" s="2" t="inlineStr"/>
    </row>
    <row r="153" ht="15" customHeight="1">
      <c r="A153" t="inlineStr">
        <is>
          <t>A 18637-2023</t>
        </is>
      </c>
      <c r="B153" s="1" t="n">
        <v>45043</v>
      </c>
      <c r="C153" s="1" t="n">
        <v>45754</v>
      </c>
      <c r="D153" t="inlineStr">
        <is>
          <t>VÄSTRA GÖTALANDS LÄN</t>
        </is>
      </c>
      <c r="E153" t="inlineStr">
        <is>
          <t>ALE</t>
        </is>
      </c>
      <c r="G153" t="n">
        <v>3.6</v>
      </c>
      <c r="H153" t="n">
        <v>0</v>
      </c>
      <c r="I153" t="n">
        <v>0</v>
      </c>
      <c r="J153" t="n">
        <v>0</v>
      </c>
      <c r="K153" t="n">
        <v>0</v>
      </c>
      <c r="L153" t="n">
        <v>0</v>
      </c>
      <c r="M153" t="n">
        <v>0</v>
      </c>
      <c r="N153" t="n">
        <v>0</v>
      </c>
      <c r="O153" t="n">
        <v>0</v>
      </c>
      <c r="P153" t="n">
        <v>0</v>
      </c>
      <c r="Q153" t="n">
        <v>0</v>
      </c>
      <c r="R153" s="2" t="inlineStr"/>
    </row>
    <row r="154" ht="15" customHeight="1">
      <c r="A154" t="inlineStr">
        <is>
          <t>A 20066-2023</t>
        </is>
      </c>
      <c r="B154" s="1" t="n">
        <v>45054</v>
      </c>
      <c r="C154" s="1" t="n">
        <v>45754</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20067-2023</t>
        </is>
      </c>
      <c r="B155" s="1" t="n">
        <v>45054</v>
      </c>
      <c r="C155" s="1" t="n">
        <v>45754</v>
      </c>
      <c r="D155" t="inlineStr">
        <is>
          <t>VÄSTRA GÖTALANDS LÄN</t>
        </is>
      </c>
      <c r="E155" t="inlineStr">
        <is>
          <t>ALE</t>
        </is>
      </c>
      <c r="G155" t="n">
        <v>0.4</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45754</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45754</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45754</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45754</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45754</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45754</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45754</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45754</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45754</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45754</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45754</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45754</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45754</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45754</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45754</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45754</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45754</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45754</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45754</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45754</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45754</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59933-2023</t>
        </is>
      </c>
      <c r="B177" s="1" t="n">
        <v>45257</v>
      </c>
      <c r="C177" s="1" t="n">
        <v>45754</v>
      </c>
      <c r="D177" t="inlineStr">
        <is>
          <t>VÄSTRA GÖTALANDS LÄN</t>
        </is>
      </c>
      <c r="E177" t="inlineStr">
        <is>
          <t>ALE</t>
        </is>
      </c>
      <c r="G177" t="n">
        <v>2.7</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45754</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45754</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45754</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45754</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1823-2024</t>
        </is>
      </c>
      <c r="B182" s="1" t="n">
        <v>45307</v>
      </c>
      <c r="C182" s="1" t="n">
        <v>45754</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45754</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45754</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45754</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45754</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45754</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45754</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45754</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45754</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45754</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45754</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7892-2024</t>
        </is>
      </c>
      <c r="B193" s="1" t="n">
        <v>45350</v>
      </c>
      <c r="C193" s="1" t="n">
        <v>45754</v>
      </c>
      <c r="D193" t="inlineStr">
        <is>
          <t>VÄSTRA GÖTALANDS LÄN</t>
        </is>
      </c>
      <c r="E193" t="inlineStr">
        <is>
          <t>ALE</t>
        </is>
      </c>
      <c r="G193" t="n">
        <v>3.6</v>
      </c>
      <c r="H193" t="n">
        <v>0</v>
      </c>
      <c r="I193" t="n">
        <v>0</v>
      </c>
      <c r="J193" t="n">
        <v>0</v>
      </c>
      <c r="K193" t="n">
        <v>0</v>
      </c>
      <c r="L193" t="n">
        <v>0</v>
      </c>
      <c r="M193" t="n">
        <v>0</v>
      </c>
      <c r="N193" t="n">
        <v>0</v>
      </c>
      <c r="O193" t="n">
        <v>0</v>
      </c>
      <c r="P193" t="n">
        <v>0</v>
      </c>
      <c r="Q193" t="n">
        <v>0</v>
      </c>
      <c r="R193" s="2" t="inlineStr"/>
    </row>
    <row r="194" ht="15" customHeight="1">
      <c r="A194" t="inlineStr">
        <is>
          <t>A 11430-2024</t>
        </is>
      </c>
      <c r="B194" s="1" t="n">
        <v>45372</v>
      </c>
      <c r="C194" s="1" t="n">
        <v>45754</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11659-2024</t>
        </is>
      </c>
      <c r="B195" s="1" t="n">
        <v>45373</v>
      </c>
      <c r="C195" s="1" t="n">
        <v>45754</v>
      </c>
      <c r="D195" t="inlineStr">
        <is>
          <t>VÄSTRA GÖTALANDS LÄN</t>
        </is>
      </c>
      <c r="E195" t="inlineStr">
        <is>
          <t>ALE</t>
        </is>
      </c>
      <c r="G195" t="n">
        <v>4.6</v>
      </c>
      <c r="H195" t="n">
        <v>0</v>
      </c>
      <c r="I195" t="n">
        <v>0</v>
      </c>
      <c r="J195" t="n">
        <v>0</v>
      </c>
      <c r="K195" t="n">
        <v>0</v>
      </c>
      <c r="L195" t="n">
        <v>0</v>
      </c>
      <c r="M195" t="n">
        <v>0</v>
      </c>
      <c r="N195" t="n">
        <v>0</v>
      </c>
      <c r="O195" t="n">
        <v>0</v>
      </c>
      <c r="P195" t="n">
        <v>0</v>
      </c>
      <c r="Q195" t="n">
        <v>0</v>
      </c>
      <c r="R195" s="2" t="inlineStr"/>
    </row>
    <row r="196" ht="15" customHeight="1">
      <c r="A196" t="inlineStr">
        <is>
          <t>A 12982-2024</t>
        </is>
      </c>
      <c r="B196" s="1" t="n">
        <v>45385</v>
      </c>
      <c r="C196" s="1" t="n">
        <v>45754</v>
      </c>
      <c r="D196" t="inlineStr">
        <is>
          <t>VÄSTRA GÖTALANDS LÄN</t>
        </is>
      </c>
      <c r="E196" t="inlineStr">
        <is>
          <t>ALE</t>
        </is>
      </c>
      <c r="G196" t="n">
        <v>3.3</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45754</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45754</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45754</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45754</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45754</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45754</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45754</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45754</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45754</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45754</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45754</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45754</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45754</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45754</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45754</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45754</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45754</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45754</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45754</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45754</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45754</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45754</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45754</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45754</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45754</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45754</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45754</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45754</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45754</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45754</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45754</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45754</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45754</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45754</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45754</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45754</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45754</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45754</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45754</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45754</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45754</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c r="A238" t="inlineStr">
        <is>
          <t>A 16601-2025</t>
        </is>
      </c>
      <c r="B238" s="1" t="n">
        <v>45753</v>
      </c>
      <c r="C238" s="1" t="n">
        <v>45754</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2025-04-07T16:37:54Z</dcterms:created>
  <dcterms:modified xmlns:dcterms="http://purl.org/dc/terms/" xmlns:xsi="http://www.w3.org/2001/XMLSchema-instance" xsi:type="dcterms:W3CDTF">2025-04-07T16:37:54Z</dcterms:modified>
</cp:coreProperties>
</file>